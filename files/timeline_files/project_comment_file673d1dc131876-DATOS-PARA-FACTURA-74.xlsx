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ana Carolina\Desktop\"/>
    </mc:Choice>
  </mc:AlternateContent>
  <bookViews>
    <workbookView xWindow="0" yWindow="0" windowWidth="19200" windowHeight="6504" activeTab="4"/>
  </bookViews>
  <sheets>
    <sheet name="COLMEDICA " sheetId="1" r:id="rId1"/>
    <sheet name="SURAMERICANA" sheetId="2" r:id="rId2"/>
    <sheet name="MEDPLUS" sheetId="3" r:id="rId3"/>
    <sheet name="SEGUROS BOLIVAR" sheetId="4" r:id="rId4"/>
    <sheet name="ALLIANZ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3" i="5"/>
  <c r="J38" i="4"/>
  <c r="J29" i="4"/>
  <c r="J37" i="4"/>
  <c r="J36" i="4"/>
  <c r="J35" i="4"/>
  <c r="J34" i="4"/>
  <c r="J33" i="4"/>
  <c r="J32" i="4"/>
  <c r="J31" i="4"/>
  <c r="J30" i="4"/>
  <c r="J28" i="4"/>
  <c r="J27" i="4"/>
  <c r="J26" i="4"/>
  <c r="J20" i="4"/>
  <c r="J7" i="4"/>
  <c r="J12" i="4"/>
  <c r="J10" i="4"/>
  <c r="J4" i="4"/>
  <c r="J5" i="4"/>
  <c r="J6" i="4"/>
  <c r="J8" i="4"/>
  <c r="J9" i="4"/>
  <c r="J11" i="4"/>
  <c r="J13" i="4"/>
  <c r="J14" i="4"/>
  <c r="J15" i="4"/>
  <c r="J16" i="4"/>
  <c r="J17" i="4"/>
  <c r="J18" i="4"/>
  <c r="J19" i="4"/>
  <c r="J21" i="4"/>
  <c r="J22" i="4"/>
  <c r="J23" i="4"/>
  <c r="J24" i="4"/>
  <c r="J25" i="4"/>
  <c r="J3" i="4"/>
  <c r="K34" i="2"/>
  <c r="K33" i="2"/>
  <c r="K32" i="2"/>
  <c r="K31" i="2"/>
  <c r="K30" i="2"/>
  <c r="K29" i="2"/>
  <c r="K15" i="2"/>
  <c r="K5" i="2"/>
  <c r="K6" i="2"/>
  <c r="K7" i="2"/>
  <c r="K8" i="2"/>
  <c r="K9" i="2"/>
  <c r="K10" i="2"/>
  <c r="K11" i="2"/>
  <c r="K12" i="2"/>
  <c r="K13" i="2"/>
  <c r="K14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4" i="2"/>
  <c r="K35" i="2" s="1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64" i="3" s="1"/>
  <c r="K33" i="1"/>
  <c r="K9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</calcChain>
</file>

<file path=xl/sharedStrings.xml><?xml version="1.0" encoding="utf-8"?>
<sst xmlns="http://schemas.openxmlformats.org/spreadsheetml/2006/main" count="836" uniqueCount="184">
  <si>
    <t>CC</t>
  </si>
  <si>
    <t>ZAUDY JHINETH GARCIA ZARATE</t>
  </si>
  <si>
    <t>MARIA ALEJANDRA SANCHEZ GONZALEZ</t>
  </si>
  <si>
    <t>RUTH STEFANIA GARCIA CASTRO</t>
  </si>
  <si>
    <t>LAURA XIMENA VASQUEZ BARRERO</t>
  </si>
  <si>
    <t>FANNY STELLA DEL PIL FERIA RUBIANO</t>
  </si>
  <si>
    <t>TI</t>
  </si>
  <si>
    <t>JUANNA VALERIA LEON GOMEZ</t>
  </si>
  <si>
    <t>VIVIANA FERNANDA POSSE RODRIGUEZ</t>
  </si>
  <si>
    <t>CLAUDIA PATRICIA BONILLA DIAZ</t>
  </si>
  <si>
    <t>MARIA ELVIA TAPIERO GUTIERREZ</t>
  </si>
  <si>
    <t>ESMERALDA PREMIUM</t>
  </si>
  <si>
    <t>HUMANA PLUS</t>
  </si>
  <si>
    <t>ZAFIRO ELITE</t>
  </si>
  <si>
    <t>ESMERALDA ELITE</t>
  </si>
  <si>
    <t>RUBI ÉLITE</t>
  </si>
  <si>
    <t>COLMEDICA</t>
  </si>
  <si>
    <t xml:space="preserve">FECHA DE ATENCION </t>
  </si>
  <si>
    <t>TD</t>
  </si>
  <si>
    <t>CEDULA</t>
  </si>
  <si>
    <t xml:space="preserve">NOMBRE </t>
  </si>
  <si>
    <t xml:space="preserve">TELEFONO </t>
  </si>
  <si>
    <t>ENTIDAD</t>
  </si>
  <si>
    <t>CONTRATO</t>
  </si>
  <si>
    <t xml:space="preserve">VALOR COPAGO </t>
  </si>
  <si>
    <t>VALOR A PAGAR COLMEDICA</t>
  </si>
  <si>
    <t>LUISA FERNANDA HERNANDEZ RAMIREZ</t>
  </si>
  <si>
    <t>NIDIA RAMIREZ GAVIRIA</t>
  </si>
  <si>
    <t>JUANITA NATALIA MUÑOZ MURILLO</t>
  </si>
  <si>
    <t>RUBI ALEXANDRA LOPEZ AYALA</t>
  </si>
  <si>
    <t>320 8160913</t>
  </si>
  <si>
    <t>ESMERALDA GUIA PREMIUM</t>
  </si>
  <si>
    <t>ECOGRAFIA PELVICA GINECOLOGICA TRANSVAGINAL</t>
  </si>
  <si>
    <t>VALOR A PAGAR SURA</t>
  </si>
  <si>
    <t>MARIA LILIANA LOZANO PIEDRAHITA</t>
  </si>
  <si>
    <t xml:space="preserve">PROCEDIMIENTO </t>
  </si>
  <si>
    <t xml:space="preserve">CONSULTA GINECOLOGIA Y OBSTETRICIA PRIMER VEZ </t>
  </si>
  <si>
    <t xml:space="preserve">SURA </t>
  </si>
  <si>
    <t>LINA XIMENA QUINTERO DIAZ</t>
  </si>
  <si>
    <t>VALERI NIÑO</t>
  </si>
  <si>
    <t xml:space="preserve">LEIDY TATIANA CARVAJAL </t>
  </si>
  <si>
    <t>MANUELA ALEJANDRA ROJAS DEVIA</t>
  </si>
  <si>
    <t>PLAN SALUD TRADICIONAL COLECTIVO</t>
  </si>
  <si>
    <t>PLAN SALUD CLÁSICO FAMILIAR</t>
  </si>
  <si>
    <t>YIRLY FERNANDA DIAZ CASTRO</t>
  </si>
  <si>
    <t>LUZ ADRIANA REYES RODRIGUEZ</t>
  </si>
  <si>
    <t>NORMA JULIANA GARCIA SUAREZ</t>
  </si>
  <si>
    <t> LINDA VANESSA RAMIREZ MARTINEZ</t>
  </si>
  <si>
    <t>PAOLA ANDREA LEGUIZAMO PEÑA</t>
  </si>
  <si>
    <t>BLANCA LUCERO VARGAS GARCIA</t>
  </si>
  <si>
    <t> ELVIA CAROLINA PRADO ARAUJO</t>
  </si>
  <si>
    <t>PLAN SALUD EVOLUCIONA FAMILIAR</t>
  </si>
  <si>
    <t>PLAN SALUD GLOBAL FAMILIAR</t>
  </si>
  <si>
    <t>315 4191243</t>
  </si>
  <si>
    <t>315 2707108</t>
  </si>
  <si>
    <t>350 3903037</t>
  </si>
  <si>
    <t>302 4494980</t>
  </si>
  <si>
    <t>CONSULTA DE PRIMERA VEZ POR ESPECIALISTA EN GINECOLOGIA Y OBSTETRICIA</t>
  </si>
  <si>
    <t>LILIANA ESTHER CANAL CASTANO</t>
  </si>
  <si>
    <t>Cereza Ex Esp</t>
  </si>
  <si>
    <t>ANDREA LISETTE BELTRAN SANCHEZ</t>
  </si>
  <si>
    <t>CELESTE PLUS SIMULTA</t>
  </si>
  <si>
    <t>DIANA KATHERINE HERNANDEZ REYES</t>
  </si>
  <si>
    <t>CONSULTA DE CONTROL O DE SEGUIMIENTO POR ESPECIALISTA EN GINECOLOGIA Y OBSTETRICIA</t>
  </si>
  <si>
    <t>GISOU DIAZ ROJO</t>
  </si>
  <si>
    <t>Cafe Excelso</t>
  </si>
  <si>
    <t>NORMA CONSTANZA ALDANA MEDINA</t>
  </si>
  <si>
    <t>SARA VALENTINA HERNANDEZ SANCHE</t>
  </si>
  <si>
    <t>JENNY LILIANA IBARRA BECERRA</t>
  </si>
  <si>
    <t>Cereza Excelso</t>
  </si>
  <si>
    <t>ANA JULIA BECERRA DE IBARRA</t>
  </si>
  <si>
    <t>STEPHANIE LEMAITRE ESPINOSA</t>
  </si>
  <si>
    <t>AMANDA MILENA BEDOYA VALBUENA</t>
  </si>
  <si>
    <t>TURQUESA PLUS SIMULT</t>
  </si>
  <si>
    <t>ANYI MILADY MENDOZA GUZMAN</t>
  </si>
  <si>
    <t>DAHIAN VANESSA LOPEZ RAMIREZ</t>
  </si>
  <si>
    <t>LINA MARIA SANDOVAL GOMEZ</t>
  </si>
  <si>
    <t>INDIGO PLUS SIMULTAN</t>
  </si>
  <si>
    <t>CARINA CARDENAS SARTA</t>
  </si>
  <si>
    <t>SELECTO JOVEN</t>
  </si>
  <si>
    <t>JENNY CAROLINA CASTELLANOS DEVI</t>
  </si>
  <si>
    <t>ANGELICA MARIA URREA GONZALEZ</t>
  </si>
  <si>
    <t>VALENTINA PERALTA SANCHEZ</t>
  </si>
  <si>
    <t>INGRID MILENA CHIRIVI TRUJILLO</t>
  </si>
  <si>
    <t>JOHANA SUDEN RIVERA</t>
  </si>
  <si>
    <t>MARIA DEL CARMEN PALACIOS RODRI</t>
  </si>
  <si>
    <t>DANIELA BARRAGAN RUBIO</t>
  </si>
  <si>
    <t>CLAUDIA LUCIA DUQUE BARRETO</t>
  </si>
  <si>
    <t>MANUELA GONZALEZ MORENO</t>
  </si>
  <si>
    <t>CARMEN ELISA JARAMILLO JARAMILL</t>
  </si>
  <si>
    <t>NATALIA ALEXANDRA AREVALO QUINT</t>
  </si>
  <si>
    <t>CLAUDIA MARITZA CARDENAS MARTIN</t>
  </si>
  <si>
    <t>MARIA LUCELLY BOTERO GOMEZ</t>
  </si>
  <si>
    <t>NATHALY YORELY VILLA CARDOSO</t>
  </si>
  <si>
    <t>MILENA AYALA</t>
  </si>
  <si>
    <t>EDNA YOLMAR SOLANO LUGO</t>
  </si>
  <si>
    <t>MAGDA JULIETH MORENO OROZCO</t>
  </si>
  <si>
    <t>ENNA ROCIO VALENCIA MANCHEGO</t>
  </si>
  <si>
    <t>MELISSA TOBON GUZMAN</t>
  </si>
  <si>
    <t>SANDRA PATRICIA MORALES GIRALDO</t>
  </si>
  <si>
    <t>SALUD PLUS</t>
  </si>
  <si>
    <t>ALEJANDRA DEL PILAR MESA GALIND</t>
  </si>
  <si>
    <t>MEDPLUS</t>
  </si>
  <si>
    <t xml:space="preserve">Claudia Milena Velásquez Ramos </t>
  </si>
  <si>
    <t>310 8753308</t>
  </si>
  <si>
    <t xml:space="preserve">SEGUROS BOLIVAR </t>
  </si>
  <si>
    <t>5/08/204</t>
  </si>
  <si>
    <t>DIANA PAZ CABALLERO</t>
  </si>
  <si>
    <t xml:space="preserve">Maria Alejandra Rodriguez Godoy </t>
  </si>
  <si>
    <t xml:space="preserve">María Camila Carvajal Cardoso </t>
  </si>
  <si>
    <t>Sofía del Pilar Hernández Beltran</t>
  </si>
  <si>
    <t>Maria Paula Ramos Carillo</t>
  </si>
  <si>
    <t>ECOGRAFIA PELVICA GINECOLOGICA</t>
  </si>
  <si>
    <t xml:space="preserve">LAURA CAMILA TAMAYO </t>
  </si>
  <si>
    <t>507 6220‑7813‬</t>
  </si>
  <si>
    <t>CONSULTA DE CONTROL POR ESPECIALISTA EN GINECOLOGIA Y OBSTETRICIA</t>
  </si>
  <si>
    <t>PAOLA ESPERANZA SILVA</t>
  </si>
  <si>
    <t>Maria Monica Villanueva</t>
  </si>
  <si>
    <t>VALOR A PAGAR ALLAINZ</t>
  </si>
  <si>
    <t>TARIFA GROUP</t>
  </si>
  <si>
    <t>ALLIANZ</t>
  </si>
  <si>
    <t xml:space="preserve">María José Ortiz Ávila </t>
  </si>
  <si>
    <t xml:space="preserve">TARIFA CARE </t>
  </si>
  <si>
    <t xml:space="preserve">Lina Carolina Pérez García </t>
  </si>
  <si>
    <t>TARIFA GROUP-</t>
  </si>
  <si>
    <t>Ana Victoria conde Varela</t>
  </si>
  <si>
    <t>María José conde Varela</t>
  </si>
  <si>
    <t>TARIFA GOLD</t>
  </si>
  <si>
    <t xml:space="preserve">TARIFA GOLD </t>
  </si>
  <si>
    <t xml:space="preserve">Olga Patricia Díaz </t>
  </si>
  <si>
    <t>Maria Alejandra Mariño Yate</t>
  </si>
  <si>
    <t>nancy gonzalez</t>
  </si>
  <si>
    <t>318 3979884</t>
  </si>
  <si>
    <t>Maria Paula Villanueva</t>
  </si>
  <si>
    <t>MARIA NATALIA ZAMORA GUZMAN</t>
  </si>
  <si>
    <t>YENIFER LORENA CORDOBA IPUZ</t>
  </si>
  <si>
    <t>CONSULTA DE CONTROL VEZ POR ESPECIALISTA EN GINECOLOGIA Y OBSTETRICIA</t>
  </si>
  <si>
    <t>MARIA CAMILA GRISALES CALLE</t>
  </si>
  <si>
    <t>GEMA LUCILA MEDINA PASTRAN</t>
  </si>
  <si>
    <t>CE1057461</t>
  </si>
  <si>
    <t>BETTY DEVIA CALCETO</t>
  </si>
  <si>
    <t>VALOR A PAGAR S.BOLIVAR</t>
  </si>
  <si>
    <t>FechaAutorización</t>
  </si>
  <si>
    <t>Identificación</t>
  </si>
  <si>
    <t>Nombre</t>
  </si>
  <si>
    <t>NombrePlan</t>
  </si>
  <si>
    <t>Servicio</t>
  </si>
  <si>
    <t>TotalBonos</t>
  </si>
  <si>
    <t>TOTAL A FACTURAR</t>
  </si>
  <si>
    <t>VIVIAN NATALIA MOSOS CHAVES</t>
  </si>
  <si>
    <t>MARIANA MAHECHA PATARROYO</t>
  </si>
  <si>
    <t>MARTHA CECILIA NUÃ‘EZ OSORIO</t>
  </si>
  <si>
    <t>HELEN ARCILA SALAZAR</t>
  </si>
  <si>
    <t>GABRIELA NATALIE CRUZ FONTALVO</t>
  </si>
  <si>
    <t>JULIANA PATARROYO TAMAYO</t>
  </si>
  <si>
    <t>CAMILA SOFIA CRISTANCHO ACUNA</t>
  </si>
  <si>
    <t>CEREZA GOURMET</t>
  </si>
  <si>
    <t>NATALIA MARCELA URUEÃ‘A TARAZONA</t>
  </si>
  <si>
    <t>NATALIA CESPEDES CARDONA</t>
  </si>
  <si>
    <t xml:space="preserve">ENTIDAD </t>
  </si>
  <si>
    <t>02/07/224</t>
  </si>
  <si>
    <t>ALINA EUGENIA ARANGO ZAPATA</t>
  </si>
  <si>
    <t>ESTHER JULIA BARRETO GUAYARA</t>
  </si>
  <si>
    <t>JULY CATHERINE BENITEZ TRIANA</t>
  </si>
  <si>
    <t> LINA XIMENA QUINTERO DIAZ</t>
  </si>
  <si>
    <t>PLAN SALUD GLOBAL COLECTIVO</t>
  </si>
  <si>
    <t xml:space="preserve">MARIA IVETH ALDANA </t>
  </si>
  <si>
    <t xml:space="preserve">LINA MARCELA DEVOA </t>
  </si>
  <si>
    <t>VALERIA PEÑALOZA GIL</t>
  </si>
  <si>
    <t>SOFIA DEL PILAR</t>
  </si>
  <si>
    <t>ELIA ELENA ESGUERRA</t>
  </si>
  <si>
    <t>GINA MARIA GARZON</t>
  </si>
  <si>
    <t>CONSULTA DE CONTRL POR ESPECIALISTA EN GINECOLOGIA Y OBSTETRICIA</t>
  </si>
  <si>
    <t xml:space="preserve">ANDREA TATIANA RENGIFO </t>
  </si>
  <si>
    <t>GILMA TATIANA PAEZ</t>
  </si>
  <si>
    <t>LUZ MERY OROZCO</t>
  </si>
  <si>
    <t>CATHERINE ANDREA ARIAS</t>
  </si>
  <si>
    <t xml:space="preserve">TARIFA COLECTIVO </t>
  </si>
  <si>
    <t>TARIFA CARE 14866926</t>
  </si>
  <si>
    <t>betriz eugenia aldana garcia</t>
  </si>
  <si>
    <t>TARIFA CARE</t>
  </si>
  <si>
    <t>TARIFA CARE 14866939</t>
  </si>
  <si>
    <t xml:space="preserve">diana medina </t>
  </si>
  <si>
    <t>VALOR PROCEDIMIENTO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</si>
</sst>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$&quot;* #,##0_-;\-&quot;$&quot;* #,##0_-;_-&quot;$&quot;* &quot;-&quot;_-;_-@_-"/>
    <numFmt numFmtId="164" formatCode="_-[$$-240A]* #,##0_-;\-[$$-240A]* #,##0_-;_-[$$-240A]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Docs-Calibri"/>
    </font>
    <font>
      <sz val="8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FF3FB"/>
        <bgColor indexed="64"/>
      </patternFill>
    </fill>
    <fill>
      <patternFill patternType="solid">
        <fgColor rgb="FF77D5F7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42" fontId="0" fillId="2" borderId="2" xfId="1" applyFont="1" applyFill="1" applyBorder="1" applyAlignment="1">
      <alignment vertical="center" wrapText="1"/>
    </xf>
    <xf numFmtId="42" fontId="0" fillId="2" borderId="0" xfId="1" applyFont="1" applyFill="1"/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/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top"/>
    </xf>
    <xf numFmtId="42" fontId="1" fillId="2" borderId="2" xfId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wrapText="1"/>
    </xf>
    <xf numFmtId="14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 vertical="top"/>
    </xf>
    <xf numFmtId="14" fontId="0" fillId="0" borderId="2" xfId="0" applyNumberFormat="1" applyBorder="1" applyAlignment="1">
      <alignment horizontal="left"/>
    </xf>
    <xf numFmtId="14" fontId="0" fillId="0" borderId="2" xfId="0" applyNumberFormat="1" applyBorder="1"/>
    <xf numFmtId="0" fontId="4" fillId="0" borderId="2" xfId="0" applyFont="1" applyBorder="1" applyAlignment="1">
      <alignment wrapText="1"/>
    </xf>
    <xf numFmtId="42" fontId="1" fillId="0" borderId="2" xfId="1" applyFont="1" applyBorder="1" applyAlignment="1">
      <alignment horizontal="center" vertical="center" wrapText="1"/>
    </xf>
    <xf numFmtId="42" fontId="1" fillId="0" borderId="2" xfId="1" applyFont="1" applyBorder="1" applyAlignment="1">
      <alignment horizontal="center" vertical="center"/>
    </xf>
    <xf numFmtId="42" fontId="1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4" fillId="2" borderId="2" xfId="0" applyFont="1" applyFill="1" applyBorder="1" applyAlignment="1">
      <alignment horizontal="left" vertical="center"/>
    </xf>
    <xf numFmtId="164" fontId="0" fillId="0" borderId="0" xfId="1" applyNumberFormat="1" applyFont="1"/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2" fontId="0" fillId="0" borderId="0" xfId="1" applyFont="1"/>
    <xf numFmtId="42" fontId="0" fillId="0" borderId="2" xfId="1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14" fontId="0" fillId="0" borderId="2" xfId="0" applyNumberFormat="1" applyFont="1" applyBorder="1" applyAlignment="1">
      <alignment horizontal="left" vertical="center"/>
    </xf>
    <xf numFmtId="42" fontId="4" fillId="0" borderId="2" xfId="1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0" fillId="2" borderId="2" xfId="0" applyFill="1" applyBorder="1" applyAlignment="1">
      <alignment wrapText="1"/>
    </xf>
    <xf numFmtId="0" fontId="4" fillId="6" borderId="2" xfId="0" applyFont="1" applyFill="1" applyBorder="1" applyAlignment="1">
      <alignment horizontal="left" vertical="center" wrapText="1"/>
    </xf>
    <xf numFmtId="42" fontId="0" fillId="0" borderId="2" xfId="1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42" fontId="4" fillId="2" borderId="2" xfId="1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4" fillId="5" borderId="2" xfId="0" applyFont="1" applyFill="1" applyBorder="1" applyAlignment="1">
      <alignment vertical="center" wrapText="1"/>
    </xf>
    <xf numFmtId="42" fontId="4" fillId="2" borderId="2" xfId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6" xfId="0" applyBorder="1"/>
    <xf numFmtId="0" fontId="0" fillId="0" borderId="7" xfId="0" applyBorder="1"/>
    <xf numFmtId="42" fontId="0" fillId="0" borderId="6" xfId="1" applyFont="1" applyBorder="1"/>
    <xf numFmtId="164" fontId="0" fillId="0" borderId="6" xfId="1" applyNumberFormat="1" applyFont="1" applyBorder="1"/>
    <xf numFmtId="0" fontId="0" fillId="2" borderId="1" xfId="0" applyFill="1" applyBorder="1" applyAlignment="1">
      <alignment wrapText="1"/>
    </xf>
    <xf numFmtId="164" fontId="0" fillId="2" borderId="5" xfId="1" applyNumberFormat="1" applyFont="1" applyFill="1" applyBorder="1" applyAlignment="1">
      <alignment wrapText="1"/>
    </xf>
    <xf numFmtId="0" fontId="0" fillId="8" borderId="0" xfId="0" applyFill="1"/>
    <xf numFmtId="42" fontId="0" fillId="0" borderId="1" xfId="1" applyFont="1" applyBorder="1" applyAlignment="1">
      <alignment horizontal="left" wrapText="1"/>
    </xf>
    <xf numFmtId="164" fontId="0" fillId="0" borderId="5" xfId="1" applyNumberFormat="1" applyFont="1" applyBorder="1" applyAlignment="1">
      <alignment horizontal="left" wrapText="1"/>
    </xf>
    <xf numFmtId="42" fontId="0" fillId="0" borderId="2" xfId="0" applyNumberFormat="1" applyBorder="1"/>
    <xf numFmtId="0" fontId="0" fillId="6" borderId="1" xfId="0" applyFill="1" applyBorder="1" applyAlignment="1">
      <alignment horizontal="left" wrapText="1"/>
    </xf>
    <xf numFmtId="42" fontId="0" fillId="0" borderId="0" xfId="0" applyNumberFormat="1"/>
    <xf numFmtId="14" fontId="0" fillId="0" borderId="6" xfId="0" applyNumberFormat="1" applyBorder="1"/>
    <xf numFmtId="14" fontId="0" fillId="8" borderId="1" xfId="0" applyNumberFormat="1" applyFill="1" applyBorder="1" applyAlignment="1">
      <alignment wrapText="1"/>
    </xf>
    <xf numFmtId="14" fontId="0" fillId="0" borderId="1" xfId="0" applyNumberFormat="1" applyBorder="1" applyAlignment="1">
      <alignment horizontal="left" wrapText="1"/>
    </xf>
    <xf numFmtId="14" fontId="0" fillId="0" borderId="2" xfId="0" applyNumberFormat="1" applyBorder="1" applyAlignment="1">
      <alignment horizontal="center" vertical="center" wrapText="1"/>
    </xf>
    <xf numFmtId="0" fontId="0" fillId="6" borderId="2" xfId="0" applyFill="1" applyBorder="1" applyAlignment="1">
      <alignment horizontal="left" wrapText="1"/>
    </xf>
    <xf numFmtId="42" fontId="0" fillId="2" borderId="2" xfId="1" applyFont="1" applyFill="1" applyBorder="1" applyAlignment="1">
      <alignment horizontal="center" vertical="center" wrapText="1"/>
    </xf>
    <xf numFmtId="42" fontId="0" fillId="0" borderId="0" xfId="1" applyFont="1" applyAlignment="1">
      <alignment vertical="center"/>
    </xf>
    <xf numFmtId="0" fontId="0" fillId="2" borderId="2" xfId="0" applyFill="1" applyBorder="1" applyAlignment="1">
      <alignment horizontal="left" wrapText="1"/>
    </xf>
    <xf numFmtId="0" fontId="0" fillId="0" borderId="2" xfId="0" applyBorder="1"/>
    <xf numFmtId="42" fontId="0" fillId="0" borderId="2" xfId="1" applyFont="1" applyBorder="1" applyAlignment="1">
      <alignment vertical="center"/>
    </xf>
    <xf numFmtId="0" fontId="4" fillId="0" borderId="0" xfId="0" applyFont="1" applyAlignment="1">
      <alignment wrapText="1"/>
    </xf>
    <xf numFmtId="0" fontId="0" fillId="9" borderId="2" xfId="0" applyFill="1" applyBorder="1" applyAlignment="1">
      <alignment horizontal="left" vertical="center" wrapText="1"/>
    </xf>
    <xf numFmtId="14" fontId="0" fillId="0" borderId="2" xfId="0" applyNumberFormat="1" applyBorder="1" applyAlignment="1">
      <alignment vertical="center" wrapText="1"/>
    </xf>
    <xf numFmtId="42" fontId="0" fillId="0" borderId="2" xfId="1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14" fontId="0" fillId="0" borderId="2" xfId="0" applyNumberFormat="1" applyBorder="1" applyAlignment="1">
      <alignment vertical="center"/>
    </xf>
    <xf numFmtId="42" fontId="0" fillId="0" borderId="2" xfId="1" applyFont="1" applyBorder="1"/>
    <xf numFmtId="0" fontId="0" fillId="0" borderId="2" xfId="0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2" xfId="0" applyFont="1" applyFill="1" applyBorder="1" applyAlignment="1">
      <alignment horizontal="left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3"/>
  <sheetViews>
    <sheetView topLeftCell="B1" zoomScaleNormal="100" workbookViewId="0">
      <selection activeCell="I2" sqref="I2"/>
    </sheetView>
  </sheetViews>
  <sheetFormatPr baseColWidth="10" defaultRowHeight="14.4"/>
  <cols>
    <col min="2" max="2" width="4.77734375" style="1" customWidth="1"/>
    <col min="3" max="3" width="15.5546875" style="1" customWidth="1"/>
    <col min="4" max="4" width="31.44140625" style="1" customWidth="1"/>
    <col min="5" max="5" width="14" style="1" customWidth="1"/>
    <col min="6" max="6" width="10.33203125" style="1" customWidth="1"/>
    <col min="7" max="7" width="23.44140625" style="1" customWidth="1"/>
    <col min="8" max="8" width="19.88671875" style="1" customWidth="1"/>
    <col min="9" max="9" width="19.88671875" style="5" customWidth="1"/>
    <col min="10" max="10" width="10.6640625" style="5" customWidth="1"/>
    <col min="11" max="11" width="15.5546875" style="5" customWidth="1"/>
  </cols>
  <sheetData>
    <row r="2" spans="1:11" ht="28.8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35</v>
      </c>
      <c r="I2" s="4" t="s">
        <v>183</v>
      </c>
      <c r="J2" s="4" t="s">
        <v>24</v>
      </c>
      <c r="K2" s="4" t="s">
        <v>25</v>
      </c>
    </row>
    <row r="3" spans="1:11" ht="55.2">
      <c r="A3" s="49">
        <v>20240702</v>
      </c>
      <c r="B3" s="50" t="s">
        <v>0</v>
      </c>
      <c r="C3" s="50">
        <v>1110552209</v>
      </c>
      <c r="D3" s="49" t="s">
        <v>134</v>
      </c>
      <c r="E3" s="50">
        <v>3125640009</v>
      </c>
      <c r="F3" s="52" t="s">
        <v>16</v>
      </c>
      <c r="G3" s="53" t="s">
        <v>13</v>
      </c>
      <c r="H3" s="35" t="s">
        <v>57</v>
      </c>
      <c r="I3" s="44">
        <v>73500</v>
      </c>
      <c r="J3" s="51">
        <v>39800</v>
      </c>
      <c r="K3" s="51">
        <f>I3-J3</f>
        <v>33700</v>
      </c>
    </row>
    <row r="4" spans="1:11" ht="55.2">
      <c r="A4" s="49">
        <v>20240702</v>
      </c>
      <c r="B4" s="50" t="s">
        <v>0</v>
      </c>
      <c r="C4" s="53">
        <v>1075246501</v>
      </c>
      <c r="D4" s="53" t="s">
        <v>135</v>
      </c>
      <c r="E4" s="50">
        <v>3125640009</v>
      </c>
      <c r="F4" s="52" t="s">
        <v>16</v>
      </c>
      <c r="G4" s="53" t="s">
        <v>14</v>
      </c>
      <c r="H4" s="35" t="s">
        <v>57</v>
      </c>
      <c r="I4" s="44">
        <v>62400</v>
      </c>
      <c r="J4" s="51">
        <v>26700</v>
      </c>
      <c r="K4" s="51">
        <f t="shared" ref="K4:K32" si="0">I4-J4</f>
        <v>35700</v>
      </c>
    </row>
    <row r="5" spans="1:11" ht="55.2">
      <c r="A5" s="53">
        <v>20240724</v>
      </c>
      <c r="B5" s="50" t="s">
        <v>0</v>
      </c>
      <c r="C5" s="54">
        <v>65801487</v>
      </c>
      <c r="D5" s="53" t="s">
        <v>5</v>
      </c>
      <c r="E5" s="50">
        <v>3125640009</v>
      </c>
      <c r="F5" s="52" t="s">
        <v>16</v>
      </c>
      <c r="G5" s="53" t="s">
        <v>14</v>
      </c>
      <c r="H5" s="35" t="s">
        <v>57</v>
      </c>
      <c r="I5" s="44">
        <v>62400</v>
      </c>
      <c r="J5" s="51">
        <v>26700</v>
      </c>
      <c r="K5" s="51">
        <f t="shared" si="0"/>
        <v>35700</v>
      </c>
    </row>
    <row r="6" spans="1:11" ht="55.2">
      <c r="A6" s="52">
        <v>20240802</v>
      </c>
      <c r="B6" s="50" t="s">
        <v>0</v>
      </c>
      <c r="C6" s="52">
        <v>1110571450</v>
      </c>
      <c r="D6" s="52" t="s">
        <v>1</v>
      </c>
      <c r="E6" s="33">
        <v>3142770702</v>
      </c>
      <c r="F6" s="52" t="s">
        <v>16</v>
      </c>
      <c r="G6" s="52" t="s">
        <v>11</v>
      </c>
      <c r="H6" s="35" t="s">
        <v>57</v>
      </c>
      <c r="I6" s="44">
        <v>62400</v>
      </c>
      <c r="J6" s="55">
        <v>24100</v>
      </c>
      <c r="K6" s="51">
        <f t="shared" si="0"/>
        <v>38300</v>
      </c>
    </row>
    <row r="7" spans="1:11" ht="55.2">
      <c r="A7" s="52">
        <v>20240802</v>
      </c>
      <c r="B7" s="50" t="s">
        <v>0</v>
      </c>
      <c r="C7" s="52">
        <v>1110600304</v>
      </c>
      <c r="D7" s="52" t="s">
        <v>2</v>
      </c>
      <c r="E7" s="52">
        <v>3105517292</v>
      </c>
      <c r="F7" s="52" t="s">
        <v>16</v>
      </c>
      <c r="G7" s="33" t="s">
        <v>12</v>
      </c>
      <c r="H7" s="35" t="s">
        <v>57</v>
      </c>
      <c r="I7" s="44">
        <v>71300</v>
      </c>
      <c r="J7" s="55">
        <v>42600</v>
      </c>
      <c r="K7" s="51">
        <f t="shared" si="0"/>
        <v>28700</v>
      </c>
    </row>
    <row r="8" spans="1:11" ht="55.2">
      <c r="A8" s="52">
        <v>20240805</v>
      </c>
      <c r="B8" s="50" t="s">
        <v>0</v>
      </c>
      <c r="C8" s="52">
        <v>1110498854</v>
      </c>
      <c r="D8" s="52" t="s">
        <v>3</v>
      </c>
      <c r="E8" s="33">
        <v>3505112669</v>
      </c>
      <c r="F8" s="52" t="s">
        <v>16</v>
      </c>
      <c r="G8" s="33" t="s">
        <v>13</v>
      </c>
      <c r="H8" s="47" t="s">
        <v>136</v>
      </c>
      <c r="I8" s="44">
        <v>59100</v>
      </c>
      <c r="J8" s="55">
        <v>39800</v>
      </c>
      <c r="K8" s="51">
        <f t="shared" si="0"/>
        <v>19300</v>
      </c>
    </row>
    <row r="9" spans="1:11" ht="55.2">
      <c r="A9" s="53">
        <v>2024085</v>
      </c>
      <c r="B9" s="50" t="s">
        <v>0</v>
      </c>
      <c r="C9" s="54">
        <v>65801487</v>
      </c>
      <c r="D9" s="53" t="s">
        <v>5</v>
      </c>
      <c r="E9" s="50">
        <v>3125640009</v>
      </c>
      <c r="F9" s="52" t="s">
        <v>16</v>
      </c>
      <c r="G9" s="53" t="s">
        <v>14</v>
      </c>
      <c r="H9" s="35" t="s">
        <v>57</v>
      </c>
      <c r="I9" s="44">
        <v>62400</v>
      </c>
      <c r="J9" s="51">
        <v>26700</v>
      </c>
      <c r="K9" s="51">
        <f t="shared" ref="K9" si="1">I9-J9</f>
        <v>35700</v>
      </c>
    </row>
    <row r="10" spans="1:11" ht="55.2">
      <c r="A10" s="52">
        <v>20240805</v>
      </c>
      <c r="B10" s="50" t="s">
        <v>0</v>
      </c>
      <c r="C10" s="52">
        <v>38364727</v>
      </c>
      <c r="D10" s="52" t="s">
        <v>4</v>
      </c>
      <c r="E10" s="33">
        <v>3168257219</v>
      </c>
      <c r="F10" s="52" t="s">
        <v>16</v>
      </c>
      <c r="G10" s="52" t="s">
        <v>13</v>
      </c>
      <c r="H10" s="35" t="s">
        <v>57</v>
      </c>
      <c r="I10" s="44">
        <v>73500</v>
      </c>
      <c r="J10" s="55">
        <v>39800</v>
      </c>
      <c r="K10" s="51">
        <f t="shared" si="0"/>
        <v>33700</v>
      </c>
    </row>
    <row r="11" spans="1:11" ht="55.2">
      <c r="A11" s="52">
        <v>20240805</v>
      </c>
      <c r="B11" s="50" t="s">
        <v>0</v>
      </c>
      <c r="C11" s="52">
        <v>65801487</v>
      </c>
      <c r="D11" s="52" t="s">
        <v>5</v>
      </c>
      <c r="E11" s="33">
        <v>3208493519</v>
      </c>
      <c r="F11" s="52" t="s">
        <v>16</v>
      </c>
      <c r="G11" s="52" t="s">
        <v>14</v>
      </c>
      <c r="H11" s="47" t="s">
        <v>136</v>
      </c>
      <c r="I11" s="44">
        <v>49600</v>
      </c>
      <c r="J11" s="55">
        <v>26700</v>
      </c>
      <c r="K11" s="51">
        <f t="shared" si="0"/>
        <v>22900</v>
      </c>
    </row>
    <row r="12" spans="1:11" ht="55.2">
      <c r="A12" s="52">
        <v>20240805</v>
      </c>
      <c r="B12" s="52" t="s">
        <v>6</v>
      </c>
      <c r="C12" s="52">
        <v>1053446360</v>
      </c>
      <c r="D12" s="52" t="s">
        <v>7</v>
      </c>
      <c r="E12" s="52">
        <v>3204963355</v>
      </c>
      <c r="F12" s="52" t="s">
        <v>16</v>
      </c>
      <c r="G12" s="33" t="s">
        <v>15</v>
      </c>
      <c r="H12" s="35" t="s">
        <v>57</v>
      </c>
      <c r="I12" s="44">
        <v>68200</v>
      </c>
      <c r="J12" s="55">
        <v>32800</v>
      </c>
      <c r="K12" s="51">
        <f t="shared" si="0"/>
        <v>35400</v>
      </c>
    </row>
    <row r="13" spans="1:11" ht="55.2">
      <c r="A13" s="52">
        <v>20240820</v>
      </c>
      <c r="B13" s="52" t="s">
        <v>0</v>
      </c>
      <c r="C13" s="52">
        <v>1110465743</v>
      </c>
      <c r="D13" s="52" t="s">
        <v>8</v>
      </c>
      <c r="E13" s="33">
        <v>3182850651</v>
      </c>
      <c r="F13" s="52" t="s">
        <v>16</v>
      </c>
      <c r="G13" s="33" t="s">
        <v>13</v>
      </c>
      <c r="H13" s="35" t="s">
        <v>57</v>
      </c>
      <c r="I13" s="44">
        <v>73500</v>
      </c>
      <c r="J13" s="55">
        <v>39700</v>
      </c>
      <c r="K13" s="51">
        <f t="shared" si="0"/>
        <v>33800</v>
      </c>
    </row>
    <row r="14" spans="1:11" ht="55.2">
      <c r="A14" s="52">
        <v>20240821</v>
      </c>
      <c r="B14" s="52" t="s">
        <v>0</v>
      </c>
      <c r="C14" s="52">
        <v>1006020953</v>
      </c>
      <c r="D14" s="52" t="s">
        <v>9</v>
      </c>
      <c r="E14" s="33">
        <v>3145639776</v>
      </c>
      <c r="F14" s="52" t="s">
        <v>16</v>
      </c>
      <c r="G14" s="33" t="s">
        <v>13</v>
      </c>
      <c r="H14" s="35" t="s">
        <v>57</v>
      </c>
      <c r="I14" s="44">
        <v>73500</v>
      </c>
      <c r="J14" s="55">
        <v>39800</v>
      </c>
      <c r="K14" s="51">
        <f t="shared" si="0"/>
        <v>33700</v>
      </c>
    </row>
    <row r="15" spans="1:11" ht="55.2">
      <c r="A15" s="52">
        <v>20240821</v>
      </c>
      <c r="B15" s="52" t="s">
        <v>0</v>
      </c>
      <c r="C15" s="52">
        <v>65774210</v>
      </c>
      <c r="D15" s="52" t="s">
        <v>10</v>
      </c>
      <c r="E15" s="33">
        <v>3118295125</v>
      </c>
      <c r="F15" s="52" t="s">
        <v>16</v>
      </c>
      <c r="G15" s="33" t="s">
        <v>15</v>
      </c>
      <c r="H15" s="35" t="s">
        <v>57</v>
      </c>
      <c r="I15" s="44">
        <v>68200</v>
      </c>
      <c r="J15" s="55">
        <v>32800</v>
      </c>
      <c r="K15" s="51">
        <f t="shared" si="0"/>
        <v>35400</v>
      </c>
    </row>
    <row r="16" spans="1:11" ht="55.2">
      <c r="A16" s="52">
        <v>20240903</v>
      </c>
      <c r="B16" s="52" t="s">
        <v>0</v>
      </c>
      <c r="C16" s="52">
        <v>1110516213</v>
      </c>
      <c r="D16" s="52" t="s">
        <v>26</v>
      </c>
      <c r="E16" s="33">
        <v>3192559223</v>
      </c>
      <c r="F16" s="52" t="s">
        <v>16</v>
      </c>
      <c r="G16" s="33" t="s">
        <v>15</v>
      </c>
      <c r="H16" s="35" t="s">
        <v>57</v>
      </c>
      <c r="I16" s="44">
        <v>73500</v>
      </c>
      <c r="J16" s="55">
        <v>0</v>
      </c>
      <c r="K16" s="51">
        <f t="shared" si="0"/>
        <v>73500</v>
      </c>
    </row>
    <row r="17" spans="1:11" ht="55.2">
      <c r="A17" s="52">
        <v>20240904</v>
      </c>
      <c r="B17" s="52" t="s">
        <v>0</v>
      </c>
      <c r="C17" s="52">
        <v>1110498854</v>
      </c>
      <c r="D17" s="52" t="s">
        <v>3</v>
      </c>
      <c r="E17" s="33">
        <v>3505112669</v>
      </c>
      <c r="F17" s="52" t="s">
        <v>16</v>
      </c>
      <c r="G17" s="52" t="s">
        <v>13</v>
      </c>
      <c r="H17" s="47" t="s">
        <v>136</v>
      </c>
      <c r="I17" s="44">
        <v>59100</v>
      </c>
      <c r="J17" s="55">
        <v>39800</v>
      </c>
      <c r="K17" s="51">
        <f t="shared" si="0"/>
        <v>19300</v>
      </c>
    </row>
    <row r="18" spans="1:11" ht="55.2">
      <c r="A18" s="52">
        <v>20240904</v>
      </c>
      <c r="B18" s="52" t="s">
        <v>0</v>
      </c>
      <c r="C18" s="52">
        <v>1110571450</v>
      </c>
      <c r="D18" s="52" t="s">
        <v>1</v>
      </c>
      <c r="E18" s="33">
        <v>3142770702</v>
      </c>
      <c r="F18" s="52" t="s">
        <v>16</v>
      </c>
      <c r="G18" s="33" t="s">
        <v>11</v>
      </c>
      <c r="H18" s="35" t="s">
        <v>57</v>
      </c>
      <c r="I18" s="44">
        <v>62400</v>
      </c>
      <c r="J18" s="55">
        <v>24100</v>
      </c>
      <c r="K18" s="51">
        <f t="shared" si="0"/>
        <v>38300</v>
      </c>
    </row>
    <row r="19" spans="1:11" ht="55.2">
      <c r="A19" s="52">
        <v>20240912</v>
      </c>
      <c r="B19" s="52" t="s">
        <v>0</v>
      </c>
      <c r="C19" s="52">
        <v>1110600304</v>
      </c>
      <c r="D19" s="52" t="s">
        <v>2</v>
      </c>
      <c r="E19" s="33">
        <v>3105517292</v>
      </c>
      <c r="F19" s="52" t="s">
        <v>16</v>
      </c>
      <c r="G19" s="52" t="s">
        <v>12</v>
      </c>
      <c r="H19" s="35" t="s">
        <v>57</v>
      </c>
      <c r="I19" s="44">
        <v>71300</v>
      </c>
      <c r="J19" s="55">
        <v>42600</v>
      </c>
      <c r="K19" s="51">
        <f t="shared" si="0"/>
        <v>28700</v>
      </c>
    </row>
    <row r="20" spans="1:11" ht="55.2">
      <c r="A20" s="52">
        <v>20240912</v>
      </c>
      <c r="B20" s="52" t="s">
        <v>0</v>
      </c>
      <c r="C20" s="52">
        <v>41738425</v>
      </c>
      <c r="D20" s="52" t="s">
        <v>27</v>
      </c>
      <c r="E20" s="33">
        <v>3132698004</v>
      </c>
      <c r="F20" s="52" t="s">
        <v>16</v>
      </c>
      <c r="G20" s="33" t="s">
        <v>31</v>
      </c>
      <c r="H20" s="35" t="s">
        <v>57</v>
      </c>
      <c r="I20" s="44">
        <v>62400</v>
      </c>
      <c r="J20" s="55">
        <v>22800</v>
      </c>
      <c r="K20" s="51">
        <f t="shared" si="0"/>
        <v>39600</v>
      </c>
    </row>
    <row r="21" spans="1:11" ht="55.2">
      <c r="A21" s="52">
        <v>20240912</v>
      </c>
      <c r="B21" s="52" t="s">
        <v>6</v>
      </c>
      <c r="C21" s="52">
        <v>1106227959</v>
      </c>
      <c r="D21" s="52" t="s">
        <v>28</v>
      </c>
      <c r="E21" s="33" t="s">
        <v>30</v>
      </c>
      <c r="F21" s="52" t="s">
        <v>16</v>
      </c>
      <c r="G21" s="33" t="s">
        <v>12</v>
      </c>
      <c r="H21" s="35" t="s">
        <v>57</v>
      </c>
      <c r="I21" s="44">
        <v>71300</v>
      </c>
      <c r="J21" s="55">
        <v>42600</v>
      </c>
      <c r="K21" s="51">
        <f t="shared" si="0"/>
        <v>28700</v>
      </c>
    </row>
    <row r="22" spans="1:11" ht="55.2">
      <c r="A22" s="52">
        <v>20240916</v>
      </c>
      <c r="B22" s="52" t="s">
        <v>0</v>
      </c>
      <c r="C22" s="52">
        <v>1073628050</v>
      </c>
      <c r="D22" s="52" t="s">
        <v>29</v>
      </c>
      <c r="E22" s="33">
        <v>3148620907</v>
      </c>
      <c r="F22" s="52" t="s">
        <v>16</v>
      </c>
      <c r="G22" s="52" t="s">
        <v>31</v>
      </c>
      <c r="H22" s="35" t="s">
        <v>57</v>
      </c>
      <c r="I22" s="44">
        <v>62400</v>
      </c>
      <c r="J22" s="55">
        <v>22800</v>
      </c>
      <c r="K22" s="51">
        <f t="shared" si="0"/>
        <v>39600</v>
      </c>
    </row>
    <row r="23" spans="1:11" ht="55.2">
      <c r="A23" s="52">
        <v>20240917</v>
      </c>
      <c r="B23" s="52" t="s">
        <v>0</v>
      </c>
      <c r="C23" s="52">
        <v>1110498854</v>
      </c>
      <c r="D23" s="52" t="s">
        <v>3</v>
      </c>
      <c r="E23" s="33">
        <v>3505112669</v>
      </c>
      <c r="F23" s="52" t="s">
        <v>16</v>
      </c>
      <c r="G23" s="52" t="s">
        <v>13</v>
      </c>
      <c r="H23" s="35" t="s">
        <v>57</v>
      </c>
      <c r="I23" s="44">
        <v>59100</v>
      </c>
      <c r="J23" s="55">
        <v>39800</v>
      </c>
      <c r="K23" s="51">
        <f t="shared" si="0"/>
        <v>19300</v>
      </c>
    </row>
    <row r="24" spans="1:11" ht="55.2">
      <c r="A24" s="52">
        <v>20241001</v>
      </c>
      <c r="B24" s="52"/>
      <c r="C24" s="56">
        <v>1110548374</v>
      </c>
      <c r="D24" s="56" t="s">
        <v>137</v>
      </c>
      <c r="E24" s="33">
        <v>3125640009</v>
      </c>
      <c r="F24" s="52" t="s">
        <v>16</v>
      </c>
      <c r="G24" s="57" t="s">
        <v>13</v>
      </c>
      <c r="H24" s="35" t="s">
        <v>57</v>
      </c>
      <c r="I24" s="44">
        <v>73500</v>
      </c>
      <c r="J24" s="55">
        <v>43400</v>
      </c>
      <c r="K24" s="51">
        <f t="shared" si="0"/>
        <v>30100</v>
      </c>
    </row>
    <row r="25" spans="1:11" ht="55.2">
      <c r="A25" s="52">
        <v>20241007</v>
      </c>
      <c r="B25" s="52"/>
      <c r="C25" s="58" t="s">
        <v>139</v>
      </c>
      <c r="D25" s="56" t="s">
        <v>138</v>
      </c>
      <c r="E25" s="59">
        <v>3125640009</v>
      </c>
      <c r="F25" s="58" t="s">
        <v>16</v>
      </c>
      <c r="G25" s="56" t="s">
        <v>13</v>
      </c>
      <c r="H25" s="35" t="s">
        <v>57</v>
      </c>
      <c r="I25" s="44">
        <v>73500</v>
      </c>
      <c r="J25" s="55">
        <v>39700</v>
      </c>
      <c r="K25" s="51">
        <f t="shared" si="0"/>
        <v>33800</v>
      </c>
    </row>
    <row r="26" spans="1:11" ht="55.2">
      <c r="A26" s="52">
        <v>20241008</v>
      </c>
      <c r="B26" s="52"/>
      <c r="C26" s="52">
        <v>1110552209</v>
      </c>
      <c r="D26" s="53" t="s">
        <v>134</v>
      </c>
      <c r="E26" s="33">
        <v>3125640009</v>
      </c>
      <c r="F26" s="52" t="s">
        <v>16</v>
      </c>
      <c r="G26" s="53" t="s">
        <v>13</v>
      </c>
      <c r="H26" s="35" t="s">
        <v>57</v>
      </c>
      <c r="I26" s="44">
        <v>73500</v>
      </c>
      <c r="J26" s="55">
        <v>39800</v>
      </c>
      <c r="K26" s="51">
        <f t="shared" si="0"/>
        <v>33700</v>
      </c>
    </row>
    <row r="27" spans="1:11" ht="55.2">
      <c r="A27" s="52">
        <v>20241009</v>
      </c>
      <c r="B27" s="52"/>
      <c r="C27" s="52">
        <v>28853883</v>
      </c>
      <c r="D27" s="53" t="s">
        <v>140</v>
      </c>
      <c r="E27" s="33">
        <v>3125640009</v>
      </c>
      <c r="F27" s="52" t="s">
        <v>16</v>
      </c>
      <c r="G27" s="53" t="s">
        <v>13</v>
      </c>
      <c r="H27" s="35" t="s">
        <v>57</v>
      </c>
      <c r="I27" s="44">
        <v>73500</v>
      </c>
      <c r="J27" s="55">
        <v>39800</v>
      </c>
      <c r="K27" s="51">
        <f t="shared" si="0"/>
        <v>33700</v>
      </c>
    </row>
    <row r="28" spans="1:11" ht="55.2">
      <c r="A28" s="52">
        <v>20241009</v>
      </c>
      <c r="B28" s="52"/>
      <c r="C28" s="60">
        <v>1110600304</v>
      </c>
      <c r="D28" s="56" t="s">
        <v>2</v>
      </c>
      <c r="E28" s="45">
        <v>3125640009</v>
      </c>
      <c r="F28" s="60" t="s">
        <v>16</v>
      </c>
      <c r="G28" s="60" t="s">
        <v>12</v>
      </c>
      <c r="H28" s="47" t="s">
        <v>136</v>
      </c>
      <c r="I28" s="44">
        <v>34700</v>
      </c>
      <c r="J28" s="55">
        <v>21700</v>
      </c>
      <c r="K28" s="51">
        <f t="shared" si="0"/>
        <v>13000</v>
      </c>
    </row>
    <row r="29" spans="1:11" ht="55.2">
      <c r="A29" s="52">
        <v>20241031</v>
      </c>
      <c r="B29" s="52" t="s">
        <v>6</v>
      </c>
      <c r="C29" s="52">
        <v>1106227959</v>
      </c>
      <c r="D29" s="52" t="s">
        <v>28</v>
      </c>
      <c r="E29" s="33" t="s">
        <v>30</v>
      </c>
      <c r="F29" s="52" t="s">
        <v>16</v>
      </c>
      <c r="G29" s="33" t="s">
        <v>12</v>
      </c>
      <c r="H29" s="35" t="s">
        <v>57</v>
      </c>
      <c r="I29" s="44">
        <v>71300</v>
      </c>
      <c r="J29" s="55">
        <v>42600</v>
      </c>
      <c r="K29" s="51">
        <f t="shared" si="0"/>
        <v>28700</v>
      </c>
    </row>
    <row r="30" spans="1:11" ht="55.2">
      <c r="A30" s="52">
        <v>20241031</v>
      </c>
      <c r="B30" s="50" t="s">
        <v>0</v>
      </c>
      <c r="C30" s="52">
        <v>38364727</v>
      </c>
      <c r="D30" s="52" t="s">
        <v>4</v>
      </c>
      <c r="E30" s="33">
        <v>3168257219</v>
      </c>
      <c r="F30" s="52" t="s">
        <v>16</v>
      </c>
      <c r="G30" s="52" t="s">
        <v>13</v>
      </c>
      <c r="H30" s="35" t="s">
        <v>57</v>
      </c>
      <c r="I30" s="44">
        <v>73500</v>
      </c>
      <c r="J30" s="55">
        <v>39800</v>
      </c>
      <c r="K30" s="51">
        <f t="shared" si="0"/>
        <v>33700</v>
      </c>
    </row>
    <row r="31" spans="1:11" ht="55.2">
      <c r="A31" s="52">
        <v>20241031</v>
      </c>
      <c r="B31" s="52"/>
      <c r="C31" s="52">
        <v>28853883</v>
      </c>
      <c r="D31" s="53" t="s">
        <v>140</v>
      </c>
      <c r="E31" s="33">
        <v>3125640009</v>
      </c>
      <c r="F31" s="52" t="s">
        <v>16</v>
      </c>
      <c r="G31" s="53" t="s">
        <v>13</v>
      </c>
      <c r="H31" s="47" t="s">
        <v>136</v>
      </c>
      <c r="I31" s="44">
        <v>59100</v>
      </c>
      <c r="J31" s="55">
        <v>39800</v>
      </c>
      <c r="K31" s="51">
        <f t="shared" si="0"/>
        <v>19300</v>
      </c>
    </row>
    <row r="32" spans="1:11" ht="55.2">
      <c r="A32" s="52">
        <v>20241031</v>
      </c>
      <c r="B32" s="52"/>
      <c r="C32" s="52" t="s">
        <v>139</v>
      </c>
      <c r="D32" s="53" t="s">
        <v>138</v>
      </c>
      <c r="E32" s="33">
        <v>3125640009</v>
      </c>
      <c r="F32" s="52" t="s">
        <v>16</v>
      </c>
      <c r="G32" s="53" t="s">
        <v>13</v>
      </c>
      <c r="H32" s="47" t="s">
        <v>136</v>
      </c>
      <c r="I32" s="44">
        <v>59100</v>
      </c>
      <c r="J32" s="55">
        <v>39700</v>
      </c>
      <c r="K32" s="51">
        <f t="shared" si="0"/>
        <v>19400</v>
      </c>
    </row>
    <row r="33" spans="11:11">
      <c r="K33" s="5">
        <f>SUM(K3:K32)</f>
        <v>954400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3:U35"/>
  <sheetViews>
    <sheetView workbookViewId="0">
      <selection activeCell="I3" sqref="I3"/>
    </sheetView>
  </sheetViews>
  <sheetFormatPr baseColWidth="10" defaultRowHeight="14.4"/>
  <cols>
    <col min="2" max="2" width="3.88671875" customWidth="1"/>
    <col min="3" max="3" width="13.21875" customWidth="1"/>
    <col min="4" max="4" width="32" customWidth="1"/>
    <col min="5" max="5" width="13.77734375" customWidth="1"/>
    <col min="6" max="6" width="12" customWidth="1"/>
    <col min="7" max="7" width="12.33203125" customWidth="1"/>
    <col min="8" max="8" width="18.33203125" customWidth="1"/>
    <col min="9" max="9" width="18.33203125" style="80" customWidth="1"/>
    <col min="10" max="11" width="11.5546875" style="29"/>
  </cols>
  <sheetData>
    <row r="3" spans="1:21" ht="28.8">
      <c r="A3" s="9" t="s">
        <v>17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35</v>
      </c>
      <c r="I3" s="4" t="s">
        <v>183</v>
      </c>
      <c r="J3" s="15" t="s">
        <v>24</v>
      </c>
      <c r="K3" s="15" t="s">
        <v>33</v>
      </c>
      <c r="L3" s="8"/>
      <c r="M3" s="8"/>
    </row>
    <row r="4" spans="1:21" ht="72">
      <c r="A4" s="9" t="s">
        <v>160</v>
      </c>
      <c r="B4" s="10"/>
      <c r="C4" s="10">
        <v>32105584</v>
      </c>
      <c r="D4" s="56" t="s">
        <v>161</v>
      </c>
      <c r="E4" s="10">
        <v>3125640009</v>
      </c>
      <c r="F4" s="10" t="s">
        <v>37</v>
      </c>
      <c r="G4" s="19" t="s">
        <v>165</v>
      </c>
      <c r="H4" s="61" t="s">
        <v>57</v>
      </c>
      <c r="I4" s="79">
        <v>103000</v>
      </c>
      <c r="J4" s="15">
        <v>44900</v>
      </c>
      <c r="K4" s="15">
        <f>I4-J4</f>
        <v>58100</v>
      </c>
      <c r="L4" s="8"/>
      <c r="M4" s="8"/>
    </row>
    <row r="5" spans="1:21" ht="72">
      <c r="A5" s="77">
        <v>45481</v>
      </c>
      <c r="B5" s="10"/>
      <c r="C5" s="10">
        <v>38142221</v>
      </c>
      <c r="D5" s="56" t="s">
        <v>162</v>
      </c>
      <c r="E5" s="10">
        <v>3125640009</v>
      </c>
      <c r="F5" s="10" t="s">
        <v>37</v>
      </c>
      <c r="G5" s="19" t="s">
        <v>43</v>
      </c>
      <c r="H5" s="61" t="s">
        <v>57</v>
      </c>
      <c r="I5" s="79">
        <v>103000</v>
      </c>
      <c r="J5" s="15">
        <v>45700</v>
      </c>
      <c r="K5" s="15">
        <f t="shared" ref="K5:K28" si="0">I5-J5</f>
        <v>57300</v>
      </c>
      <c r="L5" s="8"/>
      <c r="M5" s="8"/>
    </row>
    <row r="6" spans="1:21" ht="72">
      <c r="A6" s="77">
        <v>45496</v>
      </c>
      <c r="B6" s="10"/>
      <c r="C6" s="10">
        <v>38210840</v>
      </c>
      <c r="D6" s="56" t="s">
        <v>163</v>
      </c>
      <c r="E6" s="10">
        <v>3125640009</v>
      </c>
      <c r="F6" s="10" t="s">
        <v>37</v>
      </c>
      <c r="G6" s="19" t="s">
        <v>43</v>
      </c>
      <c r="H6" s="78" t="s">
        <v>115</v>
      </c>
      <c r="I6" s="79">
        <v>54700</v>
      </c>
      <c r="J6" s="15">
        <v>45700</v>
      </c>
      <c r="K6" s="15">
        <f t="shared" si="0"/>
        <v>9000</v>
      </c>
      <c r="L6" s="8"/>
      <c r="M6" s="8"/>
    </row>
    <row r="7" spans="1:21" ht="43.2">
      <c r="A7" s="77">
        <v>45496</v>
      </c>
      <c r="B7" s="10"/>
      <c r="C7" s="10">
        <v>1110544679</v>
      </c>
      <c r="D7" s="56" t="s">
        <v>164</v>
      </c>
      <c r="E7" s="10">
        <v>3125640009</v>
      </c>
      <c r="F7" s="10" t="s">
        <v>37</v>
      </c>
      <c r="G7" s="19" t="s">
        <v>52</v>
      </c>
      <c r="H7" s="85" t="s">
        <v>32</v>
      </c>
      <c r="I7" s="79">
        <v>110000</v>
      </c>
      <c r="J7" s="15">
        <v>29300</v>
      </c>
      <c r="K7" s="15">
        <f t="shared" si="0"/>
        <v>80700</v>
      </c>
      <c r="L7" s="8"/>
      <c r="M7" s="8"/>
    </row>
    <row r="8" spans="1:21" ht="72">
      <c r="A8" s="11">
        <v>45509</v>
      </c>
      <c r="B8" s="12" t="s">
        <v>0</v>
      </c>
      <c r="C8" s="12">
        <v>1018462837</v>
      </c>
      <c r="D8" s="12" t="s">
        <v>34</v>
      </c>
      <c r="E8" s="12">
        <v>3204148735</v>
      </c>
      <c r="F8" s="12" t="s">
        <v>37</v>
      </c>
      <c r="G8" s="19" t="s">
        <v>42</v>
      </c>
      <c r="H8" s="61" t="s">
        <v>57</v>
      </c>
      <c r="I8" s="48">
        <v>103000</v>
      </c>
      <c r="J8" s="28">
        <v>45700</v>
      </c>
      <c r="K8" s="15">
        <f t="shared" si="0"/>
        <v>57300</v>
      </c>
      <c r="L8" s="8"/>
      <c r="M8" s="8"/>
      <c r="N8" s="7"/>
      <c r="O8" s="7"/>
      <c r="P8" s="7"/>
      <c r="Q8" s="7"/>
      <c r="R8" s="7"/>
      <c r="S8" s="7"/>
      <c r="T8" s="7"/>
      <c r="U8" s="7"/>
    </row>
    <row r="9" spans="1:21" ht="43.2">
      <c r="A9" s="11">
        <v>45509</v>
      </c>
      <c r="B9" s="12" t="s">
        <v>0</v>
      </c>
      <c r="C9" s="12">
        <v>1018462837</v>
      </c>
      <c r="D9" s="12" t="s">
        <v>34</v>
      </c>
      <c r="E9" s="12">
        <v>3204148735</v>
      </c>
      <c r="F9" s="12" t="s">
        <v>37</v>
      </c>
      <c r="G9" s="19" t="s">
        <v>43</v>
      </c>
      <c r="H9" s="85" t="s">
        <v>32</v>
      </c>
      <c r="I9" s="48">
        <v>110000</v>
      </c>
      <c r="J9" s="27">
        <v>29800</v>
      </c>
      <c r="K9" s="15">
        <f t="shared" si="0"/>
        <v>80200</v>
      </c>
      <c r="L9" s="8"/>
      <c r="M9" s="8"/>
      <c r="N9" s="7"/>
      <c r="O9" s="7"/>
      <c r="P9" s="7"/>
      <c r="Q9" s="7"/>
      <c r="R9" s="7"/>
      <c r="S9" s="7"/>
      <c r="T9" s="7"/>
      <c r="U9" s="7"/>
    </row>
    <row r="10" spans="1:21" ht="72">
      <c r="A10" s="11">
        <v>45520</v>
      </c>
      <c r="B10" s="12" t="s">
        <v>0</v>
      </c>
      <c r="C10" s="12">
        <v>1110544679</v>
      </c>
      <c r="D10" s="12" t="s">
        <v>38</v>
      </c>
      <c r="E10" s="12">
        <v>3175159614</v>
      </c>
      <c r="F10" s="12" t="s">
        <v>37</v>
      </c>
      <c r="G10" s="19" t="s">
        <v>52</v>
      </c>
      <c r="H10" s="78" t="s">
        <v>115</v>
      </c>
      <c r="I10" s="48">
        <v>54700</v>
      </c>
      <c r="J10" s="27">
        <v>0</v>
      </c>
      <c r="K10" s="15">
        <f t="shared" si="0"/>
        <v>54700</v>
      </c>
      <c r="L10" s="8"/>
      <c r="M10" s="8"/>
      <c r="N10" s="7"/>
      <c r="O10" s="7"/>
      <c r="P10" s="7"/>
      <c r="Q10" s="7"/>
      <c r="R10" s="7"/>
      <c r="S10" s="7"/>
      <c r="T10" s="7"/>
      <c r="U10" s="7"/>
    </row>
    <row r="11" spans="1:21" ht="72">
      <c r="A11" s="16">
        <v>45525</v>
      </c>
      <c r="B11" s="12" t="s">
        <v>6</v>
      </c>
      <c r="C11" s="12">
        <v>1030286506</v>
      </c>
      <c r="D11" s="12" t="s">
        <v>39</v>
      </c>
      <c r="E11" s="12">
        <v>3125640009</v>
      </c>
      <c r="F11" s="12" t="s">
        <v>37</v>
      </c>
      <c r="G11" s="19" t="s">
        <v>43</v>
      </c>
      <c r="H11" s="61" t="s">
        <v>57</v>
      </c>
      <c r="I11" s="48">
        <v>103000</v>
      </c>
      <c r="J11" s="28">
        <v>45700</v>
      </c>
      <c r="K11" s="15">
        <f t="shared" si="0"/>
        <v>57300</v>
      </c>
      <c r="L11" s="8"/>
      <c r="M11" s="8"/>
      <c r="N11" s="7"/>
      <c r="O11" s="7"/>
      <c r="P11" s="7"/>
      <c r="Q11" s="7"/>
      <c r="R11" s="7"/>
      <c r="S11" s="7"/>
      <c r="T11" s="7"/>
      <c r="U11" s="7"/>
    </row>
    <row r="12" spans="1:21" ht="72">
      <c r="A12" s="17">
        <v>45525</v>
      </c>
      <c r="B12" s="12" t="s">
        <v>0</v>
      </c>
      <c r="C12" s="12">
        <v>1052402764</v>
      </c>
      <c r="D12" s="12" t="s">
        <v>40</v>
      </c>
      <c r="E12" s="18">
        <v>3057074693</v>
      </c>
      <c r="F12" s="12" t="s">
        <v>37</v>
      </c>
      <c r="G12" s="19" t="s">
        <v>43</v>
      </c>
      <c r="H12" s="61" t="s">
        <v>57</v>
      </c>
      <c r="I12" s="48">
        <v>103000</v>
      </c>
      <c r="J12" s="28">
        <v>45700</v>
      </c>
      <c r="K12" s="15">
        <f t="shared" si="0"/>
        <v>57300</v>
      </c>
      <c r="L12" s="8"/>
      <c r="M12" s="8"/>
      <c r="N12" s="7"/>
      <c r="O12" s="7"/>
      <c r="P12" s="7"/>
      <c r="Q12" s="7"/>
      <c r="R12" s="7"/>
      <c r="S12" s="7"/>
      <c r="T12" s="7"/>
      <c r="U12" s="7"/>
    </row>
    <row r="13" spans="1:21" ht="43.2">
      <c r="A13" s="16">
        <v>45525</v>
      </c>
      <c r="B13" s="12" t="s">
        <v>0</v>
      </c>
      <c r="C13" s="12">
        <v>1052402765</v>
      </c>
      <c r="D13" s="12" t="s">
        <v>40</v>
      </c>
      <c r="E13" s="18">
        <v>3057074693</v>
      </c>
      <c r="F13" s="12" t="s">
        <v>37</v>
      </c>
      <c r="G13" s="19" t="s">
        <v>43</v>
      </c>
      <c r="H13" s="85" t="s">
        <v>32</v>
      </c>
      <c r="I13" s="48">
        <v>110000</v>
      </c>
      <c r="J13" s="28">
        <v>29800</v>
      </c>
      <c r="K13" s="15">
        <f t="shared" si="0"/>
        <v>80200</v>
      </c>
      <c r="L13" s="8"/>
      <c r="M13" s="8"/>
      <c r="N13" s="7"/>
      <c r="O13" s="7"/>
      <c r="P13" s="7"/>
      <c r="Q13" s="7"/>
      <c r="R13" s="7"/>
      <c r="S13" s="7"/>
      <c r="T13" s="7"/>
      <c r="U13" s="7"/>
    </row>
    <row r="14" spans="1:21" ht="40.799999999999997" customHeight="1">
      <c r="A14" s="11">
        <v>45525</v>
      </c>
      <c r="B14" s="12" t="s">
        <v>6</v>
      </c>
      <c r="C14" s="31">
        <v>1070587934</v>
      </c>
      <c r="D14" s="31" t="s">
        <v>41</v>
      </c>
      <c r="E14" s="30">
        <v>3187862537</v>
      </c>
      <c r="F14" s="12" t="s">
        <v>37</v>
      </c>
      <c r="G14" s="19" t="s">
        <v>43</v>
      </c>
      <c r="H14" s="78" t="s">
        <v>115</v>
      </c>
      <c r="I14" s="48">
        <v>54700</v>
      </c>
      <c r="J14" s="28">
        <v>0</v>
      </c>
      <c r="K14" s="15">
        <f t="shared" si="0"/>
        <v>54700</v>
      </c>
      <c r="L14" s="8"/>
      <c r="M14" s="8"/>
      <c r="N14" s="7"/>
      <c r="O14" s="7"/>
      <c r="P14" s="7"/>
      <c r="Q14" s="7"/>
      <c r="R14" s="7"/>
      <c r="S14" s="7"/>
      <c r="T14" s="7"/>
      <c r="U14" s="7"/>
    </row>
    <row r="15" spans="1:21" ht="40.799999999999997" customHeight="1">
      <c r="A15" s="11">
        <v>45539</v>
      </c>
      <c r="B15" s="12" t="s">
        <v>0</v>
      </c>
      <c r="C15" s="31">
        <v>65586540</v>
      </c>
      <c r="D15" s="31" t="s">
        <v>166</v>
      </c>
      <c r="E15" s="30">
        <v>312564009</v>
      </c>
      <c r="F15" s="12" t="s">
        <v>37</v>
      </c>
      <c r="G15" s="19" t="s">
        <v>43</v>
      </c>
      <c r="H15" s="61" t="s">
        <v>57</v>
      </c>
      <c r="I15" s="48">
        <v>103000</v>
      </c>
      <c r="J15" s="28">
        <v>45700</v>
      </c>
      <c r="K15" s="15">
        <f t="shared" si="0"/>
        <v>57300</v>
      </c>
      <c r="L15" s="8"/>
      <c r="M15" s="8"/>
      <c r="N15" s="7"/>
      <c r="O15" s="7"/>
      <c r="P15" s="7"/>
      <c r="Q15" s="7"/>
      <c r="R15" s="7"/>
      <c r="S15" s="7"/>
      <c r="T15" s="7"/>
      <c r="U15" s="7"/>
    </row>
    <row r="16" spans="1:21" ht="40.799999999999997" customHeight="1">
      <c r="A16" s="20">
        <v>45539</v>
      </c>
      <c r="B16" s="12" t="s">
        <v>0</v>
      </c>
      <c r="C16" s="21">
        <v>1110173938</v>
      </c>
      <c r="D16" s="21" t="s">
        <v>44</v>
      </c>
      <c r="E16" s="12" t="s">
        <v>53</v>
      </c>
      <c r="F16" s="12" t="s">
        <v>37</v>
      </c>
      <c r="G16" s="19" t="s">
        <v>43</v>
      </c>
      <c r="H16" s="61" t="s">
        <v>57</v>
      </c>
      <c r="I16" s="48">
        <v>103000</v>
      </c>
      <c r="J16" s="28">
        <v>45700</v>
      </c>
      <c r="K16" s="15">
        <f t="shared" si="0"/>
        <v>57300</v>
      </c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40.799999999999997" customHeight="1">
      <c r="A17" s="20">
        <v>45539</v>
      </c>
      <c r="B17" s="12" t="s">
        <v>0</v>
      </c>
      <c r="C17" s="21">
        <v>1110173938</v>
      </c>
      <c r="D17" s="21" t="s">
        <v>44</v>
      </c>
      <c r="E17" s="12" t="s">
        <v>53</v>
      </c>
      <c r="F17" s="12" t="s">
        <v>37</v>
      </c>
      <c r="G17" s="19" t="s">
        <v>43</v>
      </c>
      <c r="H17" s="85" t="s">
        <v>32</v>
      </c>
      <c r="I17" s="48">
        <v>110000</v>
      </c>
      <c r="J17" s="28">
        <v>29800</v>
      </c>
      <c r="K17" s="15">
        <f t="shared" si="0"/>
        <v>80200</v>
      </c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ht="40.799999999999997" customHeight="1">
      <c r="A18" s="20">
        <v>45539</v>
      </c>
      <c r="B18" s="12" t="s">
        <v>0</v>
      </c>
      <c r="C18" s="21">
        <v>52887718</v>
      </c>
      <c r="D18" s="21" t="s">
        <v>45</v>
      </c>
      <c r="E18" s="12">
        <v>3162796644</v>
      </c>
      <c r="F18" s="12" t="s">
        <v>37</v>
      </c>
      <c r="G18" s="19" t="s">
        <v>52</v>
      </c>
      <c r="H18" s="52" t="s">
        <v>36</v>
      </c>
      <c r="I18" s="55">
        <v>103000</v>
      </c>
      <c r="J18" s="28">
        <v>44900</v>
      </c>
      <c r="K18" s="15">
        <f t="shared" si="0"/>
        <v>58100</v>
      </c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ht="40.799999999999997" customHeight="1">
      <c r="A19" s="20">
        <v>45539</v>
      </c>
      <c r="B19" s="12" t="s">
        <v>0</v>
      </c>
      <c r="C19" s="21">
        <v>52887718</v>
      </c>
      <c r="D19" s="21" t="s">
        <v>45</v>
      </c>
      <c r="E19" s="12">
        <v>3162796644</v>
      </c>
      <c r="F19" s="12" t="s">
        <v>37</v>
      </c>
      <c r="G19" s="19" t="s">
        <v>52</v>
      </c>
      <c r="H19" s="85" t="s">
        <v>32</v>
      </c>
      <c r="I19" s="48"/>
      <c r="J19" s="28">
        <v>29300</v>
      </c>
      <c r="K19" s="15">
        <f t="shared" si="0"/>
        <v>-29300</v>
      </c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40.799999999999997" customHeight="1">
      <c r="A20" s="20">
        <v>45539</v>
      </c>
      <c r="B20" s="12" t="s">
        <v>0</v>
      </c>
      <c r="C20" s="21">
        <v>65771554</v>
      </c>
      <c r="D20" s="21" t="s">
        <v>46</v>
      </c>
      <c r="E20" s="12">
        <v>312564009</v>
      </c>
      <c r="F20" s="12" t="s">
        <v>37</v>
      </c>
      <c r="G20" s="19" t="s">
        <v>43</v>
      </c>
      <c r="H20" s="61" t="s">
        <v>57</v>
      </c>
      <c r="I20" s="48">
        <v>103000</v>
      </c>
      <c r="J20" s="28">
        <v>45700</v>
      </c>
      <c r="K20" s="15">
        <f t="shared" si="0"/>
        <v>57300</v>
      </c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ht="40.799999999999997" customHeight="1">
      <c r="A21" s="20">
        <v>45539</v>
      </c>
      <c r="B21" s="12" t="s">
        <v>0</v>
      </c>
      <c r="C21" s="21">
        <v>65771554</v>
      </c>
      <c r="D21" s="21" t="s">
        <v>46</v>
      </c>
      <c r="E21" s="12">
        <v>3125640009</v>
      </c>
      <c r="F21" s="12" t="s">
        <v>37</v>
      </c>
      <c r="G21" s="19" t="s">
        <v>43</v>
      </c>
      <c r="H21" s="85" t="s">
        <v>32</v>
      </c>
      <c r="I21" s="48"/>
      <c r="J21" s="28">
        <v>29800</v>
      </c>
      <c r="K21" s="15">
        <f t="shared" si="0"/>
        <v>-29800</v>
      </c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ht="40.799999999999997" customHeight="1">
      <c r="A22" s="22">
        <v>45547</v>
      </c>
      <c r="B22" s="12" t="s">
        <v>0</v>
      </c>
      <c r="C22" s="21">
        <v>52869150</v>
      </c>
      <c r="D22" s="21" t="s">
        <v>47</v>
      </c>
      <c r="E22" s="18" t="s">
        <v>54</v>
      </c>
      <c r="F22" s="12" t="s">
        <v>37</v>
      </c>
      <c r="G22" s="19" t="s">
        <v>43</v>
      </c>
      <c r="H22" s="61" t="s">
        <v>57</v>
      </c>
      <c r="I22" s="48">
        <v>103000</v>
      </c>
      <c r="J22" s="28">
        <v>45700</v>
      </c>
      <c r="K22" s="15">
        <f t="shared" si="0"/>
        <v>57300</v>
      </c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ht="40.799999999999997" customHeight="1">
      <c r="A23" s="22">
        <v>45547</v>
      </c>
      <c r="B23" s="12" t="s">
        <v>0</v>
      </c>
      <c r="C23" s="21">
        <v>52869150</v>
      </c>
      <c r="D23" s="21" t="s">
        <v>47</v>
      </c>
      <c r="E23" s="18" t="s">
        <v>54</v>
      </c>
      <c r="F23" s="12" t="s">
        <v>37</v>
      </c>
      <c r="G23" s="19" t="s">
        <v>43</v>
      </c>
      <c r="H23" s="85" t="s">
        <v>32</v>
      </c>
      <c r="I23" s="48">
        <v>110000</v>
      </c>
      <c r="J23" s="28">
        <v>29800</v>
      </c>
      <c r="K23" s="15">
        <f t="shared" si="0"/>
        <v>80200</v>
      </c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ht="40.799999999999997" customHeight="1">
      <c r="A24" s="22">
        <v>45547</v>
      </c>
      <c r="B24" s="12" t="s">
        <v>0</v>
      </c>
      <c r="C24" s="21">
        <v>1110459605</v>
      </c>
      <c r="D24" s="21" t="s">
        <v>48</v>
      </c>
      <c r="E24" s="18">
        <v>3115211301</v>
      </c>
      <c r="F24" s="12" t="s">
        <v>37</v>
      </c>
      <c r="G24" s="19" t="s">
        <v>43</v>
      </c>
      <c r="H24" s="61" t="s">
        <v>57</v>
      </c>
      <c r="I24" s="48">
        <v>103000</v>
      </c>
      <c r="J24" s="28">
        <v>45700</v>
      </c>
      <c r="K24" s="15">
        <f t="shared" si="0"/>
        <v>57300</v>
      </c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ht="40.799999999999997" customHeight="1">
      <c r="A25" s="23">
        <v>45547</v>
      </c>
      <c r="B25" s="12" t="s">
        <v>0</v>
      </c>
      <c r="C25" s="21">
        <v>1110459605</v>
      </c>
      <c r="D25" s="21" t="s">
        <v>48</v>
      </c>
      <c r="E25" s="18">
        <v>3115211301</v>
      </c>
      <c r="F25" s="12" t="s">
        <v>37</v>
      </c>
      <c r="G25" s="19" t="s">
        <v>43</v>
      </c>
      <c r="H25" s="85" t="s">
        <v>32</v>
      </c>
      <c r="I25" s="48">
        <v>110000</v>
      </c>
      <c r="J25" s="28">
        <v>29800</v>
      </c>
      <c r="K25" s="15">
        <f t="shared" si="0"/>
        <v>80200</v>
      </c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40.799999999999997" customHeight="1">
      <c r="A26" s="14">
        <v>45551</v>
      </c>
      <c r="B26" s="12" t="s">
        <v>0</v>
      </c>
      <c r="C26" s="21">
        <v>39583339</v>
      </c>
      <c r="D26" s="21" t="s">
        <v>49</v>
      </c>
      <c r="E26" s="18" t="s">
        <v>55</v>
      </c>
      <c r="F26" s="12" t="s">
        <v>37</v>
      </c>
      <c r="G26" s="26" t="s">
        <v>51</v>
      </c>
      <c r="H26" s="61" t="s">
        <v>57</v>
      </c>
      <c r="I26" s="48">
        <v>83000</v>
      </c>
      <c r="J26" s="28">
        <v>46200</v>
      </c>
      <c r="K26" s="15">
        <f t="shared" si="0"/>
        <v>36800</v>
      </c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ht="40.799999999999997" customHeight="1">
      <c r="A27" s="24">
        <v>45551</v>
      </c>
      <c r="B27" s="12" t="s">
        <v>0</v>
      </c>
      <c r="C27" s="21">
        <v>39583339</v>
      </c>
      <c r="D27" s="21" t="s">
        <v>49</v>
      </c>
      <c r="E27" s="18" t="s">
        <v>55</v>
      </c>
      <c r="F27" s="12" t="s">
        <v>37</v>
      </c>
      <c r="G27" s="26" t="s">
        <v>51</v>
      </c>
      <c r="H27" s="85" t="s">
        <v>32</v>
      </c>
      <c r="I27" s="48">
        <v>110000</v>
      </c>
      <c r="J27" s="28">
        <v>30100</v>
      </c>
      <c r="K27" s="15">
        <f t="shared" si="0"/>
        <v>79900</v>
      </c>
    </row>
    <row r="28" spans="1:21" ht="40.799999999999997" customHeight="1">
      <c r="A28" s="25">
        <v>45552</v>
      </c>
      <c r="B28" s="12" t="s">
        <v>0</v>
      </c>
      <c r="C28" s="21">
        <v>1234893588</v>
      </c>
      <c r="D28" s="21" t="s">
        <v>50</v>
      </c>
      <c r="E28" s="18" t="s">
        <v>56</v>
      </c>
      <c r="F28" s="12" t="s">
        <v>37</v>
      </c>
      <c r="G28" s="19" t="s">
        <v>43</v>
      </c>
      <c r="H28" s="61" t="s">
        <v>57</v>
      </c>
      <c r="I28" s="48">
        <v>103000</v>
      </c>
      <c r="J28" s="28">
        <v>45700</v>
      </c>
      <c r="K28" s="15">
        <f t="shared" si="0"/>
        <v>57300</v>
      </c>
    </row>
    <row r="29" spans="1:21" ht="40.799999999999997" customHeight="1">
      <c r="A29" s="20">
        <v>45566</v>
      </c>
      <c r="B29" s="12" t="s">
        <v>0</v>
      </c>
      <c r="C29" s="21">
        <v>1110173938</v>
      </c>
      <c r="D29" s="21" t="s">
        <v>44</v>
      </c>
      <c r="E29" s="12" t="s">
        <v>53</v>
      </c>
      <c r="F29" s="12" t="s">
        <v>37</v>
      </c>
      <c r="G29" s="19" t="s">
        <v>43</v>
      </c>
      <c r="H29" s="78" t="s">
        <v>115</v>
      </c>
      <c r="I29" s="48">
        <v>54700</v>
      </c>
      <c r="J29" s="28">
        <v>45700</v>
      </c>
      <c r="K29" s="15">
        <f t="shared" ref="K29:K31" si="1">I29-J29</f>
        <v>9000</v>
      </c>
    </row>
    <row r="30" spans="1:21" ht="72">
      <c r="A30" s="11">
        <v>45596</v>
      </c>
      <c r="B30" s="12" t="s">
        <v>0</v>
      </c>
      <c r="C30" s="31">
        <v>65586540</v>
      </c>
      <c r="D30" s="31" t="s">
        <v>166</v>
      </c>
      <c r="E30" s="30">
        <v>312564009</v>
      </c>
      <c r="F30" s="12" t="s">
        <v>37</v>
      </c>
      <c r="G30" s="19" t="s">
        <v>43</v>
      </c>
      <c r="H30" s="81" t="s">
        <v>57</v>
      </c>
      <c r="I30" s="48">
        <v>103000</v>
      </c>
      <c r="J30" s="28">
        <v>45700</v>
      </c>
      <c r="K30" s="15">
        <f t="shared" si="1"/>
        <v>57300</v>
      </c>
    </row>
    <row r="31" spans="1:21" ht="72">
      <c r="A31" s="20">
        <v>45596</v>
      </c>
      <c r="B31" s="12" t="s">
        <v>0</v>
      </c>
      <c r="C31" s="21">
        <v>1110459605</v>
      </c>
      <c r="D31" s="21" t="s">
        <v>48</v>
      </c>
      <c r="E31" s="18">
        <v>3115211301</v>
      </c>
      <c r="F31" s="12" t="s">
        <v>37</v>
      </c>
      <c r="G31" s="19" t="s">
        <v>43</v>
      </c>
      <c r="H31" s="61" t="s">
        <v>57</v>
      </c>
      <c r="I31" s="48">
        <v>103000</v>
      </c>
      <c r="J31" s="28">
        <v>45700</v>
      </c>
      <c r="K31" s="15">
        <f t="shared" si="1"/>
        <v>57300</v>
      </c>
    </row>
    <row r="32" spans="1:21" ht="43.2">
      <c r="A32" s="20">
        <v>45597</v>
      </c>
      <c r="B32" s="12" t="s">
        <v>0</v>
      </c>
      <c r="C32" s="21">
        <v>1110173938</v>
      </c>
      <c r="D32" s="21" t="s">
        <v>44</v>
      </c>
      <c r="E32" s="12" t="s">
        <v>53</v>
      </c>
      <c r="F32" s="12" t="s">
        <v>37</v>
      </c>
      <c r="G32" s="19" t="s">
        <v>43</v>
      </c>
      <c r="H32" s="85" t="s">
        <v>32</v>
      </c>
      <c r="I32" s="48">
        <v>110000</v>
      </c>
      <c r="J32" s="28">
        <v>29800</v>
      </c>
      <c r="K32" s="15">
        <f t="shared" ref="K32:K33" si="2">I32-J32</f>
        <v>80200</v>
      </c>
    </row>
    <row r="33" spans="1:11" ht="72">
      <c r="A33" s="25">
        <v>45597</v>
      </c>
      <c r="B33" s="82" t="s">
        <v>0</v>
      </c>
      <c r="C33" s="82">
        <v>52425843</v>
      </c>
      <c r="D33" s="82" t="s">
        <v>167</v>
      </c>
      <c r="E33" s="82">
        <v>3125640009</v>
      </c>
      <c r="F33" s="82" t="s">
        <v>37</v>
      </c>
      <c r="G33" s="49" t="s">
        <v>42</v>
      </c>
      <c r="H33" s="61" t="s">
        <v>57</v>
      </c>
      <c r="I33" s="83">
        <v>103000</v>
      </c>
      <c r="J33" s="28">
        <v>0</v>
      </c>
      <c r="K33" s="28">
        <f t="shared" si="2"/>
        <v>103000</v>
      </c>
    </row>
    <row r="34" spans="1:11" ht="43.2">
      <c r="A34" s="25">
        <v>45597</v>
      </c>
      <c r="B34" s="82" t="s">
        <v>0</v>
      </c>
      <c r="C34" s="82">
        <v>52425843</v>
      </c>
      <c r="D34" s="82" t="s">
        <v>167</v>
      </c>
      <c r="E34" s="82">
        <v>3125640009</v>
      </c>
      <c r="F34" s="82" t="s">
        <v>37</v>
      </c>
      <c r="G34" s="84" t="s">
        <v>42</v>
      </c>
      <c r="H34" s="85" t="s">
        <v>32</v>
      </c>
      <c r="I34" s="83">
        <v>110000</v>
      </c>
      <c r="J34" s="28">
        <v>0</v>
      </c>
      <c r="K34" s="28">
        <f t="shared" ref="K34" si="3">I34-J34</f>
        <v>110000</v>
      </c>
    </row>
    <row r="35" spans="1:11">
      <c r="A35" s="82"/>
      <c r="B35" s="82"/>
      <c r="C35" s="82"/>
      <c r="D35" s="82"/>
      <c r="E35" s="82"/>
      <c r="F35" s="82"/>
      <c r="G35" s="82"/>
      <c r="H35" s="82"/>
      <c r="I35" s="83"/>
      <c r="J35" s="28"/>
      <c r="K35" s="28">
        <f>SUM(K4:K34)</f>
        <v>1763700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G2" sqref="G2"/>
    </sheetView>
  </sheetViews>
  <sheetFormatPr baseColWidth="10" defaultRowHeight="14.4"/>
  <cols>
    <col min="1" max="1" width="16.6640625" style="6" customWidth="1"/>
    <col min="2" max="2" width="12.109375" bestFit="1" customWidth="1"/>
    <col min="3" max="3" width="34.33203125" bestFit="1" customWidth="1"/>
    <col min="4" max="4" width="14.44140625" customWidth="1"/>
    <col min="5" max="5" width="21.6640625" bestFit="1" customWidth="1"/>
    <col min="6" max="6" width="46.21875" bestFit="1" customWidth="1"/>
    <col min="7" max="7" width="24.6640625" style="39" customWidth="1"/>
    <col min="8" max="8" width="13.88671875" style="34" bestFit="1" customWidth="1"/>
  </cols>
  <sheetData>
    <row r="1" spans="1:9">
      <c r="A1" s="74"/>
      <c r="B1" s="63"/>
      <c r="C1" s="62"/>
      <c r="D1" s="62"/>
      <c r="E1" s="62"/>
      <c r="F1" s="62"/>
      <c r="G1" s="64"/>
      <c r="H1" s="65"/>
    </row>
    <row r="2" spans="1:9" s="68" customFormat="1" ht="28.8">
      <c r="A2" s="75" t="s">
        <v>142</v>
      </c>
      <c r="B2" s="66" t="s">
        <v>143</v>
      </c>
      <c r="C2" s="66" t="s">
        <v>144</v>
      </c>
      <c r="D2" s="66" t="s">
        <v>159</v>
      </c>
      <c r="E2" s="66" t="s">
        <v>145</v>
      </c>
      <c r="F2" s="66" t="s">
        <v>146</v>
      </c>
      <c r="G2" s="4" t="s">
        <v>183</v>
      </c>
      <c r="H2" s="67" t="s">
        <v>147</v>
      </c>
      <c r="I2" s="46" t="s">
        <v>148</v>
      </c>
    </row>
    <row r="3" spans="1:9" ht="28.8">
      <c r="A3" s="76">
        <v>45601</v>
      </c>
      <c r="B3" s="32">
        <v>1110552833</v>
      </c>
      <c r="C3" s="32" t="s">
        <v>149</v>
      </c>
      <c r="D3" s="32" t="s">
        <v>102</v>
      </c>
      <c r="E3" s="32" t="s">
        <v>100</v>
      </c>
      <c r="F3" s="32" t="s">
        <v>57</v>
      </c>
      <c r="G3" s="69">
        <v>38000</v>
      </c>
      <c r="H3" s="70">
        <v>9100</v>
      </c>
      <c r="I3" s="71">
        <f>G3-H3</f>
        <v>28900</v>
      </c>
    </row>
    <row r="4" spans="1:9" ht="28.8">
      <c r="A4" s="76">
        <v>45601</v>
      </c>
      <c r="B4" s="32">
        <v>1110562813</v>
      </c>
      <c r="C4" s="32" t="s">
        <v>150</v>
      </c>
      <c r="D4" s="32" t="s">
        <v>102</v>
      </c>
      <c r="E4" s="32" t="s">
        <v>65</v>
      </c>
      <c r="F4" s="32" t="s">
        <v>57</v>
      </c>
      <c r="G4" s="69">
        <v>84300</v>
      </c>
      <c r="H4" s="70">
        <v>37100</v>
      </c>
      <c r="I4" s="71">
        <f t="shared" ref="I4:I63" si="0">G4-H4</f>
        <v>47200</v>
      </c>
    </row>
    <row r="5" spans="1:9" ht="28.8">
      <c r="A5" s="76">
        <v>45596</v>
      </c>
      <c r="B5" s="32">
        <v>1111194355</v>
      </c>
      <c r="C5" s="32" t="s">
        <v>91</v>
      </c>
      <c r="D5" s="32" t="s">
        <v>102</v>
      </c>
      <c r="E5" s="32" t="s">
        <v>61</v>
      </c>
      <c r="F5" s="32" t="s">
        <v>57</v>
      </c>
      <c r="G5" s="69">
        <v>84300</v>
      </c>
      <c r="H5" s="70">
        <v>37100</v>
      </c>
      <c r="I5" s="71">
        <f t="shared" si="0"/>
        <v>47200</v>
      </c>
    </row>
    <row r="6" spans="1:9" ht="28.8">
      <c r="A6" s="76">
        <v>45596.644363425927</v>
      </c>
      <c r="B6" s="32">
        <v>65745874</v>
      </c>
      <c r="C6" s="32" t="s">
        <v>92</v>
      </c>
      <c r="D6" s="32" t="s">
        <v>102</v>
      </c>
      <c r="E6" s="32" t="s">
        <v>61</v>
      </c>
      <c r="F6" s="32" t="s">
        <v>57</v>
      </c>
      <c r="G6" s="69">
        <v>84300</v>
      </c>
      <c r="H6" s="70">
        <v>37100</v>
      </c>
      <c r="I6" s="71">
        <f t="shared" si="0"/>
        <v>47200</v>
      </c>
    </row>
    <row r="7" spans="1:9" ht="28.8">
      <c r="A7" s="76">
        <v>45596.539351851854</v>
      </c>
      <c r="B7" s="32">
        <v>38247991</v>
      </c>
      <c r="C7" s="32" t="s">
        <v>151</v>
      </c>
      <c r="D7" s="32" t="s">
        <v>102</v>
      </c>
      <c r="E7" s="32" t="s">
        <v>59</v>
      </c>
      <c r="F7" s="72" t="s">
        <v>63</v>
      </c>
      <c r="G7" s="69">
        <v>49600</v>
      </c>
      <c r="H7" s="70">
        <v>26650</v>
      </c>
      <c r="I7" s="71">
        <f t="shared" si="0"/>
        <v>22950</v>
      </c>
    </row>
    <row r="8" spans="1:9" ht="28.8">
      <c r="A8" s="76">
        <v>45596.496689814812</v>
      </c>
      <c r="B8" s="32">
        <v>38363406</v>
      </c>
      <c r="C8" s="32" t="s">
        <v>152</v>
      </c>
      <c r="D8" s="32" t="s">
        <v>102</v>
      </c>
      <c r="E8" s="32" t="s">
        <v>59</v>
      </c>
      <c r="F8" s="72" t="s">
        <v>63</v>
      </c>
      <c r="G8" s="69">
        <v>49600</v>
      </c>
      <c r="H8" s="70">
        <v>0</v>
      </c>
      <c r="I8" s="71">
        <f>G8-H8</f>
        <v>49600</v>
      </c>
    </row>
    <row r="9" spans="1:9" ht="28.8">
      <c r="A9" s="76">
        <v>45596.466122685182</v>
      </c>
      <c r="B9" s="32">
        <v>1192768072</v>
      </c>
      <c r="C9" s="32" t="s">
        <v>153</v>
      </c>
      <c r="D9" s="32" t="s">
        <v>102</v>
      </c>
      <c r="E9" s="32" t="s">
        <v>61</v>
      </c>
      <c r="F9" s="72" t="s">
        <v>63</v>
      </c>
      <c r="G9" s="69">
        <v>56800</v>
      </c>
      <c r="H9" s="70">
        <v>37100</v>
      </c>
      <c r="I9" s="71">
        <f t="shared" si="0"/>
        <v>19700</v>
      </c>
    </row>
    <row r="10" spans="1:9" ht="28.8">
      <c r="A10" s="76">
        <v>45596.464560185188</v>
      </c>
      <c r="B10" s="32">
        <v>1110506429</v>
      </c>
      <c r="C10" s="32" t="s">
        <v>81</v>
      </c>
      <c r="D10" s="32" t="s">
        <v>102</v>
      </c>
      <c r="E10" s="32" t="s">
        <v>61</v>
      </c>
      <c r="F10" s="32" t="s">
        <v>57</v>
      </c>
      <c r="G10" s="69">
        <v>84300</v>
      </c>
      <c r="H10" s="70">
        <v>37100</v>
      </c>
      <c r="I10" s="71">
        <f t="shared" si="0"/>
        <v>47200</v>
      </c>
    </row>
    <row r="11" spans="1:9" ht="28.8">
      <c r="A11" s="76">
        <v>45596.462754629632</v>
      </c>
      <c r="B11" s="32">
        <v>1110453669</v>
      </c>
      <c r="C11" s="32" t="s">
        <v>72</v>
      </c>
      <c r="D11" s="32" t="s">
        <v>102</v>
      </c>
      <c r="E11" s="32" t="s">
        <v>73</v>
      </c>
      <c r="F11" s="32" t="s">
        <v>57</v>
      </c>
      <c r="G11" s="69">
        <v>74300</v>
      </c>
      <c r="H11" s="70">
        <v>26650</v>
      </c>
      <c r="I11" s="71">
        <f t="shared" si="0"/>
        <v>47650</v>
      </c>
    </row>
    <row r="12" spans="1:9" ht="28.8">
      <c r="A12" s="76">
        <v>45596.461909722224</v>
      </c>
      <c r="B12" s="32">
        <v>28955934</v>
      </c>
      <c r="C12" s="32" t="s">
        <v>68</v>
      </c>
      <c r="D12" s="32" t="s">
        <v>102</v>
      </c>
      <c r="E12" s="32" t="s">
        <v>69</v>
      </c>
      <c r="F12" s="32" t="s">
        <v>57</v>
      </c>
      <c r="G12" s="69">
        <v>74300</v>
      </c>
      <c r="H12" s="70">
        <v>26650</v>
      </c>
      <c r="I12" s="71">
        <f t="shared" si="0"/>
        <v>47650</v>
      </c>
    </row>
    <row r="13" spans="1:9" ht="28.8">
      <c r="A13" s="76">
        <v>45596.461412037039</v>
      </c>
      <c r="B13" s="32">
        <v>28954429</v>
      </c>
      <c r="C13" s="32" t="s">
        <v>70</v>
      </c>
      <c r="D13" s="32" t="s">
        <v>102</v>
      </c>
      <c r="E13" s="32" t="s">
        <v>69</v>
      </c>
      <c r="F13" s="32" t="s">
        <v>57</v>
      </c>
      <c r="G13" s="69">
        <v>74300</v>
      </c>
      <c r="H13" s="70">
        <v>26650</v>
      </c>
      <c r="I13" s="71">
        <f t="shared" si="0"/>
        <v>47650</v>
      </c>
    </row>
    <row r="14" spans="1:9" ht="28.8">
      <c r="A14" s="76">
        <v>45587.412777777776</v>
      </c>
      <c r="B14" s="32">
        <v>20905898</v>
      </c>
      <c r="C14" s="32" t="s">
        <v>94</v>
      </c>
      <c r="D14" s="32" t="s">
        <v>102</v>
      </c>
      <c r="E14" s="32" t="s">
        <v>73</v>
      </c>
      <c r="F14" s="32" t="s">
        <v>57</v>
      </c>
      <c r="G14" s="69">
        <v>74300</v>
      </c>
      <c r="H14" s="70">
        <v>26650</v>
      </c>
      <c r="I14" s="71">
        <f t="shared" si="0"/>
        <v>47650</v>
      </c>
    </row>
    <row r="15" spans="1:9" ht="28.8">
      <c r="A15" s="76">
        <v>45574.432986111111</v>
      </c>
      <c r="B15" s="32">
        <v>1110453714</v>
      </c>
      <c r="C15" s="32" t="s">
        <v>60</v>
      </c>
      <c r="D15" s="32" t="s">
        <v>102</v>
      </c>
      <c r="E15" s="32" t="s">
        <v>61</v>
      </c>
      <c r="F15" s="72" t="s">
        <v>63</v>
      </c>
      <c r="G15" s="69">
        <v>56800</v>
      </c>
      <c r="H15" s="70">
        <v>37100</v>
      </c>
      <c r="I15" s="71">
        <f t="shared" si="0"/>
        <v>19700</v>
      </c>
    </row>
    <row r="16" spans="1:9" ht="28.8">
      <c r="A16" s="76">
        <v>45573.617291666669</v>
      </c>
      <c r="B16" s="32">
        <v>1192768072</v>
      </c>
      <c r="C16" s="32" t="s">
        <v>153</v>
      </c>
      <c r="D16" s="32" t="s">
        <v>102</v>
      </c>
      <c r="E16" s="32" t="s">
        <v>61</v>
      </c>
      <c r="F16" s="32" t="s">
        <v>57</v>
      </c>
      <c r="G16" s="69">
        <v>84300</v>
      </c>
      <c r="H16" s="70">
        <v>37100</v>
      </c>
      <c r="I16" s="71">
        <f t="shared" si="0"/>
        <v>47200</v>
      </c>
    </row>
    <row r="17" spans="1:9" ht="28.8">
      <c r="A17" s="76">
        <v>45573.575196759259</v>
      </c>
      <c r="B17" s="32">
        <v>1110445012</v>
      </c>
      <c r="C17" s="32" t="s">
        <v>154</v>
      </c>
      <c r="D17" s="32" t="s">
        <v>102</v>
      </c>
      <c r="E17" s="32" t="s">
        <v>61</v>
      </c>
      <c r="F17" s="32" t="s">
        <v>57</v>
      </c>
      <c r="G17" s="69">
        <v>84300</v>
      </c>
      <c r="H17" s="70">
        <v>37100</v>
      </c>
      <c r="I17" s="71">
        <f t="shared" si="0"/>
        <v>47200</v>
      </c>
    </row>
    <row r="18" spans="1:9" ht="28.8">
      <c r="A18" s="76">
        <v>45573.410520833335</v>
      </c>
      <c r="B18" s="32">
        <v>1110460754</v>
      </c>
      <c r="C18" s="32" t="s">
        <v>62</v>
      </c>
      <c r="D18" s="32" t="s">
        <v>102</v>
      </c>
      <c r="E18" s="32" t="s">
        <v>59</v>
      </c>
      <c r="F18" s="32" t="s">
        <v>57</v>
      </c>
      <c r="G18" s="69">
        <v>74300</v>
      </c>
      <c r="H18" s="70">
        <v>26650</v>
      </c>
      <c r="I18" s="71">
        <f t="shared" si="0"/>
        <v>47650</v>
      </c>
    </row>
    <row r="19" spans="1:9" ht="28.8">
      <c r="A19" s="76">
        <v>45573.408113425925</v>
      </c>
      <c r="B19" s="32">
        <v>38247991</v>
      </c>
      <c r="C19" s="32" t="s">
        <v>151</v>
      </c>
      <c r="D19" s="32" t="s">
        <v>102</v>
      </c>
      <c r="E19" s="32" t="s">
        <v>59</v>
      </c>
      <c r="F19" s="32" t="s">
        <v>57</v>
      </c>
      <c r="G19" s="69">
        <v>74300</v>
      </c>
      <c r="H19" s="70">
        <v>26650</v>
      </c>
      <c r="I19" s="71">
        <f t="shared" si="0"/>
        <v>47650</v>
      </c>
    </row>
    <row r="20" spans="1:9" ht="28.8">
      <c r="A20" s="76">
        <v>45573.407418981478</v>
      </c>
      <c r="B20" s="32">
        <v>38363406</v>
      </c>
      <c r="C20" s="32" t="s">
        <v>152</v>
      </c>
      <c r="D20" s="32" t="s">
        <v>102</v>
      </c>
      <c r="E20" s="32" t="s">
        <v>59</v>
      </c>
      <c r="F20" s="32" t="s">
        <v>57</v>
      </c>
      <c r="G20" s="69">
        <v>74300</v>
      </c>
      <c r="H20" s="70">
        <v>0</v>
      </c>
      <c r="I20" s="71">
        <f t="shared" si="0"/>
        <v>74300</v>
      </c>
    </row>
    <row r="21" spans="1:9" ht="28.8">
      <c r="A21" s="76">
        <v>45567.59888888889</v>
      </c>
      <c r="B21" s="32">
        <v>1000077753</v>
      </c>
      <c r="C21" s="32" t="s">
        <v>155</v>
      </c>
      <c r="D21" s="32" t="s">
        <v>102</v>
      </c>
      <c r="E21" s="32" t="s">
        <v>156</v>
      </c>
      <c r="F21" s="32" t="s">
        <v>57</v>
      </c>
      <c r="G21" s="69">
        <v>74300</v>
      </c>
      <c r="H21" s="70">
        <v>29300</v>
      </c>
      <c r="I21" s="71">
        <f t="shared" si="0"/>
        <v>45000</v>
      </c>
    </row>
    <row r="22" spans="1:9" ht="28.8">
      <c r="A22" s="76">
        <v>45567.597777777781</v>
      </c>
      <c r="B22" s="32">
        <v>1005347151</v>
      </c>
      <c r="C22" s="32" t="s">
        <v>157</v>
      </c>
      <c r="D22" s="32" t="s">
        <v>102</v>
      </c>
      <c r="E22" s="32" t="s">
        <v>79</v>
      </c>
      <c r="F22" s="32" t="s">
        <v>57</v>
      </c>
      <c r="G22" s="69">
        <v>84300</v>
      </c>
      <c r="H22" s="70">
        <v>0</v>
      </c>
      <c r="I22" s="71">
        <f t="shared" si="0"/>
        <v>84300</v>
      </c>
    </row>
    <row r="23" spans="1:9" ht="28.8">
      <c r="A23" s="76">
        <v>45552.492025462961</v>
      </c>
      <c r="B23" s="32">
        <v>30282174</v>
      </c>
      <c r="C23" s="32" t="s">
        <v>58</v>
      </c>
      <c r="D23" s="32" t="s">
        <v>102</v>
      </c>
      <c r="E23" s="32" t="s">
        <v>59</v>
      </c>
      <c r="F23" s="32" t="s">
        <v>57</v>
      </c>
      <c r="G23" s="69">
        <v>74300</v>
      </c>
      <c r="H23" s="70">
        <v>26650</v>
      </c>
      <c r="I23" s="71">
        <f t="shared" si="0"/>
        <v>47650</v>
      </c>
    </row>
    <row r="24" spans="1:9" ht="28.8">
      <c r="A24" s="76">
        <v>45552.428865740738</v>
      </c>
      <c r="B24" s="32">
        <v>1110453714</v>
      </c>
      <c r="C24" s="32" t="s">
        <v>60</v>
      </c>
      <c r="D24" s="32" t="s">
        <v>102</v>
      </c>
      <c r="E24" s="32" t="s">
        <v>61</v>
      </c>
      <c r="F24" s="32" t="s">
        <v>57</v>
      </c>
      <c r="G24" s="69">
        <v>84300</v>
      </c>
      <c r="H24" s="70">
        <v>37100</v>
      </c>
      <c r="I24" s="71">
        <f t="shared" si="0"/>
        <v>47200</v>
      </c>
    </row>
    <row r="25" spans="1:9" ht="28.8">
      <c r="A25" s="76">
        <v>45552.426562499997</v>
      </c>
      <c r="B25" s="32">
        <v>1110460754</v>
      </c>
      <c r="C25" s="32" t="s">
        <v>62</v>
      </c>
      <c r="D25" s="32" t="s">
        <v>102</v>
      </c>
      <c r="E25" s="32" t="s">
        <v>59</v>
      </c>
      <c r="F25" s="72" t="s">
        <v>63</v>
      </c>
      <c r="G25" s="69">
        <v>49600</v>
      </c>
      <c r="H25" s="70">
        <v>26650</v>
      </c>
      <c r="I25" s="71">
        <f t="shared" si="0"/>
        <v>22950</v>
      </c>
    </row>
    <row r="26" spans="1:9" ht="28.8">
      <c r="A26" s="76">
        <v>45552.424814814818</v>
      </c>
      <c r="B26" s="32">
        <v>349144</v>
      </c>
      <c r="C26" s="32" t="s">
        <v>64</v>
      </c>
      <c r="D26" s="32" t="s">
        <v>102</v>
      </c>
      <c r="E26" s="32" t="s">
        <v>65</v>
      </c>
      <c r="F26" s="32" t="s">
        <v>57</v>
      </c>
      <c r="G26" s="69">
        <v>84300</v>
      </c>
      <c r="H26" s="70">
        <v>0</v>
      </c>
      <c r="I26" s="71">
        <f t="shared" si="0"/>
        <v>84300</v>
      </c>
    </row>
    <row r="27" spans="1:9" ht="28.8">
      <c r="A27" s="76">
        <v>45552.421944444446</v>
      </c>
      <c r="B27" s="32">
        <v>39754127</v>
      </c>
      <c r="C27" s="32" t="s">
        <v>66</v>
      </c>
      <c r="D27" s="32" t="s">
        <v>102</v>
      </c>
      <c r="E27" s="32" t="s">
        <v>59</v>
      </c>
      <c r="F27" s="32" t="s">
        <v>57</v>
      </c>
      <c r="G27" s="69">
        <v>74300</v>
      </c>
      <c r="H27" s="70">
        <v>26650</v>
      </c>
      <c r="I27" s="71">
        <f t="shared" si="0"/>
        <v>47650</v>
      </c>
    </row>
    <row r="28" spans="1:9" ht="28.8">
      <c r="A28" s="76">
        <v>45551.402696759258</v>
      </c>
      <c r="B28" s="32">
        <v>1122928299</v>
      </c>
      <c r="C28" s="32" t="s">
        <v>67</v>
      </c>
      <c r="D28" s="32" t="s">
        <v>102</v>
      </c>
      <c r="E28" s="32" t="s">
        <v>61</v>
      </c>
      <c r="F28" s="32" t="s">
        <v>57</v>
      </c>
      <c r="G28" s="69">
        <v>84300</v>
      </c>
      <c r="H28" s="70">
        <v>37100</v>
      </c>
      <c r="I28" s="71">
        <f t="shared" si="0"/>
        <v>47200</v>
      </c>
    </row>
    <row r="29" spans="1:9" ht="28.8">
      <c r="A29" s="76">
        <v>45551.402268518519</v>
      </c>
      <c r="B29" s="32">
        <v>28955934</v>
      </c>
      <c r="C29" s="32" t="s">
        <v>68</v>
      </c>
      <c r="D29" s="32" t="s">
        <v>102</v>
      </c>
      <c r="E29" s="32" t="s">
        <v>69</v>
      </c>
      <c r="F29" s="32" t="s">
        <v>57</v>
      </c>
      <c r="G29" s="69">
        <v>74300</v>
      </c>
      <c r="H29" s="70">
        <v>26650</v>
      </c>
      <c r="I29" s="71">
        <f t="shared" si="0"/>
        <v>47650</v>
      </c>
    </row>
    <row r="30" spans="1:9" ht="28.8">
      <c r="A30" s="76">
        <v>45551.401724537034</v>
      </c>
      <c r="B30" s="32">
        <v>28954429</v>
      </c>
      <c r="C30" s="32" t="s">
        <v>70</v>
      </c>
      <c r="D30" s="32" t="s">
        <v>102</v>
      </c>
      <c r="E30" s="32" t="s">
        <v>69</v>
      </c>
      <c r="F30" s="32" t="s">
        <v>57</v>
      </c>
      <c r="G30" s="69">
        <v>74300</v>
      </c>
      <c r="H30" s="70">
        <v>26650</v>
      </c>
      <c r="I30" s="71">
        <f t="shared" si="0"/>
        <v>47650</v>
      </c>
    </row>
    <row r="31" spans="1:9" ht="28.8">
      <c r="A31" s="76">
        <v>45551.40011574074</v>
      </c>
      <c r="B31" s="32">
        <v>45534782</v>
      </c>
      <c r="C31" s="32" t="s">
        <v>71</v>
      </c>
      <c r="D31" s="32" t="s">
        <v>102</v>
      </c>
      <c r="E31" s="32" t="s">
        <v>61</v>
      </c>
      <c r="F31" s="32" t="s">
        <v>57</v>
      </c>
      <c r="G31" s="69">
        <v>84300</v>
      </c>
      <c r="H31" s="70">
        <v>37100</v>
      </c>
      <c r="I31" s="71">
        <f t="shared" si="0"/>
        <v>47200</v>
      </c>
    </row>
    <row r="32" spans="1:9" ht="28.8">
      <c r="A32" s="76">
        <v>45548.669224537036</v>
      </c>
      <c r="B32" s="32">
        <v>1110453669</v>
      </c>
      <c r="C32" s="32" t="s">
        <v>72</v>
      </c>
      <c r="D32" s="32" t="s">
        <v>102</v>
      </c>
      <c r="E32" s="32" t="s">
        <v>73</v>
      </c>
      <c r="F32" s="32" t="s">
        <v>57</v>
      </c>
      <c r="G32" s="69">
        <v>74300</v>
      </c>
      <c r="H32" s="70">
        <v>26650</v>
      </c>
      <c r="I32" s="71">
        <f t="shared" si="0"/>
        <v>47650</v>
      </c>
    </row>
    <row r="33" spans="1:9" ht="28.8">
      <c r="A33" s="76">
        <v>45547.421712962961</v>
      </c>
      <c r="B33" s="32">
        <v>1083903007</v>
      </c>
      <c r="C33" s="32" t="s">
        <v>74</v>
      </c>
      <c r="D33" s="32" t="s">
        <v>102</v>
      </c>
      <c r="E33" s="32" t="s">
        <v>59</v>
      </c>
      <c r="F33" s="32" t="s">
        <v>57</v>
      </c>
      <c r="G33" s="69">
        <v>74300</v>
      </c>
      <c r="H33" s="70">
        <v>26650</v>
      </c>
      <c r="I33" s="71">
        <f t="shared" si="0"/>
        <v>47650</v>
      </c>
    </row>
    <row r="34" spans="1:9" ht="28.8">
      <c r="A34" s="76">
        <v>45547.421076388891</v>
      </c>
      <c r="B34" s="32">
        <v>1110521046</v>
      </c>
      <c r="C34" s="32" t="s">
        <v>75</v>
      </c>
      <c r="D34" s="32" t="s">
        <v>102</v>
      </c>
      <c r="E34" s="32" t="s">
        <v>59</v>
      </c>
      <c r="F34" s="32" t="s">
        <v>57</v>
      </c>
      <c r="G34" s="69">
        <v>74300</v>
      </c>
      <c r="H34" s="70">
        <v>26650</v>
      </c>
      <c r="I34" s="71">
        <f t="shared" si="0"/>
        <v>47650</v>
      </c>
    </row>
    <row r="35" spans="1:9" ht="28.8">
      <c r="A35" s="76">
        <v>45547.416967592595</v>
      </c>
      <c r="B35" s="32">
        <v>1110541557</v>
      </c>
      <c r="C35" s="32" t="s">
        <v>158</v>
      </c>
      <c r="D35" s="32" t="s">
        <v>102</v>
      </c>
      <c r="E35" s="32" t="s">
        <v>59</v>
      </c>
      <c r="F35" s="32" t="s">
        <v>57</v>
      </c>
      <c r="G35" s="69">
        <v>74300</v>
      </c>
      <c r="H35" s="70">
        <v>26650</v>
      </c>
      <c r="I35" s="71">
        <f t="shared" si="0"/>
        <v>47650</v>
      </c>
    </row>
    <row r="36" spans="1:9" ht="28.8">
      <c r="A36" s="76">
        <v>45539.429155092592</v>
      </c>
      <c r="B36" s="32">
        <v>38143174</v>
      </c>
      <c r="C36" s="32" t="s">
        <v>76</v>
      </c>
      <c r="D36" s="32" t="s">
        <v>102</v>
      </c>
      <c r="E36" s="32" t="s">
        <v>77</v>
      </c>
      <c r="F36" s="32" t="s">
        <v>57</v>
      </c>
      <c r="G36" s="69">
        <v>108000</v>
      </c>
      <c r="H36" s="70">
        <v>37100</v>
      </c>
      <c r="I36" s="71">
        <f t="shared" si="0"/>
        <v>70900</v>
      </c>
    </row>
    <row r="37" spans="1:9" ht="28.8">
      <c r="A37" s="76">
        <v>45538.659953703704</v>
      </c>
      <c r="B37" s="32">
        <v>1034294072</v>
      </c>
      <c r="C37" s="32" t="s">
        <v>78</v>
      </c>
      <c r="D37" s="32" t="s">
        <v>102</v>
      </c>
      <c r="E37" s="32" t="s">
        <v>79</v>
      </c>
      <c r="F37" s="72" t="s">
        <v>63</v>
      </c>
      <c r="G37" s="69">
        <v>56800</v>
      </c>
      <c r="H37" s="70">
        <v>0</v>
      </c>
      <c r="I37" s="71">
        <f t="shared" si="0"/>
        <v>56800</v>
      </c>
    </row>
    <row r="38" spans="1:9" ht="28.8">
      <c r="A38" s="76">
        <v>45538.627349537041</v>
      </c>
      <c r="B38" s="32">
        <v>1110451287</v>
      </c>
      <c r="C38" s="32" t="s">
        <v>80</v>
      </c>
      <c r="D38" s="32" t="s">
        <v>102</v>
      </c>
      <c r="E38" s="32" t="s">
        <v>61</v>
      </c>
      <c r="F38" s="32" t="s">
        <v>57</v>
      </c>
      <c r="G38" s="69">
        <v>84300</v>
      </c>
      <c r="H38" s="70">
        <v>37100</v>
      </c>
      <c r="I38" s="71">
        <f t="shared" si="0"/>
        <v>47200</v>
      </c>
    </row>
    <row r="39" spans="1:9" ht="28.8">
      <c r="A39" s="76">
        <v>45538.610879629632</v>
      </c>
      <c r="B39" s="32">
        <v>1110506429</v>
      </c>
      <c r="C39" s="32" t="s">
        <v>81</v>
      </c>
      <c r="D39" s="32" t="s">
        <v>102</v>
      </c>
      <c r="E39" s="32" t="s">
        <v>61</v>
      </c>
      <c r="F39" s="32" t="s">
        <v>57</v>
      </c>
      <c r="G39" s="69">
        <v>84300</v>
      </c>
      <c r="H39" s="70">
        <v>37100</v>
      </c>
      <c r="I39" s="71">
        <f t="shared" si="0"/>
        <v>47200</v>
      </c>
    </row>
    <row r="40" spans="1:9" ht="28.8">
      <c r="A40" s="76">
        <v>45538.609375</v>
      </c>
      <c r="B40" s="32">
        <v>1110542177</v>
      </c>
      <c r="C40" s="32" t="s">
        <v>82</v>
      </c>
      <c r="D40" s="32" t="s">
        <v>102</v>
      </c>
      <c r="E40" s="32" t="s">
        <v>79</v>
      </c>
      <c r="F40" s="72" t="s">
        <v>63</v>
      </c>
      <c r="G40" s="69">
        <v>56800</v>
      </c>
      <c r="H40" s="70">
        <v>0</v>
      </c>
      <c r="I40" s="71">
        <f t="shared" si="0"/>
        <v>56800</v>
      </c>
    </row>
    <row r="41" spans="1:9" ht="28.8">
      <c r="A41" s="76">
        <v>45538.458553240744</v>
      </c>
      <c r="B41" s="32">
        <v>42134257</v>
      </c>
      <c r="C41" s="32" t="s">
        <v>83</v>
      </c>
      <c r="D41" s="32" t="s">
        <v>102</v>
      </c>
      <c r="E41" s="32" t="s">
        <v>73</v>
      </c>
      <c r="F41" s="32" t="s">
        <v>57</v>
      </c>
      <c r="G41" s="69">
        <v>74300</v>
      </c>
      <c r="H41" s="70">
        <v>26650</v>
      </c>
      <c r="I41" s="71">
        <f t="shared" si="0"/>
        <v>47650</v>
      </c>
    </row>
    <row r="42" spans="1:9" ht="28.8">
      <c r="A42" s="76">
        <v>45526.502962962964</v>
      </c>
      <c r="B42" s="32">
        <v>52694581</v>
      </c>
      <c r="C42" s="32" t="s">
        <v>84</v>
      </c>
      <c r="D42" s="32" t="s">
        <v>102</v>
      </c>
      <c r="E42" s="32" t="s">
        <v>65</v>
      </c>
      <c r="F42" s="32" t="s">
        <v>57</v>
      </c>
      <c r="G42" s="69">
        <v>84300</v>
      </c>
      <c r="H42" s="70">
        <v>37100</v>
      </c>
      <c r="I42" s="71">
        <f t="shared" si="0"/>
        <v>47200</v>
      </c>
    </row>
    <row r="43" spans="1:9" ht="28.8">
      <c r="A43" s="76">
        <v>45526.501817129632</v>
      </c>
      <c r="B43" s="32">
        <v>1019009709</v>
      </c>
      <c r="C43" s="32" t="s">
        <v>85</v>
      </c>
      <c r="D43" s="32" t="s">
        <v>102</v>
      </c>
      <c r="E43" s="32" t="s">
        <v>65</v>
      </c>
      <c r="F43" s="32" t="s">
        <v>57</v>
      </c>
      <c r="G43" s="69">
        <v>84300</v>
      </c>
      <c r="H43" s="70">
        <v>37100</v>
      </c>
      <c r="I43" s="71">
        <f t="shared" si="0"/>
        <v>47200</v>
      </c>
    </row>
    <row r="44" spans="1:9" ht="28.8">
      <c r="A44" s="76">
        <v>45525.378900462965</v>
      </c>
      <c r="B44" s="32">
        <v>1110509353</v>
      </c>
      <c r="C44" s="32" t="s">
        <v>86</v>
      </c>
      <c r="D44" s="32" t="s">
        <v>102</v>
      </c>
      <c r="E44" s="32" t="s">
        <v>61</v>
      </c>
      <c r="F44" s="32" t="s">
        <v>57</v>
      </c>
      <c r="G44" s="69">
        <v>84300</v>
      </c>
      <c r="H44" s="70">
        <v>37100</v>
      </c>
      <c r="I44" s="71">
        <f t="shared" si="0"/>
        <v>47200</v>
      </c>
    </row>
    <row r="45" spans="1:9" ht="28.8">
      <c r="A45" s="76">
        <v>45525.378622685188</v>
      </c>
      <c r="B45" s="32">
        <v>28538115</v>
      </c>
      <c r="C45" s="32" t="s">
        <v>87</v>
      </c>
      <c r="D45" s="32" t="s">
        <v>102</v>
      </c>
      <c r="E45" s="32" t="s">
        <v>77</v>
      </c>
      <c r="F45" s="72" t="s">
        <v>63</v>
      </c>
      <c r="G45" s="69">
        <v>73500</v>
      </c>
      <c r="H45" s="70">
        <v>37100</v>
      </c>
      <c r="I45" s="71">
        <f t="shared" si="0"/>
        <v>36400</v>
      </c>
    </row>
    <row r="46" spans="1:9" ht="28.8">
      <c r="A46" s="76">
        <v>45525.378298611111</v>
      </c>
      <c r="B46" s="32">
        <v>1109291431</v>
      </c>
      <c r="C46" s="32" t="s">
        <v>88</v>
      </c>
      <c r="D46" s="32" t="s">
        <v>102</v>
      </c>
      <c r="E46" s="32" t="s">
        <v>77</v>
      </c>
      <c r="F46" s="32" t="s">
        <v>57</v>
      </c>
      <c r="G46" s="69">
        <v>108000</v>
      </c>
      <c r="H46" s="70">
        <v>37100</v>
      </c>
      <c r="I46" s="71">
        <f t="shared" si="0"/>
        <v>70900</v>
      </c>
    </row>
    <row r="47" spans="1:9" ht="28.8">
      <c r="A47" s="76">
        <v>45525.377997685187</v>
      </c>
      <c r="B47" s="32">
        <v>1122928299</v>
      </c>
      <c r="C47" s="32" t="s">
        <v>67</v>
      </c>
      <c r="D47" s="32" t="s">
        <v>102</v>
      </c>
      <c r="E47" s="32" t="s">
        <v>61</v>
      </c>
      <c r="F47" s="72" t="s">
        <v>63</v>
      </c>
      <c r="G47" s="69">
        <v>56800</v>
      </c>
      <c r="H47" s="70">
        <v>37100</v>
      </c>
      <c r="I47" s="71">
        <f t="shared" si="0"/>
        <v>19700</v>
      </c>
    </row>
    <row r="48" spans="1:9" ht="28.8">
      <c r="A48" s="76">
        <v>45525.377569444441</v>
      </c>
      <c r="B48" s="32">
        <v>1110460754</v>
      </c>
      <c r="C48" s="32" t="s">
        <v>62</v>
      </c>
      <c r="D48" s="32" t="s">
        <v>102</v>
      </c>
      <c r="E48" s="32" t="s">
        <v>59</v>
      </c>
      <c r="F48" s="32" t="s">
        <v>57</v>
      </c>
      <c r="G48" s="69">
        <v>74300</v>
      </c>
      <c r="H48" s="70">
        <v>26650</v>
      </c>
      <c r="I48" s="71">
        <f t="shared" si="0"/>
        <v>47650</v>
      </c>
    </row>
    <row r="49" spans="1:9" ht="28.8">
      <c r="A49" s="76">
        <v>45524.405682870369</v>
      </c>
      <c r="B49" s="32">
        <v>1034294072</v>
      </c>
      <c r="C49" s="32" t="s">
        <v>78</v>
      </c>
      <c r="D49" s="32" t="s">
        <v>102</v>
      </c>
      <c r="E49" s="32" t="s">
        <v>79</v>
      </c>
      <c r="F49" s="72" t="s">
        <v>57</v>
      </c>
      <c r="G49" s="69">
        <v>84300</v>
      </c>
      <c r="H49" s="70">
        <v>0</v>
      </c>
      <c r="I49" s="71">
        <f t="shared" si="0"/>
        <v>84300</v>
      </c>
    </row>
    <row r="50" spans="1:9" ht="28.8">
      <c r="A50" s="76">
        <v>45524.405277777776</v>
      </c>
      <c r="B50" s="32">
        <v>31201628</v>
      </c>
      <c r="C50" s="32" t="s">
        <v>89</v>
      </c>
      <c r="D50" s="32" t="s">
        <v>102</v>
      </c>
      <c r="E50" s="32" t="s">
        <v>59</v>
      </c>
      <c r="F50" s="32" t="s">
        <v>63</v>
      </c>
      <c r="G50" s="69">
        <v>49600</v>
      </c>
      <c r="H50" s="70">
        <v>26650</v>
      </c>
      <c r="I50" s="71">
        <f t="shared" si="0"/>
        <v>22950</v>
      </c>
    </row>
    <row r="51" spans="1:9" ht="28.8">
      <c r="A51" s="76">
        <v>45524.404965277776</v>
      </c>
      <c r="B51" s="32">
        <v>1069760225</v>
      </c>
      <c r="C51" s="32" t="s">
        <v>90</v>
      </c>
      <c r="D51" s="32" t="s">
        <v>102</v>
      </c>
      <c r="E51" s="32" t="s">
        <v>79</v>
      </c>
      <c r="F51" s="32" t="s">
        <v>57</v>
      </c>
      <c r="G51" s="69">
        <v>84300</v>
      </c>
      <c r="H51" s="70">
        <v>37100</v>
      </c>
      <c r="I51" s="71">
        <f t="shared" si="0"/>
        <v>47200</v>
      </c>
    </row>
    <row r="52" spans="1:9" ht="28.8">
      <c r="A52" s="76">
        <v>45524.404722222222</v>
      </c>
      <c r="B52" s="32">
        <v>1111194355</v>
      </c>
      <c r="C52" s="32" t="s">
        <v>91</v>
      </c>
      <c r="D52" s="32" t="s">
        <v>102</v>
      </c>
      <c r="E52" s="32" t="s">
        <v>61</v>
      </c>
      <c r="F52" s="32" t="s">
        <v>57</v>
      </c>
      <c r="G52" s="69">
        <v>84300</v>
      </c>
      <c r="H52" s="70">
        <v>37100</v>
      </c>
      <c r="I52" s="71">
        <f t="shared" si="0"/>
        <v>47200</v>
      </c>
    </row>
    <row r="53" spans="1:9" ht="28.8">
      <c r="A53" s="76">
        <v>45524.404444444444</v>
      </c>
      <c r="B53" s="32">
        <v>65745874</v>
      </c>
      <c r="C53" s="32" t="s">
        <v>92</v>
      </c>
      <c r="D53" s="32" t="s">
        <v>102</v>
      </c>
      <c r="E53" s="32" t="s">
        <v>61</v>
      </c>
      <c r="F53" s="32" t="s">
        <v>57</v>
      </c>
      <c r="G53" s="69">
        <v>84300</v>
      </c>
      <c r="H53" s="70">
        <v>37100</v>
      </c>
      <c r="I53" s="71">
        <f t="shared" si="0"/>
        <v>47200</v>
      </c>
    </row>
    <row r="54" spans="1:9" ht="28.8">
      <c r="A54" s="76">
        <v>45520.36515046296</v>
      </c>
      <c r="B54" s="32">
        <v>1110527869</v>
      </c>
      <c r="C54" s="32" t="s">
        <v>93</v>
      </c>
      <c r="D54" s="32" t="s">
        <v>102</v>
      </c>
      <c r="E54" s="32" t="s">
        <v>73</v>
      </c>
      <c r="F54" s="32" t="s">
        <v>57</v>
      </c>
      <c r="G54" s="69">
        <v>7400</v>
      </c>
      <c r="H54" s="70">
        <v>26650</v>
      </c>
      <c r="I54" s="71">
        <f t="shared" si="0"/>
        <v>-19250</v>
      </c>
    </row>
    <row r="55" spans="1:9" ht="28.8">
      <c r="A55" s="76">
        <v>45509.379178240742</v>
      </c>
      <c r="B55" s="32">
        <v>20905898</v>
      </c>
      <c r="C55" s="32" t="s">
        <v>94</v>
      </c>
      <c r="D55" s="32" t="s">
        <v>102</v>
      </c>
      <c r="E55" s="32" t="s">
        <v>73</v>
      </c>
      <c r="F55" s="32" t="s">
        <v>57</v>
      </c>
      <c r="G55" s="69">
        <v>74300</v>
      </c>
      <c r="H55" s="70">
        <v>26650</v>
      </c>
      <c r="I55" s="71">
        <f t="shared" si="0"/>
        <v>47650</v>
      </c>
    </row>
    <row r="56" spans="1:9" ht="28.8">
      <c r="A56" s="76">
        <v>45509.37877314815</v>
      </c>
      <c r="B56" s="32">
        <v>1127336933</v>
      </c>
      <c r="C56" s="32" t="s">
        <v>95</v>
      </c>
      <c r="D56" s="32" t="s">
        <v>102</v>
      </c>
      <c r="E56" s="32" t="s">
        <v>77</v>
      </c>
      <c r="F56" s="32" t="s">
        <v>57</v>
      </c>
      <c r="G56" s="69">
        <v>108000</v>
      </c>
      <c r="H56" s="70">
        <v>0</v>
      </c>
      <c r="I56" s="71">
        <f t="shared" si="0"/>
        <v>108000</v>
      </c>
    </row>
    <row r="57" spans="1:9" ht="28.8">
      <c r="A57" s="76">
        <v>45509.37840277778</v>
      </c>
      <c r="B57" s="32">
        <v>1110561932</v>
      </c>
      <c r="C57" s="32" t="s">
        <v>96</v>
      </c>
      <c r="D57" s="32" t="s">
        <v>102</v>
      </c>
      <c r="E57" s="32" t="s">
        <v>61</v>
      </c>
      <c r="F57" s="32" t="s">
        <v>57</v>
      </c>
      <c r="G57" s="69">
        <v>84300</v>
      </c>
      <c r="H57" s="70">
        <v>37100</v>
      </c>
      <c r="I57" s="71">
        <f t="shared" si="0"/>
        <v>47200</v>
      </c>
    </row>
    <row r="58" spans="1:9" ht="28.8">
      <c r="A58" s="76">
        <v>45509.378032407411</v>
      </c>
      <c r="B58" s="32">
        <v>1110543231</v>
      </c>
      <c r="C58" s="32" t="s">
        <v>97</v>
      </c>
      <c r="D58" s="32" t="s">
        <v>102</v>
      </c>
      <c r="E58" s="32" t="s">
        <v>79</v>
      </c>
      <c r="F58" s="32" t="s">
        <v>57</v>
      </c>
      <c r="G58" s="69">
        <v>84300</v>
      </c>
      <c r="H58" s="70">
        <v>37100</v>
      </c>
      <c r="I58" s="71">
        <f t="shared" si="0"/>
        <v>47200</v>
      </c>
    </row>
    <row r="59" spans="1:9" ht="28.8">
      <c r="A59" s="76">
        <v>45509.377581018518</v>
      </c>
      <c r="B59" s="32">
        <v>30282174</v>
      </c>
      <c r="C59" s="32" t="s">
        <v>58</v>
      </c>
      <c r="D59" s="32" t="s">
        <v>102</v>
      </c>
      <c r="E59" s="32" t="s">
        <v>59</v>
      </c>
      <c r="F59" s="32" t="s">
        <v>57</v>
      </c>
      <c r="G59" s="69">
        <v>74300</v>
      </c>
      <c r="H59" s="70">
        <v>26650</v>
      </c>
      <c r="I59" s="71">
        <f t="shared" si="0"/>
        <v>47650</v>
      </c>
    </row>
    <row r="60" spans="1:9" ht="28.8">
      <c r="A60" s="76">
        <v>45509.377222222225</v>
      </c>
      <c r="B60" s="32">
        <v>1110542177</v>
      </c>
      <c r="C60" s="32" t="s">
        <v>82</v>
      </c>
      <c r="D60" s="32" t="s">
        <v>102</v>
      </c>
      <c r="E60" s="32" t="s">
        <v>79</v>
      </c>
      <c r="F60" s="32" t="s">
        <v>57</v>
      </c>
      <c r="G60" s="69">
        <v>84300</v>
      </c>
      <c r="H60" s="70">
        <v>0</v>
      </c>
      <c r="I60" s="71">
        <f t="shared" si="0"/>
        <v>84300</v>
      </c>
    </row>
    <row r="61" spans="1:9" ht="28.8">
      <c r="A61" s="76">
        <v>45509.376828703702</v>
      </c>
      <c r="B61" s="32">
        <v>1126593876</v>
      </c>
      <c r="C61" s="32" t="s">
        <v>98</v>
      </c>
      <c r="D61" s="32" t="s">
        <v>102</v>
      </c>
      <c r="E61" s="32" t="s">
        <v>79</v>
      </c>
      <c r="F61" s="32" t="s">
        <v>57</v>
      </c>
      <c r="G61" s="69">
        <v>84300</v>
      </c>
      <c r="H61" s="70">
        <v>37100</v>
      </c>
      <c r="I61" s="71">
        <f t="shared" si="0"/>
        <v>47200</v>
      </c>
    </row>
    <row r="62" spans="1:9" ht="28.8">
      <c r="A62" s="76">
        <v>45509.376354166663</v>
      </c>
      <c r="B62" s="32">
        <v>65744944</v>
      </c>
      <c r="C62" s="32" t="s">
        <v>99</v>
      </c>
      <c r="D62" s="32" t="s">
        <v>102</v>
      </c>
      <c r="E62" s="32" t="s">
        <v>100</v>
      </c>
      <c r="F62" s="32" t="s">
        <v>57</v>
      </c>
      <c r="G62" s="69">
        <v>38000</v>
      </c>
      <c r="H62" s="70">
        <v>9100</v>
      </c>
      <c r="I62" s="71">
        <f t="shared" si="0"/>
        <v>28900</v>
      </c>
    </row>
    <row r="63" spans="1:9" ht="28.8">
      <c r="A63" s="76">
        <v>45506.397361111114</v>
      </c>
      <c r="B63" s="32">
        <v>28556081</v>
      </c>
      <c r="C63" s="32" t="s">
        <v>101</v>
      </c>
      <c r="D63" s="32" t="s">
        <v>102</v>
      </c>
      <c r="E63" s="32" t="s">
        <v>77</v>
      </c>
      <c r="F63" s="32" t="s">
        <v>57</v>
      </c>
      <c r="G63" s="69">
        <v>108000</v>
      </c>
      <c r="H63" s="70">
        <v>0</v>
      </c>
      <c r="I63" s="71">
        <f t="shared" si="0"/>
        <v>108000</v>
      </c>
    </row>
    <row r="64" spans="1:9">
      <c r="I64" s="73">
        <f>SUM(I3:I63)</f>
        <v>2982100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8"/>
  <sheetViews>
    <sheetView workbookViewId="0">
      <selection activeCell="H2" sqref="H2"/>
    </sheetView>
  </sheetViews>
  <sheetFormatPr baseColWidth="10" defaultRowHeight="14.4"/>
  <cols>
    <col min="2" max="2" width="3.44140625" customWidth="1"/>
    <col min="3" max="3" width="12" bestFit="1" customWidth="1"/>
    <col min="4" max="4" width="27.109375" customWidth="1"/>
    <col min="6" max="6" width="18.33203125" customWidth="1"/>
    <col min="7" max="7" width="15.88671875" customWidth="1"/>
    <col min="8" max="8" width="15.88671875" style="39" customWidth="1"/>
    <col min="9" max="10" width="11.5546875" style="39"/>
  </cols>
  <sheetData>
    <row r="2" spans="1:10" ht="43.2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35</v>
      </c>
      <c r="H2" s="4" t="s">
        <v>183</v>
      </c>
      <c r="I2" s="4" t="s">
        <v>24</v>
      </c>
      <c r="J2" s="4" t="s">
        <v>141</v>
      </c>
    </row>
    <row r="3" spans="1:10" ht="69">
      <c r="A3" s="86">
        <v>45475</v>
      </c>
      <c r="B3" s="3"/>
      <c r="C3" s="82">
        <v>1002155547</v>
      </c>
      <c r="D3" s="82" t="s">
        <v>168</v>
      </c>
      <c r="E3" s="3">
        <v>3125640009</v>
      </c>
      <c r="F3" s="12" t="s">
        <v>105</v>
      </c>
      <c r="G3" s="35" t="s">
        <v>57</v>
      </c>
      <c r="H3" s="79">
        <v>95700</v>
      </c>
      <c r="I3" s="4">
        <v>25000</v>
      </c>
      <c r="J3" s="4">
        <f>H3-I3</f>
        <v>70700</v>
      </c>
    </row>
    <row r="4" spans="1:10" ht="57.6">
      <c r="A4" s="86">
        <v>45475</v>
      </c>
      <c r="B4" s="3"/>
      <c r="C4" s="82">
        <v>1002155547</v>
      </c>
      <c r="D4" s="82" t="s">
        <v>168</v>
      </c>
      <c r="E4" s="3">
        <v>3125640009</v>
      </c>
      <c r="F4" s="12" t="s">
        <v>105</v>
      </c>
      <c r="G4" s="85" t="s">
        <v>32</v>
      </c>
      <c r="H4" s="79">
        <v>90000</v>
      </c>
      <c r="I4" s="4">
        <v>38000</v>
      </c>
      <c r="J4" s="4">
        <f t="shared" ref="J4:J29" si="0">H4-I4</f>
        <v>52000</v>
      </c>
    </row>
    <row r="5" spans="1:10" ht="69">
      <c r="A5" s="86">
        <v>45475</v>
      </c>
      <c r="B5" s="3"/>
      <c r="C5" s="82">
        <v>1005753541</v>
      </c>
      <c r="D5" s="82" t="s">
        <v>169</v>
      </c>
      <c r="E5" s="3">
        <v>3125640009</v>
      </c>
      <c r="F5" s="3" t="s">
        <v>105</v>
      </c>
      <c r="G5" s="35" t="s">
        <v>57</v>
      </c>
      <c r="H5" s="79">
        <v>95700</v>
      </c>
      <c r="I5" s="4">
        <v>22000</v>
      </c>
      <c r="J5" s="4">
        <f t="shared" si="0"/>
        <v>73700</v>
      </c>
    </row>
    <row r="6" spans="1:10" ht="57.6">
      <c r="A6" s="86">
        <v>45475</v>
      </c>
      <c r="B6" s="3"/>
      <c r="C6" s="82">
        <v>1005753541</v>
      </c>
      <c r="D6" s="82" t="s">
        <v>169</v>
      </c>
      <c r="E6" s="3">
        <v>3125640009</v>
      </c>
      <c r="F6" s="3" t="s">
        <v>105</v>
      </c>
      <c r="G6" s="85" t="s">
        <v>32</v>
      </c>
      <c r="H6" s="79">
        <v>90000</v>
      </c>
      <c r="I6" s="4">
        <v>0</v>
      </c>
      <c r="J6" s="4">
        <f t="shared" si="0"/>
        <v>90000</v>
      </c>
    </row>
    <row r="7" spans="1:10" ht="57.6">
      <c r="A7" s="86">
        <v>45475</v>
      </c>
      <c r="B7" s="3"/>
      <c r="C7" s="82">
        <v>28550819</v>
      </c>
      <c r="D7" s="36" t="s">
        <v>103</v>
      </c>
      <c r="E7" s="3">
        <v>3125640009</v>
      </c>
      <c r="F7" s="3" t="s">
        <v>105</v>
      </c>
      <c r="G7" s="85" t="s">
        <v>32</v>
      </c>
      <c r="H7" s="79">
        <v>90000</v>
      </c>
      <c r="I7" s="4">
        <v>30000</v>
      </c>
      <c r="J7" s="4">
        <f t="shared" ref="J7" si="1">H7-I7</f>
        <v>60000</v>
      </c>
    </row>
    <row r="8" spans="1:10" ht="69">
      <c r="A8" s="86">
        <v>45475</v>
      </c>
      <c r="B8" s="3"/>
      <c r="C8" s="82">
        <v>28550819</v>
      </c>
      <c r="D8" s="36" t="s">
        <v>103</v>
      </c>
      <c r="E8" s="3">
        <v>3125640009</v>
      </c>
      <c r="F8" s="3" t="s">
        <v>105</v>
      </c>
      <c r="G8" s="35" t="s">
        <v>57</v>
      </c>
      <c r="H8" s="79">
        <v>110700</v>
      </c>
      <c r="I8" s="4">
        <v>31000</v>
      </c>
      <c r="J8" s="4">
        <f t="shared" si="0"/>
        <v>79700</v>
      </c>
    </row>
    <row r="9" spans="1:10" ht="69">
      <c r="A9" s="86">
        <v>45475</v>
      </c>
      <c r="B9" s="3"/>
      <c r="C9" s="82">
        <v>65782007</v>
      </c>
      <c r="D9" s="82" t="s">
        <v>170</v>
      </c>
      <c r="E9" s="3">
        <v>3125640009</v>
      </c>
      <c r="F9" s="3" t="s">
        <v>105</v>
      </c>
      <c r="G9" s="35" t="s">
        <v>57</v>
      </c>
      <c r="H9" s="79">
        <v>110700</v>
      </c>
      <c r="I9" s="4">
        <v>31000</v>
      </c>
      <c r="J9" s="4">
        <f t="shared" si="0"/>
        <v>79700</v>
      </c>
    </row>
    <row r="10" spans="1:10" ht="57.6">
      <c r="A10" s="86">
        <v>45475</v>
      </c>
      <c r="B10" s="3"/>
      <c r="C10" s="82">
        <v>65782007</v>
      </c>
      <c r="D10" s="82" t="s">
        <v>170</v>
      </c>
      <c r="E10" s="3">
        <v>3125640009</v>
      </c>
      <c r="F10" s="3" t="s">
        <v>105</v>
      </c>
      <c r="G10" s="85" t="s">
        <v>32</v>
      </c>
      <c r="H10" s="79">
        <v>90000</v>
      </c>
      <c r="I10" s="4">
        <v>30000</v>
      </c>
      <c r="J10" s="4">
        <f t="shared" ref="J10" si="2">H10-I10</f>
        <v>60000</v>
      </c>
    </row>
    <row r="11" spans="1:10" ht="69">
      <c r="A11" s="86">
        <v>45496</v>
      </c>
      <c r="B11" s="3"/>
      <c r="C11" s="3">
        <v>65762817</v>
      </c>
      <c r="D11" s="82" t="s">
        <v>171</v>
      </c>
      <c r="E11" s="3">
        <v>3125640009</v>
      </c>
      <c r="F11" s="3" t="s">
        <v>105</v>
      </c>
      <c r="G11" s="35" t="s">
        <v>57</v>
      </c>
      <c r="H11" s="79">
        <v>110700</v>
      </c>
      <c r="I11" s="4">
        <v>31000</v>
      </c>
      <c r="J11" s="4">
        <f t="shared" si="0"/>
        <v>79700</v>
      </c>
    </row>
    <row r="12" spans="1:10" ht="57.6">
      <c r="A12" s="86">
        <v>45496</v>
      </c>
      <c r="B12" s="3"/>
      <c r="C12" s="3">
        <v>65762817</v>
      </c>
      <c r="D12" s="82" t="s">
        <v>171</v>
      </c>
      <c r="E12" s="3">
        <v>3125640009</v>
      </c>
      <c r="F12" s="3" t="s">
        <v>105</v>
      </c>
      <c r="G12" s="85" t="s">
        <v>32</v>
      </c>
      <c r="H12" s="79">
        <v>90000</v>
      </c>
      <c r="I12" s="4">
        <v>0</v>
      </c>
      <c r="J12" s="4">
        <f t="shared" ref="J12" si="3">H12-I12</f>
        <v>90000</v>
      </c>
    </row>
    <row r="13" spans="1:10" ht="69">
      <c r="A13" s="11">
        <v>45509</v>
      </c>
      <c r="B13" s="12" t="s">
        <v>0</v>
      </c>
      <c r="C13" s="12">
        <v>28550819</v>
      </c>
      <c r="D13" s="36" t="s">
        <v>103</v>
      </c>
      <c r="E13" s="37">
        <v>3108117894</v>
      </c>
      <c r="F13" s="12" t="s">
        <v>105</v>
      </c>
      <c r="G13" s="35" t="s">
        <v>57</v>
      </c>
      <c r="H13" s="44">
        <v>110000</v>
      </c>
      <c r="I13" s="40">
        <v>31000</v>
      </c>
      <c r="J13" s="4">
        <f t="shared" si="0"/>
        <v>79000</v>
      </c>
    </row>
    <row r="14" spans="1:10" ht="69">
      <c r="A14" s="12" t="s">
        <v>106</v>
      </c>
      <c r="B14" s="12" t="s">
        <v>0</v>
      </c>
      <c r="C14" s="12">
        <v>65782007</v>
      </c>
      <c r="D14" s="88" t="s">
        <v>170</v>
      </c>
      <c r="E14" s="37" t="s">
        <v>104</v>
      </c>
      <c r="F14" s="12" t="s">
        <v>105</v>
      </c>
      <c r="G14" s="35" t="s">
        <v>57</v>
      </c>
      <c r="H14" s="44">
        <v>110700</v>
      </c>
      <c r="I14" s="40">
        <v>31000</v>
      </c>
      <c r="J14" s="4">
        <f t="shared" si="0"/>
        <v>79700</v>
      </c>
    </row>
    <row r="15" spans="1:10" ht="69">
      <c r="A15" s="11">
        <v>45520</v>
      </c>
      <c r="B15" s="12"/>
      <c r="C15" s="12">
        <v>52421701</v>
      </c>
      <c r="D15" s="31" t="s">
        <v>107</v>
      </c>
      <c r="E15" s="12">
        <v>3117079602</v>
      </c>
      <c r="F15" s="12" t="s">
        <v>105</v>
      </c>
      <c r="G15" s="35" t="s">
        <v>57</v>
      </c>
      <c r="H15" s="44">
        <v>95700</v>
      </c>
      <c r="I15" s="40">
        <v>30000</v>
      </c>
      <c r="J15" s="4">
        <f t="shared" si="0"/>
        <v>65700</v>
      </c>
    </row>
    <row r="16" spans="1:10" ht="57.6">
      <c r="A16" s="11">
        <v>45520</v>
      </c>
      <c r="B16" s="12"/>
      <c r="C16" s="12">
        <v>52421701</v>
      </c>
      <c r="D16" s="31" t="s">
        <v>107</v>
      </c>
      <c r="E16" s="12">
        <v>3117079602</v>
      </c>
      <c r="F16" s="12" t="s">
        <v>105</v>
      </c>
      <c r="G16" s="85" t="s">
        <v>32</v>
      </c>
      <c r="H16" s="48">
        <v>90000</v>
      </c>
      <c r="I16" s="40">
        <v>40000</v>
      </c>
      <c r="J16" s="4">
        <f t="shared" si="0"/>
        <v>50000</v>
      </c>
    </row>
    <row r="17" spans="1:10" ht="69">
      <c r="A17" s="11">
        <v>45524</v>
      </c>
      <c r="B17" s="12" t="s">
        <v>0</v>
      </c>
      <c r="C17" s="38">
        <v>1026573284</v>
      </c>
      <c r="D17" s="36" t="s">
        <v>108</v>
      </c>
      <c r="E17" s="38">
        <v>3173867637</v>
      </c>
      <c r="F17" s="12" t="s">
        <v>105</v>
      </c>
      <c r="G17" s="35" t="s">
        <v>57</v>
      </c>
      <c r="H17" s="44">
        <v>110700</v>
      </c>
      <c r="I17" s="40">
        <v>22000</v>
      </c>
      <c r="J17" s="4">
        <f t="shared" si="0"/>
        <v>88700</v>
      </c>
    </row>
    <row r="18" spans="1:10" ht="69">
      <c r="A18" s="11">
        <v>45524</v>
      </c>
      <c r="B18" s="12" t="s">
        <v>0</v>
      </c>
      <c r="C18" s="38">
        <v>1193143222</v>
      </c>
      <c r="D18" s="36" t="s">
        <v>109</v>
      </c>
      <c r="E18" s="38">
        <v>3123072668</v>
      </c>
      <c r="F18" s="12" t="s">
        <v>105</v>
      </c>
      <c r="G18" s="35" t="s">
        <v>57</v>
      </c>
      <c r="H18" s="44">
        <v>110700</v>
      </c>
      <c r="I18" s="40">
        <v>0</v>
      </c>
      <c r="J18" s="4">
        <f t="shared" si="0"/>
        <v>110700</v>
      </c>
    </row>
    <row r="19" spans="1:10" ht="69">
      <c r="A19" s="11">
        <v>45524</v>
      </c>
      <c r="B19" s="12" t="s">
        <v>0</v>
      </c>
      <c r="C19" s="38">
        <v>1005753541</v>
      </c>
      <c r="D19" s="36" t="s">
        <v>110</v>
      </c>
      <c r="E19" s="37">
        <v>3168292131</v>
      </c>
      <c r="F19" s="12" t="s">
        <v>105</v>
      </c>
      <c r="G19" s="47" t="s">
        <v>172</v>
      </c>
      <c r="H19" s="44">
        <v>66200</v>
      </c>
      <c r="I19" s="40">
        <v>22000</v>
      </c>
      <c r="J19" s="4">
        <f t="shared" si="0"/>
        <v>44200</v>
      </c>
    </row>
    <row r="20" spans="1:10" ht="69">
      <c r="A20" s="11">
        <v>45525</v>
      </c>
      <c r="B20" s="12" t="s">
        <v>0</v>
      </c>
      <c r="C20" s="37">
        <v>1005911792</v>
      </c>
      <c r="D20" s="36" t="s">
        <v>111</v>
      </c>
      <c r="E20" s="37">
        <v>3219390823</v>
      </c>
      <c r="F20" s="12" t="s">
        <v>105</v>
      </c>
      <c r="G20" s="35" t="s">
        <v>57</v>
      </c>
      <c r="H20" s="44">
        <v>110700</v>
      </c>
      <c r="I20" s="40">
        <v>26000</v>
      </c>
      <c r="J20" s="4">
        <f t="shared" si="0"/>
        <v>84700</v>
      </c>
    </row>
    <row r="21" spans="1:10" ht="43.2">
      <c r="A21" s="11">
        <v>45525</v>
      </c>
      <c r="B21" s="12" t="s">
        <v>0</v>
      </c>
      <c r="C21" s="38">
        <v>1026573284</v>
      </c>
      <c r="D21" s="36" t="s">
        <v>108</v>
      </c>
      <c r="E21" s="38">
        <v>3173867637</v>
      </c>
      <c r="F21" s="12" t="s">
        <v>105</v>
      </c>
      <c r="G21" s="85" t="s">
        <v>112</v>
      </c>
      <c r="H21" s="48">
        <v>90000</v>
      </c>
      <c r="I21" s="40">
        <v>0</v>
      </c>
      <c r="J21" s="4">
        <f t="shared" si="0"/>
        <v>90000</v>
      </c>
    </row>
    <row r="22" spans="1:10" ht="43.2">
      <c r="A22" s="11">
        <v>45525</v>
      </c>
      <c r="B22" s="12" t="s">
        <v>0</v>
      </c>
      <c r="C22" s="38">
        <v>1193143222</v>
      </c>
      <c r="D22" s="36" t="s">
        <v>109</v>
      </c>
      <c r="E22" s="38">
        <v>3123072668</v>
      </c>
      <c r="F22" s="12" t="s">
        <v>105</v>
      </c>
      <c r="G22" s="85" t="s">
        <v>112</v>
      </c>
      <c r="H22" s="48">
        <v>90000</v>
      </c>
      <c r="I22" s="87">
        <v>0</v>
      </c>
      <c r="J22" s="4">
        <f t="shared" si="0"/>
        <v>90000</v>
      </c>
    </row>
    <row r="23" spans="1:10" ht="72">
      <c r="A23" s="11">
        <v>45525</v>
      </c>
      <c r="B23" s="12" t="s">
        <v>0</v>
      </c>
      <c r="C23" s="12">
        <v>1032466550</v>
      </c>
      <c r="D23" s="12" t="s">
        <v>113</v>
      </c>
      <c r="E23" s="38" t="s">
        <v>114</v>
      </c>
      <c r="F23" s="12" t="s">
        <v>105</v>
      </c>
      <c r="G23" s="13" t="s">
        <v>115</v>
      </c>
      <c r="H23" s="48">
        <v>66200</v>
      </c>
      <c r="I23" s="87">
        <v>26000</v>
      </c>
      <c r="J23" s="4">
        <f t="shared" si="0"/>
        <v>40200</v>
      </c>
    </row>
    <row r="24" spans="1:10" ht="43.2">
      <c r="A24" s="11">
        <v>45525</v>
      </c>
      <c r="B24" s="12" t="s">
        <v>0</v>
      </c>
      <c r="C24" s="37">
        <v>1005911792</v>
      </c>
      <c r="D24" s="36" t="s">
        <v>111</v>
      </c>
      <c r="E24" s="37">
        <v>3219390823</v>
      </c>
      <c r="F24" s="12" t="s">
        <v>105</v>
      </c>
      <c r="G24" s="85" t="s">
        <v>112</v>
      </c>
      <c r="H24" s="48">
        <v>90000</v>
      </c>
      <c r="I24" s="87">
        <v>0</v>
      </c>
      <c r="J24" s="4">
        <f t="shared" si="0"/>
        <v>90000</v>
      </c>
    </row>
    <row r="25" spans="1:10" ht="43.2">
      <c r="A25" s="11">
        <v>45525</v>
      </c>
      <c r="B25" s="12" t="s">
        <v>0</v>
      </c>
      <c r="C25" s="12">
        <v>52817256</v>
      </c>
      <c r="D25" s="12" t="s">
        <v>116</v>
      </c>
      <c r="E25" s="12">
        <v>3125640009</v>
      </c>
      <c r="F25" s="12" t="s">
        <v>105</v>
      </c>
      <c r="G25" s="85" t="s">
        <v>112</v>
      </c>
      <c r="H25" s="48">
        <v>90000</v>
      </c>
      <c r="I25" s="87">
        <v>38000</v>
      </c>
      <c r="J25" s="4">
        <f t="shared" si="0"/>
        <v>52000</v>
      </c>
    </row>
    <row r="26" spans="1:10" ht="72">
      <c r="A26" s="93">
        <v>45551</v>
      </c>
      <c r="B26" s="90" t="s">
        <v>0</v>
      </c>
      <c r="C26" s="88">
        <v>11090006475</v>
      </c>
      <c r="D26" s="91" t="s">
        <v>173</v>
      </c>
      <c r="E26" s="92">
        <v>3185539424</v>
      </c>
      <c r="F26" s="90" t="s">
        <v>105</v>
      </c>
      <c r="G26" s="13" t="s">
        <v>115</v>
      </c>
      <c r="H26" s="83">
        <v>110700</v>
      </c>
      <c r="I26" s="83">
        <v>27000</v>
      </c>
      <c r="J26" s="83">
        <f t="shared" si="0"/>
        <v>83700</v>
      </c>
    </row>
    <row r="27" spans="1:10" ht="72">
      <c r="A27" s="93">
        <v>45551</v>
      </c>
      <c r="B27" s="90" t="s">
        <v>0</v>
      </c>
      <c r="C27" s="88">
        <v>1110508797</v>
      </c>
      <c r="D27" s="90" t="s">
        <v>174</v>
      </c>
      <c r="E27" s="92">
        <v>3004997411</v>
      </c>
      <c r="F27" s="90" t="s">
        <v>105</v>
      </c>
      <c r="G27" s="13" t="s">
        <v>115</v>
      </c>
      <c r="H27" s="83">
        <v>110700</v>
      </c>
      <c r="I27" s="83">
        <v>31000</v>
      </c>
      <c r="J27" s="83">
        <f t="shared" si="0"/>
        <v>79700</v>
      </c>
    </row>
    <row r="28" spans="1:10" ht="69">
      <c r="A28" s="93">
        <v>45567</v>
      </c>
      <c r="B28" s="88"/>
      <c r="C28" s="88">
        <v>1110464820</v>
      </c>
      <c r="D28" s="88" t="s">
        <v>175</v>
      </c>
      <c r="E28" s="92">
        <v>3155881496</v>
      </c>
      <c r="F28" s="90" t="s">
        <v>105</v>
      </c>
      <c r="G28" s="35" t="s">
        <v>57</v>
      </c>
      <c r="H28" s="83">
        <v>110700</v>
      </c>
      <c r="I28" s="83">
        <v>31000</v>
      </c>
      <c r="J28" s="83">
        <f t="shared" si="0"/>
        <v>79700</v>
      </c>
    </row>
    <row r="29" spans="1:10" ht="43.2">
      <c r="A29" s="93">
        <v>45567</v>
      </c>
      <c r="B29" s="88"/>
      <c r="C29" s="88">
        <v>1110464820</v>
      </c>
      <c r="D29" s="88" t="s">
        <v>175</v>
      </c>
      <c r="E29" s="92">
        <v>3155881496</v>
      </c>
      <c r="F29" s="90" t="s">
        <v>105</v>
      </c>
      <c r="G29" s="85" t="s">
        <v>112</v>
      </c>
      <c r="H29" s="83">
        <v>90000</v>
      </c>
      <c r="I29" s="83">
        <v>30000</v>
      </c>
      <c r="J29" s="83">
        <f t="shared" si="0"/>
        <v>60000</v>
      </c>
    </row>
    <row r="30" spans="1:10" ht="69">
      <c r="A30" s="11">
        <v>45573</v>
      </c>
      <c r="B30" s="12" t="s">
        <v>0</v>
      </c>
      <c r="C30" s="12">
        <v>1032466550</v>
      </c>
      <c r="D30" s="12" t="s">
        <v>113</v>
      </c>
      <c r="E30" s="38" t="s">
        <v>114</v>
      </c>
      <c r="F30" s="12" t="s">
        <v>105</v>
      </c>
      <c r="G30" s="35" t="s">
        <v>57</v>
      </c>
      <c r="H30" s="48">
        <v>110700</v>
      </c>
      <c r="I30" s="87">
        <v>26000</v>
      </c>
      <c r="J30" s="4">
        <f t="shared" ref="J30:J35" si="4">H30-I30</f>
        <v>84700</v>
      </c>
    </row>
    <row r="31" spans="1:10" ht="69">
      <c r="A31" s="93">
        <v>45573</v>
      </c>
      <c r="B31" s="88"/>
      <c r="C31" s="38">
        <v>1026573284</v>
      </c>
      <c r="D31" s="36" t="s">
        <v>108</v>
      </c>
      <c r="E31" s="38">
        <v>3173867637</v>
      </c>
      <c r="F31" s="12" t="s">
        <v>105</v>
      </c>
      <c r="G31" s="35" t="s">
        <v>57</v>
      </c>
      <c r="H31" s="44">
        <v>110700</v>
      </c>
      <c r="I31" s="40">
        <v>22000</v>
      </c>
      <c r="J31" s="4">
        <f t="shared" si="4"/>
        <v>88700</v>
      </c>
    </row>
    <row r="32" spans="1:10" ht="69">
      <c r="A32" s="93">
        <v>45574</v>
      </c>
      <c r="B32" s="88"/>
      <c r="C32" s="95">
        <v>1110508797</v>
      </c>
      <c r="D32" s="88" t="s">
        <v>174</v>
      </c>
      <c r="E32" s="92">
        <v>3125640009</v>
      </c>
      <c r="F32" s="90" t="s">
        <v>105</v>
      </c>
      <c r="G32" s="35" t="s">
        <v>57</v>
      </c>
      <c r="H32" s="83">
        <v>110700</v>
      </c>
      <c r="I32" s="83">
        <v>31000</v>
      </c>
      <c r="J32" s="83">
        <f t="shared" si="4"/>
        <v>79700</v>
      </c>
    </row>
    <row r="33" spans="1:10" ht="72">
      <c r="A33" s="93">
        <v>45596</v>
      </c>
      <c r="B33" s="82"/>
      <c r="C33" s="88">
        <v>11090006475</v>
      </c>
      <c r="D33" s="91" t="s">
        <v>173</v>
      </c>
      <c r="E33" s="92">
        <v>3185539424</v>
      </c>
      <c r="F33" s="90" t="s">
        <v>105</v>
      </c>
      <c r="G33" s="13" t="s">
        <v>115</v>
      </c>
      <c r="H33" s="83">
        <v>66200</v>
      </c>
      <c r="I33" s="83">
        <v>27000</v>
      </c>
      <c r="J33" s="83">
        <f t="shared" si="4"/>
        <v>39200</v>
      </c>
    </row>
    <row r="34" spans="1:10" ht="72">
      <c r="A34" s="93">
        <v>45596</v>
      </c>
      <c r="B34" s="88"/>
      <c r="C34" s="88">
        <v>1000586344</v>
      </c>
      <c r="D34" s="88" t="s">
        <v>176</v>
      </c>
      <c r="E34" s="92">
        <v>3125640009</v>
      </c>
      <c r="F34" s="90" t="s">
        <v>105</v>
      </c>
      <c r="G34" s="13" t="s">
        <v>115</v>
      </c>
      <c r="H34" s="83">
        <v>66200</v>
      </c>
      <c r="I34" s="83">
        <v>20000</v>
      </c>
      <c r="J34" s="83">
        <f t="shared" si="4"/>
        <v>46200</v>
      </c>
    </row>
    <row r="35" spans="1:10" ht="72">
      <c r="A35" s="25">
        <v>45596</v>
      </c>
      <c r="B35" s="82"/>
      <c r="C35" s="38">
        <v>1193143222</v>
      </c>
      <c r="D35" s="36" t="s">
        <v>109</v>
      </c>
      <c r="E35" s="38">
        <v>3123072668</v>
      </c>
      <c r="F35" s="12" t="s">
        <v>105</v>
      </c>
      <c r="G35" s="13" t="s">
        <v>115</v>
      </c>
      <c r="H35" s="94">
        <v>66200</v>
      </c>
      <c r="I35" s="94">
        <v>0</v>
      </c>
      <c r="J35" s="94">
        <f t="shared" si="4"/>
        <v>66200</v>
      </c>
    </row>
    <row r="36" spans="1:10" ht="43.2">
      <c r="A36" s="11">
        <v>45573</v>
      </c>
      <c r="B36" s="12" t="s">
        <v>0</v>
      </c>
      <c r="C36" s="12">
        <v>1032466550</v>
      </c>
      <c r="D36" s="12" t="s">
        <v>113</v>
      </c>
      <c r="E36" s="38" t="s">
        <v>114</v>
      </c>
      <c r="F36" s="12" t="s">
        <v>105</v>
      </c>
      <c r="G36" s="85" t="s">
        <v>112</v>
      </c>
      <c r="H36" s="48">
        <v>90000</v>
      </c>
      <c r="I36" s="87">
        <v>0</v>
      </c>
      <c r="J36" s="4">
        <f t="shared" ref="J36:J37" si="5">H36-I36</f>
        <v>90000</v>
      </c>
    </row>
    <row r="37" spans="1:10" ht="43.2">
      <c r="A37" s="25">
        <v>45573</v>
      </c>
      <c r="B37" s="82"/>
      <c r="C37" s="38">
        <v>1026573284</v>
      </c>
      <c r="D37" s="36" t="s">
        <v>108</v>
      </c>
      <c r="E37" s="38">
        <v>3173867637</v>
      </c>
      <c r="F37" s="12" t="s">
        <v>105</v>
      </c>
      <c r="G37" s="85" t="s">
        <v>112</v>
      </c>
      <c r="H37" s="94">
        <v>90000</v>
      </c>
      <c r="I37" s="94">
        <v>0</v>
      </c>
      <c r="J37" s="94">
        <f t="shared" si="5"/>
        <v>90000</v>
      </c>
    </row>
    <row r="38" spans="1:10">
      <c r="J38" s="39">
        <f>SUM(J3:J37)</f>
        <v>2588200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tabSelected="1" topLeftCell="B3" workbookViewId="0">
      <selection activeCell="I28" sqref="I28"/>
    </sheetView>
  </sheetViews>
  <sheetFormatPr baseColWidth="10" defaultRowHeight="14.4"/>
  <cols>
    <col min="3" max="3" width="12.109375" style="96" bestFit="1" customWidth="1"/>
    <col min="4" max="4" width="25.5546875" customWidth="1"/>
    <col min="5" max="5" width="19.21875" customWidth="1"/>
    <col min="6" max="6" width="16.5546875" customWidth="1"/>
    <col min="7" max="7" width="16.88671875" customWidth="1"/>
    <col min="8" max="8" width="17.44140625" customWidth="1"/>
    <col min="9" max="9" width="17.44140625" style="80" customWidth="1"/>
    <col min="10" max="10" width="13.88671875" style="39" customWidth="1"/>
    <col min="11" max="11" width="17" style="39" customWidth="1"/>
  </cols>
  <sheetData>
    <row r="2" spans="1:11" ht="28.8">
      <c r="A2" s="2" t="s">
        <v>17</v>
      </c>
      <c r="B2" s="3" t="s">
        <v>18</v>
      </c>
      <c r="C2" s="89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35</v>
      </c>
      <c r="I2" s="4" t="s">
        <v>183</v>
      </c>
      <c r="J2" s="4" t="s">
        <v>24</v>
      </c>
      <c r="K2" s="4" t="s">
        <v>118</v>
      </c>
    </row>
    <row r="3" spans="1:11" ht="72">
      <c r="A3" s="43">
        <v>45506</v>
      </c>
      <c r="B3" s="31" t="s">
        <v>0</v>
      </c>
      <c r="C3" s="36">
        <v>1110508200</v>
      </c>
      <c r="D3" s="36" t="s">
        <v>117</v>
      </c>
      <c r="E3" s="36">
        <v>3165311734</v>
      </c>
      <c r="F3" s="31" t="s">
        <v>120</v>
      </c>
      <c r="G3" s="31" t="s">
        <v>119</v>
      </c>
      <c r="H3" s="41" t="s">
        <v>57</v>
      </c>
      <c r="I3" s="48">
        <v>91700</v>
      </c>
      <c r="J3" s="40">
        <v>44300</v>
      </c>
      <c r="K3" s="40">
        <f>I3-J3</f>
        <v>47400</v>
      </c>
    </row>
    <row r="4" spans="1:11" ht="72">
      <c r="A4" s="43">
        <v>45507</v>
      </c>
      <c r="B4" s="31" t="s">
        <v>0</v>
      </c>
      <c r="C4" s="36">
        <v>1110585709</v>
      </c>
      <c r="D4" s="36" t="s">
        <v>121</v>
      </c>
      <c r="E4" s="36">
        <v>3185973164</v>
      </c>
      <c r="F4" s="31" t="s">
        <v>120</v>
      </c>
      <c r="G4" s="31" t="s">
        <v>122</v>
      </c>
      <c r="H4" s="41" t="s">
        <v>57</v>
      </c>
      <c r="I4" s="48">
        <v>79100</v>
      </c>
      <c r="J4" s="40">
        <v>45000</v>
      </c>
      <c r="K4" s="40">
        <f t="shared" ref="K4:K23" si="0">I4-J4</f>
        <v>34100</v>
      </c>
    </row>
    <row r="5" spans="1:11" ht="72">
      <c r="A5" s="43">
        <v>45508</v>
      </c>
      <c r="B5" s="31" t="s">
        <v>0</v>
      </c>
      <c r="C5" s="36">
        <v>1110541621</v>
      </c>
      <c r="D5" s="36" t="s">
        <v>123</v>
      </c>
      <c r="E5" s="36">
        <v>3125487330</v>
      </c>
      <c r="F5" s="31" t="s">
        <v>120</v>
      </c>
      <c r="G5" s="42" t="s">
        <v>124</v>
      </c>
      <c r="H5" s="41" t="s">
        <v>57</v>
      </c>
      <c r="I5" s="48">
        <v>91700</v>
      </c>
      <c r="J5" s="40">
        <v>18800</v>
      </c>
      <c r="K5" s="40">
        <f t="shared" si="0"/>
        <v>72900</v>
      </c>
    </row>
    <row r="6" spans="1:11" ht="57.6">
      <c r="A6" s="43">
        <v>45514</v>
      </c>
      <c r="B6" s="31" t="s">
        <v>0</v>
      </c>
      <c r="C6" s="36">
        <v>1110541621</v>
      </c>
      <c r="D6" s="36" t="s">
        <v>123</v>
      </c>
      <c r="E6" s="36">
        <v>3125487330</v>
      </c>
      <c r="F6" s="31" t="s">
        <v>120</v>
      </c>
      <c r="G6" s="31" t="s">
        <v>122</v>
      </c>
      <c r="H6" s="41" t="s">
        <v>32</v>
      </c>
      <c r="I6" s="48">
        <v>90000</v>
      </c>
      <c r="J6" s="40">
        <v>24500</v>
      </c>
      <c r="K6" s="40">
        <f t="shared" si="0"/>
        <v>65500</v>
      </c>
    </row>
    <row r="7" spans="1:11" ht="72">
      <c r="A7" s="43">
        <v>45553</v>
      </c>
      <c r="B7" s="31" t="s">
        <v>0</v>
      </c>
      <c r="C7" s="41">
        <v>1193104990</v>
      </c>
      <c r="D7" s="41" t="s">
        <v>125</v>
      </c>
      <c r="E7" s="41">
        <v>3103325670</v>
      </c>
      <c r="F7" s="31" t="s">
        <v>120</v>
      </c>
      <c r="G7" s="31" t="s">
        <v>127</v>
      </c>
      <c r="H7" s="41" t="s">
        <v>57</v>
      </c>
      <c r="I7" s="48">
        <v>91700</v>
      </c>
      <c r="J7" s="40">
        <v>45000</v>
      </c>
      <c r="K7" s="40">
        <f t="shared" si="0"/>
        <v>46700</v>
      </c>
    </row>
    <row r="8" spans="1:11" ht="72">
      <c r="A8" s="43">
        <v>45553</v>
      </c>
      <c r="B8" s="31" t="s">
        <v>0</v>
      </c>
      <c r="C8" s="41">
        <v>1104546131</v>
      </c>
      <c r="D8" s="41" t="s">
        <v>126</v>
      </c>
      <c r="E8" s="41">
        <v>3103325670</v>
      </c>
      <c r="F8" s="31" t="s">
        <v>120</v>
      </c>
      <c r="G8" s="31" t="s">
        <v>128</v>
      </c>
      <c r="H8" s="41" t="s">
        <v>57</v>
      </c>
      <c r="I8" s="48">
        <v>91700</v>
      </c>
      <c r="J8" s="40">
        <v>45000</v>
      </c>
      <c r="K8" s="40">
        <f t="shared" si="0"/>
        <v>46700</v>
      </c>
    </row>
    <row r="9" spans="1:11" ht="57.6">
      <c r="A9" s="43">
        <v>45553</v>
      </c>
      <c r="B9" s="31" t="s">
        <v>0</v>
      </c>
      <c r="C9" s="41">
        <v>1104546131</v>
      </c>
      <c r="D9" s="41" t="s">
        <v>126</v>
      </c>
      <c r="E9" s="41">
        <v>3103325670</v>
      </c>
      <c r="F9" s="31" t="s">
        <v>120</v>
      </c>
      <c r="G9" s="31" t="s">
        <v>128</v>
      </c>
      <c r="H9" s="41" t="s">
        <v>32</v>
      </c>
      <c r="I9" s="48">
        <v>90000</v>
      </c>
      <c r="J9" s="40">
        <v>45000</v>
      </c>
      <c r="K9" s="40">
        <f t="shared" si="0"/>
        <v>45000</v>
      </c>
    </row>
    <row r="10" spans="1:11" ht="72">
      <c r="A10" s="43">
        <v>45538</v>
      </c>
      <c r="B10" s="31" t="s">
        <v>0</v>
      </c>
      <c r="C10" s="36">
        <v>28637914</v>
      </c>
      <c r="D10" s="36" t="s">
        <v>129</v>
      </c>
      <c r="E10" s="36">
        <v>3138795224</v>
      </c>
      <c r="F10" s="31" t="s">
        <v>120</v>
      </c>
      <c r="G10" s="31" t="s">
        <v>122</v>
      </c>
      <c r="H10" s="41" t="s">
        <v>57</v>
      </c>
      <c r="I10" s="48">
        <v>79100</v>
      </c>
      <c r="J10" s="40">
        <v>45000</v>
      </c>
      <c r="K10" s="40">
        <f t="shared" si="0"/>
        <v>34100</v>
      </c>
    </row>
    <row r="11" spans="1:11" ht="57.6">
      <c r="A11" s="43">
        <v>45538</v>
      </c>
      <c r="B11" s="31" t="s">
        <v>0</v>
      </c>
      <c r="C11" s="36">
        <v>28637914</v>
      </c>
      <c r="D11" s="36" t="s">
        <v>129</v>
      </c>
      <c r="E11" s="36">
        <v>3138795224</v>
      </c>
      <c r="F11" s="31" t="s">
        <v>120</v>
      </c>
      <c r="G11" s="31" t="s">
        <v>122</v>
      </c>
      <c r="H11" s="41" t="s">
        <v>32</v>
      </c>
      <c r="I11" s="48">
        <v>79100</v>
      </c>
      <c r="J11" s="40">
        <v>18000</v>
      </c>
      <c r="K11" s="40">
        <f t="shared" si="0"/>
        <v>61100</v>
      </c>
    </row>
    <row r="12" spans="1:11" ht="72">
      <c r="A12" s="43">
        <v>45538</v>
      </c>
      <c r="B12" s="31" t="s">
        <v>0</v>
      </c>
      <c r="C12" s="36">
        <v>1032454037</v>
      </c>
      <c r="D12" s="36" t="s">
        <v>130</v>
      </c>
      <c r="E12" s="36">
        <v>3112779487</v>
      </c>
      <c r="F12" s="31" t="s">
        <v>120</v>
      </c>
      <c r="G12" s="41" t="s">
        <v>122</v>
      </c>
      <c r="H12" s="41" t="s">
        <v>57</v>
      </c>
      <c r="I12" s="48">
        <v>79100</v>
      </c>
      <c r="J12" s="40">
        <v>45000</v>
      </c>
      <c r="K12" s="40">
        <f t="shared" si="0"/>
        <v>34100</v>
      </c>
    </row>
    <row r="13" spans="1:11" ht="57.6">
      <c r="A13" s="43">
        <v>45538</v>
      </c>
      <c r="B13" s="31" t="s">
        <v>0</v>
      </c>
      <c r="C13" s="36">
        <v>1032454037</v>
      </c>
      <c r="D13" s="36" t="s">
        <v>130</v>
      </c>
      <c r="E13" s="36">
        <v>3112779487</v>
      </c>
      <c r="F13" s="31" t="s">
        <v>120</v>
      </c>
      <c r="G13" s="41" t="s">
        <v>178</v>
      </c>
      <c r="H13" s="41" t="s">
        <v>32</v>
      </c>
      <c r="I13" s="48">
        <v>90000</v>
      </c>
      <c r="J13" s="40">
        <v>45000</v>
      </c>
      <c r="K13" s="40">
        <f t="shared" si="0"/>
        <v>45000</v>
      </c>
    </row>
    <row r="14" spans="1:11" ht="72">
      <c r="A14" s="43">
        <v>45538</v>
      </c>
      <c r="B14" s="31" t="s">
        <v>0</v>
      </c>
      <c r="C14" s="36">
        <v>24317033</v>
      </c>
      <c r="D14" s="36" t="s">
        <v>131</v>
      </c>
      <c r="E14" s="36" t="s">
        <v>132</v>
      </c>
      <c r="F14" s="31" t="s">
        <v>120</v>
      </c>
      <c r="G14" s="31" t="s">
        <v>119</v>
      </c>
      <c r="H14" s="41" t="s">
        <v>57</v>
      </c>
      <c r="I14" s="48">
        <v>91700</v>
      </c>
      <c r="J14" s="40">
        <v>41500</v>
      </c>
      <c r="K14" s="40">
        <f t="shared" si="0"/>
        <v>50200</v>
      </c>
    </row>
    <row r="15" spans="1:11" ht="57.6">
      <c r="A15" s="43">
        <v>45538</v>
      </c>
      <c r="B15" s="31" t="s">
        <v>0</v>
      </c>
      <c r="C15" s="36">
        <v>24317033</v>
      </c>
      <c r="D15" s="36" t="s">
        <v>131</v>
      </c>
      <c r="E15" s="36" t="s">
        <v>132</v>
      </c>
      <c r="F15" s="31" t="s">
        <v>120</v>
      </c>
      <c r="G15" s="31" t="s">
        <v>177</v>
      </c>
      <c r="H15" s="41" t="s">
        <v>32</v>
      </c>
      <c r="I15" s="48">
        <v>90000</v>
      </c>
      <c r="J15" s="40">
        <v>41800</v>
      </c>
      <c r="K15" s="40">
        <f t="shared" si="0"/>
        <v>48200</v>
      </c>
    </row>
    <row r="16" spans="1:11" ht="72">
      <c r="A16" s="43">
        <v>45538</v>
      </c>
      <c r="B16" s="31" t="s">
        <v>0</v>
      </c>
      <c r="C16" s="18">
        <v>1110555228</v>
      </c>
      <c r="D16" s="36" t="s">
        <v>133</v>
      </c>
      <c r="E16" s="36">
        <v>3102521225</v>
      </c>
      <c r="F16" s="31" t="s">
        <v>120</v>
      </c>
      <c r="G16" s="31" t="s">
        <v>119</v>
      </c>
      <c r="H16" s="41" t="s">
        <v>57</v>
      </c>
      <c r="I16" s="48">
        <v>91700</v>
      </c>
      <c r="J16" s="40">
        <v>42000</v>
      </c>
      <c r="K16" s="40">
        <f t="shared" si="0"/>
        <v>49700</v>
      </c>
    </row>
    <row r="17" spans="1:11" ht="57.6">
      <c r="A17" s="43">
        <v>45538</v>
      </c>
      <c r="B17" s="31" t="s">
        <v>0</v>
      </c>
      <c r="C17" s="18">
        <v>1110555228</v>
      </c>
      <c r="D17" s="36" t="s">
        <v>133</v>
      </c>
      <c r="E17" s="36">
        <v>3102521225</v>
      </c>
      <c r="F17" s="31" t="s">
        <v>120</v>
      </c>
      <c r="G17" s="31" t="s">
        <v>177</v>
      </c>
      <c r="H17" s="41" t="s">
        <v>32</v>
      </c>
      <c r="I17" s="83">
        <v>90000</v>
      </c>
      <c r="J17" s="83">
        <v>42000</v>
      </c>
      <c r="K17" s="40">
        <f t="shared" si="0"/>
        <v>48000</v>
      </c>
    </row>
    <row r="18" spans="1:11" ht="72">
      <c r="A18" s="93">
        <v>45566</v>
      </c>
      <c r="B18" s="88" t="s">
        <v>0</v>
      </c>
      <c r="C18" s="12">
        <v>38242125</v>
      </c>
      <c r="D18" s="88" t="s">
        <v>179</v>
      </c>
      <c r="E18" s="88">
        <v>3212359541</v>
      </c>
      <c r="F18" s="88" t="s">
        <v>120</v>
      </c>
      <c r="G18" s="88" t="s">
        <v>180</v>
      </c>
      <c r="H18" s="41" t="s">
        <v>57</v>
      </c>
      <c r="I18" s="83">
        <v>79100</v>
      </c>
      <c r="J18" s="83">
        <v>45000</v>
      </c>
      <c r="K18" s="40">
        <f t="shared" si="0"/>
        <v>34100</v>
      </c>
    </row>
    <row r="19" spans="1:11" ht="57.6">
      <c r="A19" s="93">
        <v>45566</v>
      </c>
      <c r="B19" s="88" t="s">
        <v>0</v>
      </c>
      <c r="C19" s="12">
        <v>38242125</v>
      </c>
      <c r="D19" s="88" t="s">
        <v>179</v>
      </c>
      <c r="E19" s="88">
        <v>3212359541</v>
      </c>
      <c r="F19" s="88" t="s">
        <v>120</v>
      </c>
      <c r="G19" s="88" t="s">
        <v>181</v>
      </c>
      <c r="H19" s="41" t="s">
        <v>32</v>
      </c>
      <c r="I19" s="83">
        <v>90000</v>
      </c>
      <c r="J19" s="83">
        <v>45000</v>
      </c>
      <c r="K19" s="40">
        <f t="shared" si="0"/>
        <v>45000</v>
      </c>
    </row>
    <row r="20" spans="1:11" ht="57.6">
      <c r="A20" s="93">
        <v>45576</v>
      </c>
      <c r="B20" s="97" t="s">
        <v>0</v>
      </c>
      <c r="C20" s="12">
        <v>38211989</v>
      </c>
      <c r="D20" s="91" t="s">
        <v>182</v>
      </c>
      <c r="E20" s="91">
        <v>3166199582</v>
      </c>
      <c r="F20" s="97" t="s">
        <v>120</v>
      </c>
      <c r="G20" s="97" t="s">
        <v>177</v>
      </c>
      <c r="H20" s="41" t="s">
        <v>32</v>
      </c>
      <c r="I20" s="83">
        <v>90000</v>
      </c>
      <c r="J20" s="94">
        <v>45000</v>
      </c>
      <c r="K20" s="40">
        <f t="shared" si="0"/>
        <v>45000</v>
      </c>
    </row>
    <row r="21" spans="1:11" ht="72">
      <c r="A21" s="93">
        <v>45576</v>
      </c>
      <c r="B21" s="97" t="s">
        <v>0</v>
      </c>
      <c r="C21" s="12">
        <v>38211989</v>
      </c>
      <c r="D21" s="91" t="s">
        <v>182</v>
      </c>
      <c r="E21" s="91">
        <v>3166199582</v>
      </c>
      <c r="F21" s="97" t="s">
        <v>120</v>
      </c>
      <c r="G21" s="97" t="s">
        <v>177</v>
      </c>
      <c r="H21" s="41" t="s">
        <v>57</v>
      </c>
      <c r="I21" s="83">
        <v>79100</v>
      </c>
      <c r="J21" s="94">
        <v>45000</v>
      </c>
      <c r="K21" s="40">
        <f t="shared" si="0"/>
        <v>34100</v>
      </c>
    </row>
    <row r="22" spans="1:11" ht="72">
      <c r="A22" s="93">
        <v>45576</v>
      </c>
      <c r="B22" s="88" t="s">
        <v>0</v>
      </c>
      <c r="C22" s="12">
        <v>38242125</v>
      </c>
      <c r="D22" s="88" t="s">
        <v>179</v>
      </c>
      <c r="E22" s="88">
        <v>3212359541</v>
      </c>
      <c r="F22" s="88" t="s">
        <v>120</v>
      </c>
      <c r="G22" s="88" t="s">
        <v>180</v>
      </c>
      <c r="H22" s="41" t="s">
        <v>57</v>
      </c>
      <c r="I22" s="83">
        <v>79100</v>
      </c>
      <c r="J22" s="83">
        <v>45000</v>
      </c>
      <c r="K22" s="40">
        <f t="shared" si="0"/>
        <v>34100</v>
      </c>
    </row>
    <row r="23" spans="1:11" ht="72">
      <c r="A23" s="93">
        <v>45601</v>
      </c>
      <c r="B23" s="31" t="s">
        <v>0</v>
      </c>
      <c r="C23" s="18">
        <v>1110555228</v>
      </c>
      <c r="D23" s="36" t="s">
        <v>133</v>
      </c>
      <c r="E23" s="36">
        <v>3102521225</v>
      </c>
      <c r="F23" s="31" t="s">
        <v>120</v>
      </c>
      <c r="G23" s="31" t="s">
        <v>177</v>
      </c>
      <c r="H23" s="41" t="s">
        <v>57</v>
      </c>
      <c r="I23" s="83">
        <v>79100</v>
      </c>
      <c r="J23" s="83">
        <v>42000</v>
      </c>
      <c r="K23" s="40">
        <f t="shared" si="0"/>
        <v>37100</v>
      </c>
    </row>
    <row r="24" spans="1:11">
      <c r="K24" s="39">
        <f>SUM(K3:K23)</f>
        <v>958100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COLMEDICA </vt:lpstr>
      <vt:lpstr>SURAMERICANA</vt:lpstr>
      <vt:lpstr>MEDPLUS</vt:lpstr>
      <vt:lpstr>SEGUROS BOLIVAR</vt:lpstr>
      <vt:lpstr>ALLIANZ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Carolina</dc:creator>
  <cp:lastModifiedBy>Diana Carolina</cp:lastModifiedBy>
  <dcterms:created xsi:type="dcterms:W3CDTF">2024-09-20T19:50:56Z</dcterms:created>
  <dcterms:modified xsi:type="dcterms:W3CDTF">2024-11-19T19:04:30Z</dcterms:modified>
</cp:coreProperties>
</file>