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JADC\SURA - PAC\01. ENERO\"/>
    </mc:Choice>
  </mc:AlternateContent>
  <xr:revisionPtr revIDLastSave="0" documentId="13_ncr:1_{BF9DF6DC-94F7-485D-B856-139398756B2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<sst xmlns="http://schemas.openxmlformats.org/spreadsheetml/2006/main" count="58" uniqueCount="40">
  <si>
    <t>FECHA CONSULTA</t>
  </si>
  <si>
    <t>NOMBRE</t>
  </si>
  <si>
    <t>TIPO DE ID</t>
  </si>
  <si>
    <t>ID</t>
  </si>
  <si>
    <t>TIPO DE SERVICIO</t>
  </si>
  <si>
    <t>VALOR BRUTO</t>
  </si>
  <si>
    <t>COPAGO</t>
  </si>
  <si>
    <t>VALOR NETO</t>
  </si>
  <si>
    <t>NUMERO DE AUTORIZACION</t>
  </si>
  <si>
    <t>CC</t>
  </si>
  <si>
    <t>CONSULTA PRIMERA VEZ DERMATOLOGIA</t>
  </si>
  <si>
    <t>TI</t>
  </si>
  <si>
    <t>ALCIRA  GAITAN RIOS</t>
  </si>
  <si>
    <t>MARTHA LILIANA VELASQUEZ CRISTANCHO</t>
  </si>
  <si>
    <t>JANA ISABELLA ANGEL GONZALEZ</t>
  </si>
  <si>
    <t xml:space="preserve">DAVID  ALEJNDRO ARIAS  AGUIRRE </t>
  </si>
  <si>
    <t xml:space="preserve">JOAQUIN  ANDRES  LOPEZ  PINZON </t>
  </si>
  <si>
    <t>JESUS DAVID QUINTERO RODRIGUEZ</t>
  </si>
  <si>
    <t>MARIA HELENA GUTIERREZ GRAY</t>
  </si>
  <si>
    <t>WILLIAN JORGE ARIAS HERNANDEZ</t>
  </si>
  <si>
    <t>PEDRO LUIS MAHECHA CIFUENTES</t>
  </si>
  <si>
    <t>CONSULTA CONTROL O SEGUIMIENTO POR DERMATOLOGIA</t>
  </si>
  <si>
    <t>CONSULTA DERMATOLOGICA PLAN COMPLEMENTARIO (PAC)</t>
  </si>
  <si>
    <t>173384-42200</t>
  </si>
  <si>
    <t>173384-41800</t>
  </si>
  <si>
    <t>173384-42100</t>
  </si>
  <si>
    <t>173384-41900</t>
  </si>
  <si>
    <t>173384-42300</t>
  </si>
  <si>
    <t>173384-42400</t>
  </si>
  <si>
    <t>173384-42500</t>
  </si>
  <si>
    <t>173384-42900</t>
  </si>
  <si>
    <t>173384-43100</t>
  </si>
  <si>
    <t>HERMINIA  CARDENAS RODRIGUEZ</t>
  </si>
  <si>
    <t>EDGAR NOE RUSSI CARDENAS</t>
  </si>
  <si>
    <t>173384-42700</t>
  </si>
  <si>
    <t>173384-42600</t>
  </si>
  <si>
    <t>RC</t>
  </si>
  <si>
    <t>GERMAN VARGAS SANCHEZ</t>
  </si>
  <si>
    <t>173384-42800</t>
  </si>
  <si>
    <t xml:space="preserve">FACTURA INDIVIDUAL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</si>
</sst>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Aptos Narrow"/>
      <family val="2"/>
      <charset val="1"/>
    </font>
    <font>
      <sz val="10"/>
      <color theme="1"/>
      <name val="Calibri"/>
      <family val="2"/>
      <charset val="1"/>
    </font>
    <font>
      <sz val="7.5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2D6292E5-410F-4720-8BD5-26A5454EF503}"/>
  </cellStyles>
  <dxfs count="1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 defaultTableStyle="TableStyleMedium2" defaultPivotStyle="PivotStyleLight16">
    <tableStyle name="Admisión paciente-style" pivot="0" count="3" xr9:uid="{873C794A-A860-4EC2-835C-66668BBFCC1C}">
      <tableStyleElement type="headerRow" dxfId="12"/>
      <tableStyleElement type="firstRowStripe" dxfId="11"/>
      <tableStyleElement type="secondRowStripe" dxfId="10"/>
    </tableStyle>
    <tableStyle name="Admisión paciente-style 2" pivot="0" count="2" xr9:uid="{0CE49396-21FC-46F9-84E9-9F7CE1A6EB3F}">
      <tableStyleElement type="firstRowStripe" dxfId="9"/>
      <tableStyleElement type="secondRowStripe" dxfId="8"/>
    </tableStyle>
    <tableStyle name="Admisión paciente-style 3" pivot="0" count="2" xr9:uid="{61E39932-C4CC-4C51-A7B9-E14781D07030}">
      <tableStyleElement type="firstRowStripe" dxfId="7"/>
      <tableStyleElement type="secondRowStripe" dxfId="6"/>
    </tableStyle>
    <tableStyle name="Admisión paciente-style 4" pivot="0" count="2" xr9:uid="{496D32F5-00DF-4669-AE97-8D33BDB9B86B}">
      <tableStyleElement type="firstRowStripe" dxfId="5"/>
      <tableStyleElement type="secondRowStripe" dxfId="4"/>
    </tableStyle>
    <tableStyle name="Admisión paciente-style 5" pivot="0" count="2" xr9:uid="{FE484E3F-AE85-4D69-A81C-900CE5172D2D}">
      <tableStyleElement type="firstRowStripe" dxfId="3"/>
      <tableStyleElement type="secondRowStripe" dxfId="2"/>
    </tableStyle>
    <tableStyle name="Admisión paciente-style 6" pivot="0" count="2" xr9:uid="{A2391E7B-082F-4296-AD35-67B919D3D22D}">
      <tableStyleElement type="firstRowStripe" dxfId="1"/>
      <tableStyleElement type="secondRowStripe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zoomScaleNormal="100" workbookViewId="0">
      <selection activeCell="A2" sqref="A2"/>
    </sheetView>
  </sheetViews>
  <sheetFormatPr baseColWidth="10" defaultColWidth="8.875" defaultRowHeight="14.25"/>
  <cols>
    <col min="1" max="1" width="13" bestFit="1" customWidth="1"/>
    <col min="2" max="2" width="29.25" customWidth="1"/>
    <col min="3" max="3" width="12.125" customWidth="1"/>
    <col min="4" max="4" width="10.875" customWidth="1"/>
    <col min="5" max="5" width="27.75" customWidth="1"/>
    <col min="6" max="6" width="20.125" bestFit="1" customWidth="1"/>
    <col min="7" max="7" width="12.875" customWidth="1"/>
    <col min="8" max="8" width="11.375" customWidth="1"/>
    <col min="9" max="9" width="10.75" customWidth="1"/>
  </cols>
  <sheetData>
    <row r="1" spans="1:23" s="1" customFormat="1" ht="25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8</v>
      </c>
      <c r="G1" s="4" t="s">
        <v>5</v>
      </c>
      <c r="H1" s="4" t="s">
        <v>6</v>
      </c>
      <c r="I1" s="4" t="s">
        <v>7</v>
      </c>
      <c r="J1" s="4" t="s">
        <v>39</v>
      </c>
    </row>
    <row r="2" spans="1:23" ht="19.5">
      <c r="A2" s="5">
        <v>45666</v>
      </c>
      <c r="B2" s="2" t="s">
        <v>12</v>
      </c>
      <c r="C2" s="2" t="s">
        <v>9</v>
      </c>
      <c r="D2" s="2">
        <v>39547018</v>
      </c>
      <c r="E2" s="2" t="s">
        <v>21</v>
      </c>
      <c r="F2" s="2" t="s">
        <v>23</v>
      </c>
      <c r="G2" s="2">
        <v>60000</v>
      </c>
      <c r="H2" s="2">
        <v>24500</v>
      </c>
      <c r="I2" s="2">
        <f>+G2+H2</f>
        <v>84500</v>
      </c>
      <c r="J2" s="3">
        <v>5349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>
      <c r="A3" s="5">
        <v>45667</v>
      </c>
      <c r="B3" s="2" t="s">
        <v>13</v>
      </c>
      <c r="C3" s="2" t="s">
        <v>9</v>
      </c>
      <c r="D3" s="2">
        <v>52887392</v>
      </c>
      <c r="E3" s="2" t="s">
        <v>10</v>
      </c>
      <c r="F3" s="2" t="s">
        <v>24</v>
      </c>
      <c r="G3" s="2">
        <v>60000</v>
      </c>
      <c r="H3" s="2">
        <v>24500</v>
      </c>
      <c r="I3" s="2">
        <f t="shared" ref="I3:I10" si="0">+G3+H3</f>
        <v>84500</v>
      </c>
      <c r="J3" s="3">
        <v>5367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9.5">
      <c r="A4" s="5">
        <v>45668</v>
      </c>
      <c r="B4" s="2" t="s">
        <v>14</v>
      </c>
      <c r="C4" s="2" t="s">
        <v>11</v>
      </c>
      <c r="D4" s="2">
        <v>1011239306</v>
      </c>
      <c r="E4" s="2" t="s">
        <v>21</v>
      </c>
      <c r="F4" s="2" t="s">
        <v>25</v>
      </c>
      <c r="G4" s="2">
        <v>60000</v>
      </c>
      <c r="H4" s="2">
        <v>24500</v>
      </c>
      <c r="I4" s="2">
        <f t="shared" si="0"/>
        <v>84500</v>
      </c>
      <c r="J4" s="3">
        <v>5394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9.5">
      <c r="A5" s="5">
        <v>45670</v>
      </c>
      <c r="B5" s="2" t="s">
        <v>15</v>
      </c>
      <c r="C5" s="2" t="s">
        <v>9</v>
      </c>
      <c r="D5" s="2">
        <v>1000941946</v>
      </c>
      <c r="E5" s="2" t="s">
        <v>21</v>
      </c>
      <c r="F5" s="2" t="s">
        <v>26</v>
      </c>
      <c r="G5" s="2">
        <v>60000</v>
      </c>
      <c r="H5" s="2">
        <v>24500</v>
      </c>
      <c r="I5" s="2">
        <f t="shared" si="0"/>
        <v>84500</v>
      </c>
      <c r="J5" s="3">
        <v>5427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9.5">
      <c r="A6" s="5">
        <v>45670</v>
      </c>
      <c r="B6" s="2" t="s">
        <v>16</v>
      </c>
      <c r="C6" s="2" t="s">
        <v>36</v>
      </c>
      <c r="D6" s="2">
        <v>1019156842</v>
      </c>
      <c r="E6" s="2" t="s">
        <v>21</v>
      </c>
      <c r="F6" s="2" t="s">
        <v>27</v>
      </c>
      <c r="G6" s="2">
        <v>11600</v>
      </c>
      <c r="H6" s="2">
        <v>24500</v>
      </c>
      <c r="I6" s="2">
        <f t="shared" si="0"/>
        <v>36100</v>
      </c>
      <c r="J6" s="3">
        <v>5691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9.5">
      <c r="A7" s="5">
        <v>45672</v>
      </c>
      <c r="B7" s="2" t="s">
        <v>17</v>
      </c>
      <c r="C7" s="2" t="s">
        <v>9</v>
      </c>
      <c r="D7" s="2">
        <v>79858182</v>
      </c>
      <c r="E7" s="2" t="s">
        <v>22</v>
      </c>
      <c r="F7" s="2" t="s">
        <v>28</v>
      </c>
      <c r="G7" s="2">
        <v>60000</v>
      </c>
      <c r="H7" s="2">
        <v>24500</v>
      </c>
      <c r="I7" s="2">
        <f t="shared" si="0"/>
        <v>84500</v>
      </c>
      <c r="J7" s="3">
        <v>5480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>
      <c r="A8" s="5">
        <v>45677</v>
      </c>
      <c r="B8" s="2" t="s">
        <v>18</v>
      </c>
      <c r="C8" s="2" t="s">
        <v>9</v>
      </c>
      <c r="D8" s="2">
        <v>41488367</v>
      </c>
      <c r="E8" s="2" t="s">
        <v>10</v>
      </c>
      <c r="F8" s="2" t="s">
        <v>29</v>
      </c>
      <c r="G8" s="2">
        <v>60000</v>
      </c>
      <c r="H8" s="2">
        <v>24500</v>
      </c>
      <c r="I8" s="2">
        <f t="shared" si="0"/>
        <v>84500</v>
      </c>
      <c r="J8" s="3">
        <v>5555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9.5">
      <c r="A9" s="5">
        <v>45678</v>
      </c>
      <c r="B9" s="2" t="s">
        <v>19</v>
      </c>
      <c r="C9" s="2" t="s">
        <v>9</v>
      </c>
      <c r="D9" s="2">
        <v>79372501</v>
      </c>
      <c r="E9" s="2" t="s">
        <v>21</v>
      </c>
      <c r="F9" s="2" t="s">
        <v>30</v>
      </c>
      <c r="G9" s="2">
        <v>60000</v>
      </c>
      <c r="H9" s="2">
        <v>24500</v>
      </c>
      <c r="I9" s="2">
        <f t="shared" si="0"/>
        <v>84500</v>
      </c>
      <c r="J9" s="3">
        <v>5579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>
      <c r="A10" s="5">
        <v>45680</v>
      </c>
      <c r="B10" s="2" t="s">
        <v>20</v>
      </c>
      <c r="C10" s="2" t="s">
        <v>9</v>
      </c>
      <c r="D10" s="2">
        <v>19452359</v>
      </c>
      <c r="E10" s="2" t="s">
        <v>10</v>
      </c>
      <c r="F10" s="2" t="s">
        <v>31</v>
      </c>
      <c r="G10" s="2">
        <v>60000</v>
      </c>
      <c r="H10" s="2">
        <v>24500</v>
      </c>
      <c r="I10" s="2">
        <f t="shared" si="0"/>
        <v>84500</v>
      </c>
      <c r="J10" s="3">
        <v>5605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>
      <c r="A11" s="5">
        <v>45684</v>
      </c>
      <c r="B11" s="2" t="s">
        <v>32</v>
      </c>
      <c r="C11" s="2" t="s">
        <v>9</v>
      </c>
      <c r="D11" s="2">
        <v>51569941</v>
      </c>
      <c r="E11" s="2" t="s">
        <v>10</v>
      </c>
      <c r="F11" s="2" t="s">
        <v>34</v>
      </c>
      <c r="G11" s="2">
        <v>60000</v>
      </c>
      <c r="H11" s="2">
        <v>24500</v>
      </c>
      <c r="I11" s="2">
        <f t="shared" ref="I11:I13" si="1">+G11+H11</f>
        <v>84500</v>
      </c>
      <c r="J11" s="3">
        <v>5672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>
      <c r="A12" s="5">
        <v>45684</v>
      </c>
      <c r="B12" s="2" t="s">
        <v>33</v>
      </c>
      <c r="C12" s="2" t="s">
        <v>9</v>
      </c>
      <c r="D12" s="2">
        <v>13951780</v>
      </c>
      <c r="E12" s="2" t="s">
        <v>10</v>
      </c>
      <c r="F12" s="2" t="s">
        <v>35</v>
      </c>
      <c r="G12" s="2">
        <v>60000</v>
      </c>
      <c r="H12" s="2">
        <v>24500</v>
      </c>
      <c r="I12" s="2">
        <f t="shared" si="1"/>
        <v>84500</v>
      </c>
      <c r="J12" s="3">
        <v>5673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>
      <c r="A13" s="5">
        <v>45686</v>
      </c>
      <c r="B13" s="2" t="s">
        <v>37</v>
      </c>
      <c r="C13" s="2" t="s">
        <v>9</v>
      </c>
      <c r="D13" s="2">
        <v>19372618</v>
      </c>
      <c r="E13" s="2" t="s">
        <v>10</v>
      </c>
      <c r="F13" s="2" t="s">
        <v>38</v>
      </c>
      <c r="G13" s="2">
        <v>60000</v>
      </c>
      <c r="H13" s="2">
        <v>24500</v>
      </c>
      <c r="I13" s="2">
        <f t="shared" si="1"/>
        <v>84500</v>
      </c>
      <c r="J13" s="3">
        <v>5707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Jhorjan Manuel Sanchez Barrios</dc:creator>
  <dc:description/>
  <cp:lastModifiedBy>USUARIO</cp:lastModifiedBy>
  <cp:revision>1</cp:revision>
  <dcterms:created xsi:type="dcterms:W3CDTF">2024-07-10T16:12:56Z</dcterms:created>
  <dcterms:modified xsi:type="dcterms:W3CDTF">2025-02-10T20:55:02Z</dcterms:modified>
  <dc:language>es-CO</dc:language>
</cp:coreProperties>
</file>