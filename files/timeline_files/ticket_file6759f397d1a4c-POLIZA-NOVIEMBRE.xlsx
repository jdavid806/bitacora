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JADC\SURA - POLIZA\11. NOVIEMBRE\"/>
    </mc:Choice>
  </mc:AlternateContent>
  <xr:revisionPtr revIDLastSave="0" documentId="13_ncr:1_{757674EF-A328-420A-A74D-7859E40969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VIEMBRE " sheetId="1" r:id="rId1"/>
    <sheet name="NOVEDADES " sheetId="2" state="hidden" r:id="rId2"/>
  </sheets>
  <definedNames>
    <definedName name="_xlnm._FilterDatabase" localSheetId="0" hidden="1">'NOVIEMBRE '!$A$1:$U$108</definedName>
    <definedName name="fech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UTJLybRJ8uo4PcOX1TZxOytiqZTpdilcq7wf8obdjJs="/>
    </ext>
  </extLst>
</workbook>
</file>

<file path=xl/calcChain.xml><?xml version="1.0" encoding="utf-8"?>
<calcChain xmlns="http://schemas.openxmlformats.org/spreadsheetml/2006/main">
  <c r="F10" i="2" l="1"/>
  <c r="F9" i="2"/>
  <c r="F8" i="2"/>
  <c r="F7" i="2"/>
  <c r="F103" i="1"/>
  <c r="F76" i="1"/>
  <c r="F75" i="1"/>
  <c r="F74" i="1"/>
  <c r="F73" i="1"/>
  <c r="F2" i="1" l="1"/>
  <c r="F6" i="2"/>
  <c r="F5" i="2"/>
  <c r="F4" i="2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7" i="1"/>
  <c r="F58" i="1"/>
  <c r="F59" i="1"/>
  <c r="F60" i="1"/>
  <c r="F61" i="1"/>
  <c r="F62" i="1"/>
  <c r="F63" i="1"/>
  <c r="F64" i="1"/>
  <c r="F65" i="1"/>
  <c r="F66" i="1"/>
  <c r="F67" i="1"/>
  <c r="F68" i="1"/>
  <c r="F70" i="1"/>
  <c r="F71" i="1"/>
  <c r="F72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4" i="1"/>
  <c r="F105" i="1"/>
  <c r="F106" i="1"/>
  <c r="F107" i="1"/>
  <c r="F108" i="1"/>
  <c r="F3" i="1"/>
</calcChain>
</file>

<file path=xl/sharedStrings.xml><?xml version="1.0" encoding="utf-8"?>
<sst xmlns="http://schemas.openxmlformats.org/spreadsheetml/2006/main" count="1673" uniqueCount="614">
  <si>
    <t>Fecha</t>
  </si>
  <si>
    <t>Tipo de documento</t>
  </si>
  <si>
    <t>Número de identificación</t>
  </si>
  <si>
    <t>Correo electrónico</t>
  </si>
  <si>
    <t>Número de Celular</t>
  </si>
  <si>
    <t>Edad</t>
  </si>
  <si>
    <t>Fecha de nacimiento</t>
  </si>
  <si>
    <t>Primer apellido</t>
  </si>
  <si>
    <t>Segundo Apellido</t>
  </si>
  <si>
    <t>Primer nombre</t>
  </si>
  <si>
    <t>Segundo nombre</t>
  </si>
  <si>
    <t>Nacionalidad</t>
  </si>
  <si>
    <t>Sexo</t>
  </si>
  <si>
    <t>Localidad</t>
  </si>
  <si>
    <t>Tipo de aseguradora</t>
  </si>
  <si>
    <t>CIE10</t>
  </si>
  <si>
    <t>Tipo de consulta o procedimiento</t>
  </si>
  <si>
    <t>Profesional</t>
  </si>
  <si>
    <t>Número de autorización</t>
  </si>
  <si>
    <t xml:space="preserve">Número de factura </t>
  </si>
  <si>
    <t>CC</t>
  </si>
  <si>
    <t>F</t>
  </si>
  <si>
    <t>Colombia</t>
  </si>
  <si>
    <t/>
  </si>
  <si>
    <t xml:space="preserve">GOMEZ </t>
  </si>
  <si>
    <t xml:space="preserve">MARIA </t>
  </si>
  <si>
    <t>Poliza Salud para todos</t>
  </si>
  <si>
    <t>CHAPINERO</t>
  </si>
  <si>
    <t>USAQUEN</t>
  </si>
  <si>
    <t>L700</t>
  </si>
  <si>
    <t>L82X</t>
  </si>
  <si>
    <t>CONSULTA PRIMERA VEZ DERMATOLOGIA</t>
  </si>
  <si>
    <t>Valor a cobrar Factura FEAD</t>
  </si>
  <si>
    <t>CONSULTA CONTROL O SEGUIMIENTO POR DERMATOLOGIA</t>
  </si>
  <si>
    <t>ANA</t>
  </si>
  <si>
    <t>Laura Castilla</t>
  </si>
  <si>
    <t>Carolina Morales</t>
  </si>
  <si>
    <t>ANAEVELOZAC@GMAIL.COM</t>
  </si>
  <si>
    <t>AMARIARENDON@GMAIL.COM</t>
  </si>
  <si>
    <t>LAURAMACIAS1997@GMAIL.COM</t>
  </si>
  <si>
    <t>TI</t>
  </si>
  <si>
    <t>YUSSERYSOFIA@GMAIL.COM</t>
  </si>
  <si>
    <t>GUISELLEGO@HOTMAIL.COM</t>
  </si>
  <si>
    <t>YENNPEREZ@HOTMAIL.COM</t>
  </si>
  <si>
    <t>LEYO0209@GMAIL.COM</t>
  </si>
  <si>
    <t>MANUGUILLERMO@GMAIL.COM</t>
  </si>
  <si>
    <t>CETULIOMARTINEZ@GMAIL.COM</t>
  </si>
  <si>
    <t>MARIAPAULA.PRIETOO@GMAIL.COM</t>
  </si>
  <si>
    <t>CARLOSMENESES26@GMAIL.COM</t>
  </si>
  <si>
    <t>LINAREYES18@HOTMAIL.COM</t>
  </si>
  <si>
    <t>MSACHICA2@YAHOO.ES</t>
  </si>
  <si>
    <t>AORTI02@HOTMAIL.COM</t>
  </si>
  <si>
    <t>JUAN.PENA.PUERTAS@GMAIL.COM</t>
  </si>
  <si>
    <t>JORGEHERNANDEZA@HOTMAIL.COM</t>
  </si>
  <si>
    <t>TEFACCM17MG@HOTMAIL.COM</t>
  </si>
  <si>
    <t>MIGUEL.LEIVA.AS@GMAIL.COM</t>
  </si>
  <si>
    <t>SONIALEON24@GMAIL.COM</t>
  </si>
  <si>
    <t>ANDRESUB13@HOTMAIL.COM</t>
  </si>
  <si>
    <t>JANSUTKD@HOTMAIL.COM</t>
  </si>
  <si>
    <t>CAMILORO96@AUTLOOOK.COM</t>
  </si>
  <si>
    <t>JESLIZ05@HOTMAIL.COM</t>
  </si>
  <si>
    <t>NLY.VIVIS@GMAIL.COM</t>
  </si>
  <si>
    <t>JULIZAPATABE@GMAIL.COM</t>
  </si>
  <si>
    <t>ESTRELLITA21072000@YAHOO.COM</t>
  </si>
  <si>
    <t>MELISSA895@HOTMAIL.COM</t>
  </si>
  <si>
    <t>RAQUELCASTILLOR@HOTMAIL.COM</t>
  </si>
  <si>
    <t>YURI.AL26@HOTMAIL.COM</t>
  </si>
  <si>
    <t>HENRYMANRIQUEF@GMAIL.COM</t>
  </si>
  <si>
    <t>C.LORENA.FRANCO23@GMAIL.COM</t>
  </si>
  <si>
    <t>JANALEXA1974@HOTMAIL.COM</t>
  </si>
  <si>
    <t>JUANPCHICAG@GMAIL.COM</t>
  </si>
  <si>
    <t>RC</t>
  </si>
  <si>
    <t>JONICO18@HOTMAIL.COM</t>
  </si>
  <si>
    <t>ANAMARIAOTAVO@HOTMAIL.COM</t>
  </si>
  <si>
    <t>JUANPAMARTINEZBELLO@GMAIL.COM</t>
  </si>
  <si>
    <t>KARENARTEAGA07@HOTMAIL.COM</t>
  </si>
  <si>
    <t>MARIANETORRADO@HOTMAIL.COM</t>
  </si>
  <si>
    <t>KAROLSUAREZ2011@HOTMAIL.COM</t>
  </si>
  <si>
    <t>JUANITAPAEZMARTINEZ@GMAIL.COM</t>
  </si>
  <si>
    <t>ANDREACUESTASDIAZ@GMAIL.COM</t>
  </si>
  <si>
    <t>RAFAEL.SIERRAC@GMAIL.COM</t>
  </si>
  <si>
    <t>ANDREALARA40@GMAIL.COM</t>
  </si>
  <si>
    <t>STEFANY.TOVAR1946@HOTMAIL.COM</t>
  </si>
  <si>
    <t>adesly10@hotmail.com</t>
  </si>
  <si>
    <t>JMAURICIO.M@HOTMAIL.COM</t>
  </si>
  <si>
    <t>JENIFER_53_13@HOTMAIL.COM</t>
  </si>
  <si>
    <t>JUSEWA.15@GMAIL.COM</t>
  </si>
  <si>
    <t>SEBASTIAN.ZAFRA@GMAIL.COM</t>
  </si>
  <si>
    <t>DANIK_44@HOTMAIL.COM</t>
  </si>
  <si>
    <t>MARCHA33@HOTMAIL.COM</t>
  </si>
  <si>
    <t>ALEJA.REYES0226@HOTMAIL.COM</t>
  </si>
  <si>
    <t>ESTEBANVARGASP@GMAIL.COM</t>
  </si>
  <si>
    <t>GERENCIA@SOLIETCINGENIERIA.COM</t>
  </si>
  <si>
    <t>NDLATORREP@GMAIL.COM</t>
  </si>
  <si>
    <t>DAALBORE@GMAIL.COM</t>
  </si>
  <si>
    <t>LEONORADELA@HOTMAIL.ES</t>
  </si>
  <si>
    <t>JENPMH@GMAIL.COM</t>
  </si>
  <si>
    <t>HUGOA1232@GMAIL.COM</t>
  </si>
  <si>
    <t xml:space="preserve">CC </t>
  </si>
  <si>
    <t>s.benitezrico@gmail.com</t>
  </si>
  <si>
    <t>MARTINEZ0617@GMAIL.COM</t>
  </si>
  <si>
    <t>CUBILLOSLIZETH98@GMAIL.COM</t>
  </si>
  <si>
    <t>ANLLYMORENO69@GMAIL.COM</t>
  </si>
  <si>
    <t>DIANAXACOSTAP@GMAIL.COM</t>
  </si>
  <si>
    <t>VIVISMONA@HOTMAIL.COM</t>
  </si>
  <si>
    <t>LUZBELENFDEZ@HOTMAIL.COM</t>
  </si>
  <si>
    <t>KATHHERINE.BASTIDAS@YAOO.ES</t>
  </si>
  <si>
    <t>JHONNSUA@HOTMAIL.COM</t>
  </si>
  <si>
    <t>DAYRO.PEDRAZA@HOTMAIL.COM</t>
  </si>
  <si>
    <t>JUANPABLOMONTEJO@GMAIL.COM</t>
  </si>
  <si>
    <t>FSANTIAGOQUINETRO@YAHOO.ES</t>
  </si>
  <si>
    <t>MARIA.ISABEL3010@HOTMAIL.COM</t>
  </si>
  <si>
    <t>ALEXY.MORENO@OUTLOOK.COM</t>
  </si>
  <si>
    <t>JAGIRALDOZ@GMAIL.COM</t>
  </si>
  <si>
    <t>PAULAEVILLA02@GMAIL.COM</t>
  </si>
  <si>
    <t>SUSIBUSTA7@GMAIL.COM</t>
  </si>
  <si>
    <t>LUISITA916@GMAIL.COM</t>
  </si>
  <si>
    <t>DIANA.AVILA11@YAHOO.COM</t>
  </si>
  <si>
    <t>MERYMONTOYAT@GMAIL.COM</t>
  </si>
  <si>
    <t>ADRIANAGOMEZARENAS@GMAIL.COM</t>
  </si>
  <si>
    <t>YULYDQUICENOR@HOTMAIL.COM</t>
  </si>
  <si>
    <t>SALOPE00@HOTMAIL.COM</t>
  </si>
  <si>
    <t>DAVIDK09@HOTMAIL.COM</t>
  </si>
  <si>
    <t>YEIXIN.ADMINISTRADORA@GMAIL.COM</t>
  </si>
  <si>
    <t>DMILAMORLES@GMAIL.COM</t>
  </si>
  <si>
    <t>BERTHAGONZALEZBUITRADO@HOTMAIL.COM</t>
  </si>
  <si>
    <t>ELHIJODELLLANO@HOTMAIL.COM</t>
  </si>
  <si>
    <t>LRAMIREZR1@HOTMAIL.COM</t>
  </si>
  <si>
    <t>PA</t>
  </si>
  <si>
    <t>DILITAARENAS@GMAIL.COM</t>
  </si>
  <si>
    <t>PAULAGONZALEZENRIQUEZ8@GMAIL.COM</t>
  </si>
  <si>
    <t xml:space="preserve">VELOZA </t>
  </si>
  <si>
    <t xml:space="preserve">ANA </t>
  </si>
  <si>
    <t xml:space="preserve">ERLINDA </t>
  </si>
  <si>
    <t>L650</t>
  </si>
  <si>
    <t xml:space="preserve"> RENDON </t>
  </si>
  <si>
    <t>VELOZA</t>
  </si>
  <si>
    <t xml:space="preserve"> MARIA</t>
  </si>
  <si>
    <t>C443</t>
  </si>
  <si>
    <t xml:space="preserve">MACIAS </t>
  </si>
  <si>
    <t xml:space="preserve">VARGAS </t>
  </si>
  <si>
    <t xml:space="preserve">LAURA </t>
  </si>
  <si>
    <t xml:space="preserve">DANIELA </t>
  </si>
  <si>
    <t>L708</t>
  </si>
  <si>
    <t xml:space="preserve">RUBIANO </t>
  </si>
  <si>
    <t xml:space="preserve">GARCIA </t>
  </si>
  <si>
    <t xml:space="preserve">CESAR </t>
  </si>
  <si>
    <t xml:space="preserve">ANDRES </t>
  </si>
  <si>
    <t>M</t>
  </si>
  <si>
    <t>TEUSAQUILLO</t>
  </si>
  <si>
    <t xml:space="preserve">ALEJANDRA </t>
  </si>
  <si>
    <t>L305</t>
  </si>
  <si>
    <t>HERNANDEZ</t>
  </si>
  <si>
    <t>GOMEZ</t>
  </si>
  <si>
    <t xml:space="preserve">GUISELLE </t>
  </si>
  <si>
    <t>PATRICIA</t>
  </si>
  <si>
    <t>L649</t>
  </si>
  <si>
    <t xml:space="preserve">PEREZ </t>
  </si>
  <si>
    <t xml:space="preserve">ESPINOSA </t>
  </si>
  <si>
    <t xml:space="preserve">YENY </t>
  </si>
  <si>
    <t xml:space="preserve">MARCELA </t>
  </si>
  <si>
    <t>SUBA</t>
  </si>
  <si>
    <t>L814</t>
  </si>
  <si>
    <t>PEREA</t>
  </si>
  <si>
    <t>TORRES</t>
  </si>
  <si>
    <t>LESSIE</t>
  </si>
  <si>
    <t xml:space="preserve">YOHANA </t>
  </si>
  <si>
    <t xml:space="preserve">CASTAÑEDA </t>
  </si>
  <si>
    <t xml:space="preserve">MANUEL </t>
  </si>
  <si>
    <t>GUILLERMO</t>
  </si>
  <si>
    <t>B07X</t>
  </si>
  <si>
    <t xml:space="preserve">MARTINEZ </t>
  </si>
  <si>
    <t xml:space="preserve">HURTADO </t>
  </si>
  <si>
    <t xml:space="preserve">CETULIO </t>
  </si>
  <si>
    <t xml:space="preserve">DAVID </t>
  </si>
  <si>
    <t>PRIETO</t>
  </si>
  <si>
    <t>SOLER</t>
  </si>
  <si>
    <t>MARIA</t>
  </si>
  <si>
    <t>PAULA</t>
  </si>
  <si>
    <t xml:space="preserve">DAVILA </t>
  </si>
  <si>
    <t xml:space="preserve">MENESES </t>
  </si>
  <si>
    <t xml:space="preserve">CARLOS </t>
  </si>
  <si>
    <t>STEAVE</t>
  </si>
  <si>
    <t>ENGATIVA</t>
  </si>
  <si>
    <t>REYES</t>
  </si>
  <si>
    <t>LINA</t>
  </si>
  <si>
    <t xml:space="preserve">SACHICA </t>
  </si>
  <si>
    <t xml:space="preserve">OROZCO </t>
  </si>
  <si>
    <t xml:space="preserve">JESUS </t>
  </si>
  <si>
    <t xml:space="preserve">MARTIN </t>
  </si>
  <si>
    <t>B353</t>
  </si>
  <si>
    <t>ORTIZ</t>
  </si>
  <si>
    <t>SOLANO</t>
  </si>
  <si>
    <t>ALEXANDRA</t>
  </si>
  <si>
    <t>ISABEL</t>
  </si>
  <si>
    <t>L811</t>
  </si>
  <si>
    <t xml:space="preserve">PEÑA </t>
  </si>
  <si>
    <t>PUERTAS</t>
  </si>
  <si>
    <t>JUAN</t>
  </si>
  <si>
    <t>CARLOS</t>
  </si>
  <si>
    <t xml:space="preserve">HERNANDEZ </t>
  </si>
  <si>
    <t xml:space="preserve">AÑEZ </t>
  </si>
  <si>
    <t xml:space="preserve">JORGE </t>
  </si>
  <si>
    <t xml:space="preserve">ALFREDO </t>
  </si>
  <si>
    <t>L739</t>
  </si>
  <si>
    <t xml:space="preserve">MONTOYA </t>
  </si>
  <si>
    <t xml:space="preserve">ESTEFANIA </t>
  </si>
  <si>
    <t>D235</t>
  </si>
  <si>
    <t>LEIVA</t>
  </si>
  <si>
    <t>SILVA</t>
  </si>
  <si>
    <t>MIGUEL</t>
  </si>
  <si>
    <t>ANGEL</t>
  </si>
  <si>
    <t>KENNEDY</t>
  </si>
  <si>
    <t>LEON</t>
  </si>
  <si>
    <t>PIÑEROS</t>
  </si>
  <si>
    <t>SONIA</t>
  </si>
  <si>
    <t>RIAÑO</t>
  </si>
  <si>
    <t>BOHADA</t>
  </si>
  <si>
    <t>ANDRES</t>
  </si>
  <si>
    <t>L218</t>
  </si>
  <si>
    <t xml:space="preserve">RODRIGUEZ </t>
  </si>
  <si>
    <t xml:space="preserve">ELIECER </t>
  </si>
  <si>
    <t>BOSA</t>
  </si>
  <si>
    <t>L720</t>
  </si>
  <si>
    <t>RODRIGUEZ</t>
  </si>
  <si>
    <t>GALEANO</t>
  </si>
  <si>
    <t>CRISTIAN</t>
  </si>
  <si>
    <t>CAMILO</t>
  </si>
  <si>
    <t xml:space="preserve">L649 </t>
  </si>
  <si>
    <t>CHACON</t>
  </si>
  <si>
    <t>SARMIENTO</t>
  </si>
  <si>
    <t>DUVAN</t>
  </si>
  <si>
    <t>RICARDO</t>
  </si>
  <si>
    <t>MUÑOZ</t>
  </si>
  <si>
    <t>JULY</t>
  </si>
  <si>
    <t>ELIZABETH</t>
  </si>
  <si>
    <t xml:space="preserve">MENDOZA </t>
  </si>
  <si>
    <t xml:space="preserve">ISAZA </t>
  </si>
  <si>
    <t xml:space="preserve">NAZLY </t>
  </si>
  <si>
    <t xml:space="preserve">VIVIANA </t>
  </si>
  <si>
    <t>L909</t>
  </si>
  <si>
    <t>L570</t>
  </si>
  <si>
    <t xml:space="preserve">ZAPATA </t>
  </si>
  <si>
    <t xml:space="preserve">BEDOYA </t>
  </si>
  <si>
    <t xml:space="preserve">LEYDY </t>
  </si>
  <si>
    <t xml:space="preserve">JULIANA </t>
  </si>
  <si>
    <t>CARDENAS</t>
  </si>
  <si>
    <t>YUDI</t>
  </si>
  <si>
    <t>ESMERALDA</t>
  </si>
  <si>
    <t>FONTIBON</t>
  </si>
  <si>
    <t xml:space="preserve">ANGEL </t>
  </si>
  <si>
    <t xml:space="preserve">MELISA </t>
  </si>
  <si>
    <t>A609</t>
  </si>
  <si>
    <t>CASTILLO</t>
  </si>
  <si>
    <t>RIVEROS</t>
  </si>
  <si>
    <t>RAQUEL</t>
  </si>
  <si>
    <t>SANTA FE</t>
  </si>
  <si>
    <t>BOJACA</t>
  </si>
  <si>
    <t>MALDONADO</t>
  </si>
  <si>
    <t>YURI</t>
  </si>
  <si>
    <t xml:space="preserve">MANRIQUE </t>
  </si>
  <si>
    <t xml:space="preserve">FAJARDO </t>
  </si>
  <si>
    <t xml:space="preserve">HENRY </t>
  </si>
  <si>
    <t xml:space="preserve">FRANCO </t>
  </si>
  <si>
    <t xml:space="preserve">ESTEBAN </t>
  </si>
  <si>
    <t xml:space="preserve">CINDY </t>
  </si>
  <si>
    <t xml:space="preserve">LORENA </t>
  </si>
  <si>
    <t>L409</t>
  </si>
  <si>
    <t>PALACIOS</t>
  </si>
  <si>
    <t>JANNETH</t>
  </si>
  <si>
    <t>L280</t>
  </si>
  <si>
    <t xml:space="preserve">CHICA </t>
  </si>
  <si>
    <t xml:space="preserve">GONZALEZ </t>
  </si>
  <si>
    <t xml:space="preserve">JUAN </t>
  </si>
  <si>
    <t xml:space="preserve">PABLO </t>
  </si>
  <si>
    <t xml:space="preserve">JIMENEZ </t>
  </si>
  <si>
    <t>CELESTE</t>
  </si>
  <si>
    <t>L209</t>
  </si>
  <si>
    <t>OTAVO</t>
  </si>
  <si>
    <t>RUEDA</t>
  </si>
  <si>
    <t>MARTINEZ</t>
  </si>
  <si>
    <t>GAMBOA</t>
  </si>
  <si>
    <t>FERNANDA</t>
  </si>
  <si>
    <t>USME</t>
  </si>
  <si>
    <t>ARTEAGA</t>
  </si>
  <si>
    <t>DUQUE</t>
  </si>
  <si>
    <t>KAREN</t>
  </si>
  <si>
    <t>LORENA</t>
  </si>
  <si>
    <t>BARRIOS UNIDOS</t>
  </si>
  <si>
    <t>L719</t>
  </si>
  <si>
    <t>ROMERO</t>
  </si>
  <si>
    <t>ANTONIA</t>
  </si>
  <si>
    <t>TORRADO</t>
  </si>
  <si>
    <t>MAHECHA</t>
  </si>
  <si>
    <t>NELLY</t>
  </si>
  <si>
    <t>L298</t>
  </si>
  <si>
    <t xml:space="preserve">SUAREZ </t>
  </si>
  <si>
    <t>KAROL</t>
  </si>
  <si>
    <t>YISED</t>
  </si>
  <si>
    <t>PAEZ</t>
  </si>
  <si>
    <t>JUANITA</t>
  </si>
  <si>
    <t>L239</t>
  </si>
  <si>
    <t>CUESTAS</t>
  </si>
  <si>
    <t>DIAZ</t>
  </si>
  <si>
    <t>ANDREA</t>
  </si>
  <si>
    <t>SIERRA</t>
  </si>
  <si>
    <t>CAMARGO</t>
  </si>
  <si>
    <t>RAFAEL</t>
  </si>
  <si>
    <t>HUMBERTO</t>
  </si>
  <si>
    <t>L506</t>
  </si>
  <si>
    <t>URREA</t>
  </si>
  <si>
    <t>LARA</t>
  </si>
  <si>
    <t>TOVAR</t>
  </si>
  <si>
    <t>AVELLA</t>
  </si>
  <si>
    <t>STEFANY</t>
  </si>
  <si>
    <t>L308</t>
  </si>
  <si>
    <t>GUTIERREZ</t>
  </si>
  <si>
    <t>GUZMAN</t>
  </si>
  <si>
    <t>ADESLY</t>
  </si>
  <si>
    <t>L905</t>
  </si>
  <si>
    <t>MENDOZA</t>
  </si>
  <si>
    <t>CRISTANCHO</t>
  </si>
  <si>
    <t>JOHAN</t>
  </si>
  <si>
    <t>MAURICIO</t>
  </si>
  <si>
    <t>ALVARADO</t>
  </si>
  <si>
    <t>JENIFER</t>
  </si>
  <si>
    <t>VARGAS</t>
  </si>
  <si>
    <t>VANEGAS</t>
  </si>
  <si>
    <t>SEBASTIAN</t>
  </si>
  <si>
    <t>ZAFRA</t>
  </si>
  <si>
    <t>FLOREZ</t>
  </si>
  <si>
    <t xml:space="preserve">LEON </t>
  </si>
  <si>
    <t>RAMIREZ</t>
  </si>
  <si>
    <t>DIOSELINA</t>
  </si>
  <si>
    <t>GONZALEZ</t>
  </si>
  <si>
    <t>MALAGON</t>
  </si>
  <si>
    <t>CLAUDIA</t>
  </si>
  <si>
    <t>MARCELA</t>
  </si>
  <si>
    <t>ALEJANDRA</t>
  </si>
  <si>
    <t>L680</t>
  </si>
  <si>
    <t>ESTEBAN</t>
  </si>
  <si>
    <t>L721</t>
  </si>
  <si>
    <t>DANIEL</t>
  </si>
  <si>
    <t>ALEJANDRO</t>
  </si>
  <si>
    <t>LATORRE</t>
  </si>
  <si>
    <t>POSADA</t>
  </si>
  <si>
    <t>NICOLLE</t>
  </si>
  <si>
    <t>DANIELA</t>
  </si>
  <si>
    <t>BOBADILLA</t>
  </si>
  <si>
    <t xml:space="preserve">REY  </t>
  </si>
  <si>
    <t>DAVID</t>
  </si>
  <si>
    <t>ALEXANDER</t>
  </si>
  <si>
    <t>LOZANO</t>
  </si>
  <si>
    <t>ROCHA</t>
  </si>
  <si>
    <t>LEONOR</t>
  </si>
  <si>
    <t>ADELA</t>
  </si>
  <si>
    <t>A630</t>
  </si>
  <si>
    <t>HERRERA</t>
  </si>
  <si>
    <t>JENNYFER</t>
  </si>
  <si>
    <t>PAOLA</t>
  </si>
  <si>
    <t>MORALES</t>
  </si>
  <si>
    <t>RIOS</t>
  </si>
  <si>
    <t>HUGO</t>
  </si>
  <si>
    <t>D224</t>
  </si>
  <si>
    <t>PUENTE ARANDA</t>
  </si>
  <si>
    <t>L910</t>
  </si>
  <si>
    <t xml:space="preserve">SARA </t>
  </si>
  <si>
    <t xml:space="preserve">CRISTINA </t>
  </si>
  <si>
    <t>CUBILLOS</t>
  </si>
  <si>
    <t>CORTES</t>
  </si>
  <si>
    <t>LIZETH</t>
  </si>
  <si>
    <t xml:space="preserve">MORENO </t>
  </si>
  <si>
    <t xml:space="preserve">TORRES </t>
  </si>
  <si>
    <t xml:space="preserve">ANLLY </t>
  </si>
  <si>
    <t xml:space="preserve">MARITZA </t>
  </si>
  <si>
    <t>L282</t>
  </si>
  <si>
    <t>ACOSTA</t>
  </si>
  <si>
    <t xml:space="preserve">ISABEL </t>
  </si>
  <si>
    <t xml:space="preserve">SOFIA </t>
  </si>
  <si>
    <t xml:space="preserve">MARTÍNEZ </t>
  </si>
  <si>
    <t xml:space="preserve">GAMBOA </t>
  </si>
  <si>
    <t>MARÍA</t>
  </si>
  <si>
    <t xml:space="preserve">FERNANDA </t>
  </si>
  <si>
    <t>BELTRAN</t>
  </si>
  <si>
    <t>CASTIBLANCO</t>
  </si>
  <si>
    <t>ISABELLA</t>
  </si>
  <si>
    <t>FERNANDEZ</t>
  </si>
  <si>
    <t>ALVAREZ</t>
  </si>
  <si>
    <t>LUZ</t>
  </si>
  <si>
    <t>BELEN</t>
  </si>
  <si>
    <t>L250</t>
  </si>
  <si>
    <t>CHAVES</t>
  </si>
  <si>
    <t>BASTIDAS</t>
  </si>
  <si>
    <t>ILAM</t>
  </si>
  <si>
    <t>GERONIMO</t>
  </si>
  <si>
    <t>DURAN</t>
  </si>
  <si>
    <t>MENDIVELSO</t>
  </si>
  <si>
    <t>YADILE</t>
  </si>
  <si>
    <t>B351</t>
  </si>
  <si>
    <t>PEDRAZA</t>
  </si>
  <si>
    <t>DILAN</t>
  </si>
  <si>
    <t>ANTONIO</t>
  </si>
  <si>
    <t>MONTEJO</t>
  </si>
  <si>
    <t>BONILLA</t>
  </si>
  <si>
    <t>PABLO</t>
  </si>
  <si>
    <t>D233</t>
  </si>
  <si>
    <t>QUINTERO</t>
  </si>
  <si>
    <t>FARID</t>
  </si>
  <si>
    <t>SANTIAGO</t>
  </si>
  <si>
    <t>AMORTEGUI</t>
  </si>
  <si>
    <t>ARIAS</t>
  </si>
  <si>
    <t>L300</t>
  </si>
  <si>
    <t>MORENO</t>
  </si>
  <si>
    <t>ALEXY</t>
  </si>
  <si>
    <t>YADIRA</t>
  </si>
  <si>
    <t xml:space="preserve">GIRALDO </t>
  </si>
  <si>
    <t>HENAO</t>
  </si>
  <si>
    <t>ALBERTO</t>
  </si>
  <si>
    <t xml:space="preserve">VILLA </t>
  </si>
  <si>
    <t>PELAEZ</t>
  </si>
  <si>
    <t xml:space="preserve">PAULA </t>
  </si>
  <si>
    <t xml:space="preserve">ELENA </t>
  </si>
  <si>
    <t>CANDELARIA</t>
  </si>
  <si>
    <t>BUSTAMANTE</t>
  </si>
  <si>
    <t>AGUDELO</t>
  </si>
  <si>
    <t>SUSANA</t>
  </si>
  <si>
    <t>CASTRILLON</t>
  </si>
  <si>
    <t>LONDOÑO</t>
  </si>
  <si>
    <t>LUISA</t>
  </si>
  <si>
    <t>AVILA</t>
  </si>
  <si>
    <t>ISABELA</t>
  </si>
  <si>
    <t>LOS MARTIRES</t>
  </si>
  <si>
    <t>MONTOYA</t>
  </si>
  <si>
    <t>MERY</t>
  </si>
  <si>
    <t>LUPE</t>
  </si>
  <si>
    <t>ARENAS</t>
  </si>
  <si>
    <t xml:space="preserve">ANGELA </t>
  </si>
  <si>
    <t>ADRIANA</t>
  </si>
  <si>
    <t>QUICENO</t>
  </si>
  <si>
    <t>RUSSI</t>
  </si>
  <si>
    <t xml:space="preserve">YULY </t>
  </si>
  <si>
    <t>DAYAN</t>
  </si>
  <si>
    <t xml:space="preserve">LOPEZ </t>
  </si>
  <si>
    <t>LOPEZ</t>
  </si>
  <si>
    <t>GABRIELA</t>
  </si>
  <si>
    <t>PEREZ</t>
  </si>
  <si>
    <t>L208</t>
  </si>
  <si>
    <t>ORDUÑA</t>
  </si>
  <si>
    <t>SANABRIA</t>
  </si>
  <si>
    <t>YEIXIN</t>
  </si>
  <si>
    <t>L718</t>
  </si>
  <si>
    <t>AMADO</t>
  </si>
  <si>
    <t>DIANA</t>
  </si>
  <si>
    <t>CAMILA</t>
  </si>
  <si>
    <t>BUITRADO</t>
  </si>
  <si>
    <t>BERTHA</t>
  </si>
  <si>
    <t>FELIZZOLA</t>
  </si>
  <si>
    <t>SANCHEZ</t>
  </si>
  <si>
    <t>MEDINA</t>
  </si>
  <si>
    <t>FERNEIN</t>
  </si>
  <si>
    <t>B354</t>
  </si>
  <si>
    <t>ROJAS</t>
  </si>
  <si>
    <t>DILIANGELA</t>
  </si>
  <si>
    <t>ENRIQUEZ</t>
  </si>
  <si>
    <t>Luis Fernando</t>
  </si>
  <si>
    <t>FEAD 4193</t>
  </si>
  <si>
    <t>FEAD 4204</t>
  </si>
  <si>
    <t>FEAD 4208</t>
  </si>
  <si>
    <t>FEAD 4209</t>
  </si>
  <si>
    <t>FEAD 4205</t>
  </si>
  <si>
    <t>FEAD 4212</t>
  </si>
  <si>
    <t xml:space="preserve">FEAD 4232 </t>
  </si>
  <si>
    <t>FEAD 4240</t>
  </si>
  <si>
    <t>FEAD 4244</t>
  </si>
  <si>
    <t>FEAD 4260</t>
  </si>
  <si>
    <t>FEAD 4261</t>
  </si>
  <si>
    <t xml:space="preserve">FEAD 4262 </t>
  </si>
  <si>
    <t>FEAD 4265</t>
  </si>
  <si>
    <t>FEAD 4294</t>
  </si>
  <si>
    <t>FEAD 4295</t>
  </si>
  <si>
    <t>FEAD 4297</t>
  </si>
  <si>
    <t>FEAD 4302</t>
  </si>
  <si>
    <t>FEAD 4309</t>
  </si>
  <si>
    <t>FEAD 4310</t>
  </si>
  <si>
    <t>FEAD 4318</t>
  </si>
  <si>
    <t>FEAD 4319</t>
  </si>
  <si>
    <t>FEAD 4317</t>
  </si>
  <si>
    <t>FEAD 4320</t>
  </si>
  <si>
    <t>FEAD 4321</t>
  </si>
  <si>
    <t>FEAD 4323</t>
  </si>
  <si>
    <t>FEAD 4339</t>
  </si>
  <si>
    <t>FEAD 4342</t>
  </si>
  <si>
    <t>FEAD 4346</t>
  </si>
  <si>
    <t>FEAD 4347</t>
  </si>
  <si>
    <t>FEAD 4356</t>
  </si>
  <si>
    <t>FEAD 4358</t>
  </si>
  <si>
    <t>FEAD 4359</t>
  </si>
  <si>
    <t>FEAD 4360</t>
  </si>
  <si>
    <t>FEAD 4362</t>
  </si>
  <si>
    <t>FEAD 4370</t>
  </si>
  <si>
    <t>FEAD 4371</t>
  </si>
  <si>
    <t>FEAD 4372</t>
  </si>
  <si>
    <t>FEAD 4373</t>
  </si>
  <si>
    <t>FEAD 4374</t>
  </si>
  <si>
    <t>FEAD 4376</t>
  </si>
  <si>
    <t>FEAD 4378</t>
  </si>
  <si>
    <t>FEAD 4379</t>
  </si>
  <si>
    <t>FEAD 4389</t>
  </si>
  <si>
    <t>FEAD 4397</t>
  </si>
  <si>
    <t>FEAD 4398</t>
  </si>
  <si>
    <t>FEAD 4399</t>
  </si>
  <si>
    <t>FEAD 4400</t>
  </si>
  <si>
    <t>FEAD 4402</t>
  </si>
  <si>
    <t>FEAD 4403</t>
  </si>
  <si>
    <t>FEAD 4415</t>
  </si>
  <si>
    <t>FEAD 4417</t>
  </si>
  <si>
    <t>FEAD 4420</t>
  </si>
  <si>
    <t>FEAD 4421</t>
  </si>
  <si>
    <t>FEAD 4424</t>
  </si>
  <si>
    <t>FEAD 4426</t>
  </si>
  <si>
    <t>FEAD 4427</t>
  </si>
  <si>
    <t>FEAD 4428</t>
  </si>
  <si>
    <t>FEAD 4429</t>
  </si>
  <si>
    <t>FEAD 4430</t>
  </si>
  <si>
    <t>FEAD 4433</t>
  </si>
  <si>
    <t>FEAD 4585</t>
  </si>
  <si>
    <t>FEAD 4434</t>
  </si>
  <si>
    <t>FEAD 4454</t>
  </si>
  <si>
    <t>FEAD 4467</t>
  </si>
  <si>
    <t>FEAD 4469</t>
  </si>
  <si>
    <t>FEAD 001779</t>
  </si>
  <si>
    <t>FEAD 4455</t>
  </si>
  <si>
    <t>FEAD 4521</t>
  </si>
  <si>
    <t>FEAD 4522</t>
  </si>
  <si>
    <t>FEAD 4527</t>
  </si>
  <si>
    <t>FEAD 4528</t>
  </si>
  <si>
    <t>FEAD 4526</t>
  </si>
  <si>
    <t>FEAD 4531</t>
  </si>
  <si>
    <t>FEAD 4545</t>
  </si>
  <si>
    <t>FEAD 4547</t>
  </si>
  <si>
    <t>FEAD 4548</t>
  </si>
  <si>
    <t>FEAD 4550</t>
  </si>
  <si>
    <t>FEAD 4554</t>
  </si>
  <si>
    <t>FEAD 4555</t>
  </si>
  <si>
    <t>FEAD 4569</t>
  </si>
  <si>
    <t>FEAD 4570</t>
  </si>
  <si>
    <t>FEAD 4571</t>
  </si>
  <si>
    <t>FEAD 4572</t>
  </si>
  <si>
    <t>FEAD 4574</t>
  </si>
  <si>
    <t>FEAD 4575</t>
  </si>
  <si>
    <t>FEAD 4579</t>
  </si>
  <si>
    <t>FEAD 4581</t>
  </si>
  <si>
    <t>FEAD 4592</t>
  </si>
  <si>
    <t>FEAD 4594</t>
  </si>
  <si>
    <t>FEAD 4595</t>
  </si>
  <si>
    <t>FEAD 4596</t>
  </si>
  <si>
    <t>FEAD 4604</t>
  </si>
  <si>
    <t>FEAD 4664</t>
  </si>
  <si>
    <t>FEAD 4605</t>
  </si>
  <si>
    <t>FEAD 4606</t>
  </si>
  <si>
    <t>FEAD 4609</t>
  </si>
  <si>
    <t xml:space="preserve">SIN NUMERO DE FACTURA </t>
  </si>
  <si>
    <t xml:space="preserve">PCTE CON NC </t>
  </si>
  <si>
    <t xml:space="preserve">NUMERO DE DOCUMENTO MAL DILIGENCIADO </t>
  </si>
  <si>
    <t xml:space="preserve">SE REALIZA NOTA CREDITO POR DOCUMENTO MAL INGRESADO </t>
  </si>
  <si>
    <t>FEAD 4739</t>
  </si>
  <si>
    <t>FEAD 4740</t>
  </si>
  <si>
    <t>FEDECARDOZO1@GMAIL.COM</t>
  </si>
  <si>
    <t>CARDOZO</t>
  </si>
  <si>
    <t>PINEDA</t>
  </si>
  <si>
    <t>FEDERICO</t>
  </si>
  <si>
    <t>FEAD 4203</t>
  </si>
  <si>
    <t>LAURAGIRLADO6@GMAIL.COM</t>
  </si>
  <si>
    <t>GIRALDO</t>
  </si>
  <si>
    <t>LAURA</t>
  </si>
  <si>
    <t>FEAD 4419</t>
  </si>
  <si>
    <t>DIANAROD04@HOTMAIL.COM</t>
  </si>
  <si>
    <t>PAREJA</t>
  </si>
  <si>
    <t>L219</t>
  </si>
  <si>
    <t>FEAD 4498</t>
  </si>
  <si>
    <t>PAO83873@HOTMAIL.COM</t>
  </si>
  <si>
    <t xml:space="preserve">FINO </t>
  </si>
  <si>
    <t xml:space="preserve">GUEVARA </t>
  </si>
  <si>
    <t>FEAD 4499</t>
  </si>
  <si>
    <t>YINA</t>
  </si>
  <si>
    <t>LIDAEMILSP@HOTMAIL.COM</t>
  </si>
  <si>
    <t>LIDA</t>
  </si>
  <si>
    <t>EMILCE</t>
  </si>
  <si>
    <t>D231</t>
  </si>
  <si>
    <t>FEAD 4503</t>
  </si>
  <si>
    <t>FEAD 4505</t>
  </si>
  <si>
    <t xml:space="preserve">BETANCOURT </t>
  </si>
  <si>
    <t>DIYOBWERT@GMAIL.COM</t>
  </si>
  <si>
    <t>VALERIA</t>
  </si>
  <si>
    <t>FEAD 4593</t>
  </si>
  <si>
    <t>VALERY</t>
  </si>
  <si>
    <t>RENTERIA</t>
  </si>
  <si>
    <t>ALEXANDRA_ROLU@OUTLOOK.COM</t>
  </si>
  <si>
    <t>MIGUELCERON@HOTMAIL.COM</t>
  </si>
  <si>
    <t>GUEVARA</t>
  </si>
  <si>
    <t>CERON</t>
  </si>
  <si>
    <t>FEAD 4514</t>
  </si>
  <si>
    <t xml:space="preserve">NC CAMBIO DE PROVEEDOR </t>
  </si>
  <si>
    <t>FEAD 4692</t>
  </si>
  <si>
    <t xml:space="preserve">NC POR DOBLE FACTURACIÓN DEL MISMO SERVICIO </t>
  </si>
  <si>
    <t xml:space="preserve">PCTE CON FACTURACIÓN FUTURA </t>
  </si>
  <si>
    <t>FEAD 4194</t>
  </si>
  <si>
    <t>FEAD 4232</t>
  </si>
  <si>
    <t>FEAD 4233</t>
  </si>
  <si>
    <t>FEAD 4242</t>
  </si>
  <si>
    <t>FEAD 4301</t>
  </si>
  <si>
    <t>FEAD 4607</t>
  </si>
  <si>
    <t>NOTA CREDITO EN REPORTE</t>
  </si>
  <si>
    <t>FEAD 4745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</si>
</sst>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"/>
    <numFmt numFmtId="165" formatCode="dd/mm/yyyy"/>
    <numFmt numFmtId="166" formatCode="d/m/yyyy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0" fillId="0" borderId="0" xfId="0" applyFont="1" applyAlignment="1">
      <alignment horizontal="right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4" fillId="3" borderId="4" xfId="0" applyNumberFormat="1" applyFont="1" applyFill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165" fontId="5" fillId="0" borderId="4" xfId="0" applyNumberFormat="1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1" fontId="5" fillId="0" borderId="4" xfId="0" applyNumberFormat="1" applyFont="1" applyFill="1" applyBorder="1" applyAlignment="1">
      <alignment vertical="center"/>
    </xf>
    <xf numFmtId="166" fontId="5" fillId="0" borderId="4" xfId="0" applyNumberFormat="1" applyFont="1" applyFill="1" applyBorder="1" applyAlignment="1">
      <alignment horizontal="right" vertical="center"/>
    </xf>
    <xf numFmtId="0" fontId="5" fillId="0" borderId="4" xfId="0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vertical="center"/>
    </xf>
    <xf numFmtId="164" fontId="5" fillId="0" borderId="4" xfId="0" applyNumberFormat="1" applyFont="1" applyFill="1" applyBorder="1" applyAlignment="1">
      <alignment vertical="center"/>
    </xf>
    <xf numFmtId="0" fontId="2" fillId="0" borderId="4" xfId="0" applyFont="1" applyFill="1" applyBorder="1" applyAlignment="1">
      <alignment horizontal="right"/>
    </xf>
    <xf numFmtId="14" fontId="5" fillId="0" borderId="3" xfId="0" applyNumberFormat="1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vertical="center"/>
    </xf>
    <xf numFmtId="0" fontId="0" fillId="0" borderId="0" xfId="0" applyFont="1" applyFill="1" applyAlignment="1"/>
    <xf numFmtId="0" fontId="0" fillId="0" borderId="2" xfId="0" applyFont="1" applyBorder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Fill="1" applyAlignment="1"/>
    <xf numFmtId="0" fontId="1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baseColWidth="10" defaultColWidth="14.42578125" defaultRowHeight="15" customHeight="1" x14ac:dyDescent="0.25"/>
  <cols>
    <col min="1" max="1" width="11.42578125" customWidth="1"/>
    <col min="2" max="2" width="8.42578125" customWidth="1"/>
    <col min="3" max="3" width="15.28515625" customWidth="1"/>
    <col min="4" max="4" width="35.5703125" customWidth="1"/>
    <col min="5" max="5" width="16.5703125" customWidth="1"/>
    <col min="6" max="6" width="9.7109375" bestFit="1" customWidth="1"/>
    <col min="7" max="7" width="15.5703125" style="1" bestFit="1" customWidth="1"/>
    <col min="8" max="8" width="14.140625" customWidth="1"/>
    <col min="9" max="9" width="13.85546875" customWidth="1"/>
    <col min="10" max="10" width="12.5703125" customWidth="1"/>
    <col min="11" max="11" width="11" customWidth="1"/>
    <col min="12" max="12" width="17.140625" customWidth="1"/>
    <col min="13" max="13" width="4.7109375" customWidth="1"/>
    <col min="14" max="14" width="9.28515625" customWidth="1"/>
    <col min="15" max="15" width="24.5703125" customWidth="1"/>
    <col min="16" max="16" width="9.42578125" customWidth="1"/>
    <col min="17" max="17" width="18.5703125" customWidth="1"/>
    <col min="18" max="18" width="35.140625" customWidth="1"/>
    <col min="19" max="19" width="9.140625" customWidth="1"/>
    <col min="20" max="20" width="15.5703125" customWidth="1"/>
    <col min="21" max="21" width="18.42578125" customWidth="1"/>
  </cols>
  <sheetData>
    <row r="1" spans="1:2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4" t="s">
        <v>32</v>
      </c>
      <c r="T1" s="5" t="s">
        <v>18</v>
      </c>
      <c r="U1" s="5" t="s">
        <v>19</v>
      </c>
    </row>
    <row r="2" spans="1:21" s="16" customFormat="1" x14ac:dyDescent="0.25">
      <c r="A2" s="6">
        <v>45597</v>
      </c>
      <c r="B2" s="7" t="s">
        <v>20</v>
      </c>
      <c r="C2" s="7">
        <v>1018481013</v>
      </c>
      <c r="D2" s="7" t="s">
        <v>567</v>
      </c>
      <c r="E2" s="8">
        <v>3178948600</v>
      </c>
      <c r="F2" s="8">
        <f t="shared" ref="F2:F33" ca="1" si="0">YEAR(NOW())-YEAR(G2)</f>
        <v>29</v>
      </c>
      <c r="G2" s="9">
        <v>35026</v>
      </c>
      <c r="H2" s="7" t="s">
        <v>568</v>
      </c>
      <c r="I2" s="7" t="s">
        <v>569</v>
      </c>
      <c r="J2" s="7" t="s">
        <v>570</v>
      </c>
      <c r="K2" s="7" t="s">
        <v>23</v>
      </c>
      <c r="L2" s="7" t="s">
        <v>22</v>
      </c>
      <c r="M2" s="7" t="s">
        <v>148</v>
      </c>
      <c r="N2" s="7" t="s">
        <v>28</v>
      </c>
      <c r="O2" s="7" t="s">
        <v>26</v>
      </c>
      <c r="P2" s="10" t="s">
        <v>29</v>
      </c>
      <c r="Q2" s="7" t="s">
        <v>31</v>
      </c>
      <c r="R2" s="11" t="s">
        <v>35</v>
      </c>
      <c r="S2" s="12"/>
      <c r="T2" s="13">
        <v>91497519</v>
      </c>
      <c r="U2" s="7" t="s">
        <v>571</v>
      </c>
    </row>
    <row r="3" spans="1:21" s="16" customFormat="1" x14ac:dyDescent="0.25">
      <c r="A3" s="6">
        <v>45597</v>
      </c>
      <c r="B3" s="7" t="s">
        <v>20</v>
      </c>
      <c r="C3" s="7">
        <v>20472498</v>
      </c>
      <c r="D3" s="7" t="s">
        <v>37</v>
      </c>
      <c r="E3" s="8">
        <v>3142021638</v>
      </c>
      <c r="F3" s="8">
        <f t="shared" ca="1" si="0"/>
        <v>61</v>
      </c>
      <c r="G3" s="9">
        <v>23117</v>
      </c>
      <c r="H3" s="7" t="s">
        <v>131</v>
      </c>
      <c r="I3" s="7" t="s">
        <v>23</v>
      </c>
      <c r="J3" s="7" t="s">
        <v>132</v>
      </c>
      <c r="K3" s="7" t="s">
        <v>133</v>
      </c>
      <c r="L3" s="7" t="s">
        <v>22</v>
      </c>
      <c r="M3" s="7" t="s">
        <v>21</v>
      </c>
      <c r="N3" s="7" t="s">
        <v>28</v>
      </c>
      <c r="O3" s="7" t="s">
        <v>26</v>
      </c>
      <c r="P3" s="10" t="s">
        <v>134</v>
      </c>
      <c r="Q3" s="7" t="s">
        <v>31</v>
      </c>
      <c r="R3" s="11" t="s">
        <v>35</v>
      </c>
      <c r="S3" s="12"/>
      <c r="T3" s="13">
        <v>91596130</v>
      </c>
      <c r="U3" s="7" t="s">
        <v>606</v>
      </c>
    </row>
    <row r="4" spans="1:21" s="16" customFormat="1" x14ac:dyDescent="0.25">
      <c r="A4" s="6">
        <v>45597</v>
      </c>
      <c r="B4" s="7" t="s">
        <v>20</v>
      </c>
      <c r="C4" s="7">
        <v>53911532</v>
      </c>
      <c r="D4" s="7" t="s">
        <v>38</v>
      </c>
      <c r="E4" s="8">
        <v>3108805102</v>
      </c>
      <c r="F4" s="8">
        <f t="shared" ca="1" si="0"/>
        <v>39</v>
      </c>
      <c r="G4" s="9">
        <v>31234</v>
      </c>
      <c r="H4" s="7" t="s">
        <v>135</v>
      </c>
      <c r="I4" s="7" t="s">
        <v>136</v>
      </c>
      <c r="J4" s="7" t="s">
        <v>34</v>
      </c>
      <c r="K4" s="7" t="s">
        <v>137</v>
      </c>
      <c r="L4" s="7" t="s">
        <v>22</v>
      </c>
      <c r="M4" s="7" t="s">
        <v>21</v>
      </c>
      <c r="N4" s="7" t="s">
        <v>28</v>
      </c>
      <c r="O4" s="7" t="s">
        <v>26</v>
      </c>
      <c r="P4" s="10" t="s">
        <v>138</v>
      </c>
      <c r="Q4" s="7" t="s">
        <v>33</v>
      </c>
      <c r="R4" s="11" t="s">
        <v>36</v>
      </c>
      <c r="S4" s="12"/>
      <c r="T4" s="13">
        <v>91500022</v>
      </c>
      <c r="U4" s="7" t="s">
        <v>465</v>
      </c>
    </row>
    <row r="5" spans="1:21" s="16" customFormat="1" x14ac:dyDescent="0.25">
      <c r="A5" s="6">
        <v>45598</v>
      </c>
      <c r="B5" s="7" t="s">
        <v>20</v>
      </c>
      <c r="C5" s="7">
        <v>1000513385</v>
      </c>
      <c r="D5" s="7" t="s">
        <v>39</v>
      </c>
      <c r="E5" s="8">
        <v>3115503164</v>
      </c>
      <c r="F5" s="8">
        <f t="shared" ca="1" si="0"/>
        <v>27</v>
      </c>
      <c r="G5" s="9">
        <v>35717</v>
      </c>
      <c r="H5" s="7" t="s">
        <v>139</v>
      </c>
      <c r="I5" s="7" t="s">
        <v>140</v>
      </c>
      <c r="J5" s="7" t="s">
        <v>141</v>
      </c>
      <c r="K5" s="7" t="s">
        <v>142</v>
      </c>
      <c r="L5" s="7" t="s">
        <v>22</v>
      </c>
      <c r="M5" s="7" t="s">
        <v>21</v>
      </c>
      <c r="N5" s="7" t="s">
        <v>28</v>
      </c>
      <c r="O5" s="7" t="s">
        <v>26</v>
      </c>
      <c r="P5" s="10" t="s">
        <v>143</v>
      </c>
      <c r="Q5" s="7" t="s">
        <v>31</v>
      </c>
      <c r="R5" s="11" t="s">
        <v>36</v>
      </c>
      <c r="S5" s="12"/>
      <c r="T5" s="13">
        <v>91355996</v>
      </c>
      <c r="U5" s="7" t="s">
        <v>466</v>
      </c>
    </row>
    <row r="6" spans="1:21" s="16" customFormat="1" x14ac:dyDescent="0.25">
      <c r="A6" s="6">
        <v>45598</v>
      </c>
      <c r="B6" s="7" t="s">
        <v>40</v>
      </c>
      <c r="C6" s="7">
        <v>1011215973</v>
      </c>
      <c r="D6" s="7" t="s">
        <v>41</v>
      </c>
      <c r="E6" s="8">
        <v>3155232458</v>
      </c>
      <c r="F6" s="8">
        <f t="shared" ca="1" si="0"/>
        <v>12</v>
      </c>
      <c r="G6" s="9">
        <v>40924</v>
      </c>
      <c r="H6" s="7" t="s">
        <v>144</v>
      </c>
      <c r="I6" s="7" t="s">
        <v>145</v>
      </c>
      <c r="J6" s="7" t="s">
        <v>146</v>
      </c>
      <c r="K6" s="7" t="s">
        <v>147</v>
      </c>
      <c r="L6" s="7" t="s">
        <v>22</v>
      </c>
      <c r="M6" s="7" t="s">
        <v>148</v>
      </c>
      <c r="N6" s="7" t="s">
        <v>149</v>
      </c>
      <c r="O6" s="7" t="s">
        <v>26</v>
      </c>
      <c r="P6" s="10" t="s">
        <v>29</v>
      </c>
      <c r="Q6" s="7" t="s">
        <v>31</v>
      </c>
      <c r="R6" s="11" t="s">
        <v>36</v>
      </c>
      <c r="S6" s="12"/>
      <c r="T6" s="13">
        <v>91608123</v>
      </c>
      <c r="U6" s="7" t="s">
        <v>467</v>
      </c>
    </row>
    <row r="7" spans="1:21" s="16" customFormat="1" x14ac:dyDescent="0.25">
      <c r="A7" s="6">
        <v>45598</v>
      </c>
      <c r="B7" s="7" t="s">
        <v>40</v>
      </c>
      <c r="C7" s="7">
        <v>1011329189</v>
      </c>
      <c r="D7" s="7" t="s">
        <v>41</v>
      </c>
      <c r="E7" s="8">
        <v>3155232458</v>
      </c>
      <c r="F7" s="8">
        <f t="shared" ca="1" si="0"/>
        <v>9</v>
      </c>
      <c r="G7" s="9">
        <v>42367</v>
      </c>
      <c r="H7" s="7" t="s">
        <v>144</v>
      </c>
      <c r="I7" s="7" t="s">
        <v>145</v>
      </c>
      <c r="J7" s="7" t="s">
        <v>150</v>
      </c>
      <c r="K7" s="7" t="s">
        <v>23</v>
      </c>
      <c r="L7" s="7" t="s">
        <v>22</v>
      </c>
      <c r="M7" s="7" t="s">
        <v>21</v>
      </c>
      <c r="N7" s="7" t="s">
        <v>149</v>
      </c>
      <c r="O7" s="7" t="s">
        <v>26</v>
      </c>
      <c r="P7" s="10" t="s">
        <v>151</v>
      </c>
      <c r="Q7" s="7" t="s">
        <v>31</v>
      </c>
      <c r="R7" s="11" t="s">
        <v>36</v>
      </c>
      <c r="S7" s="12"/>
      <c r="T7" s="13">
        <v>91630880</v>
      </c>
      <c r="U7" s="7" t="s">
        <v>468</v>
      </c>
    </row>
    <row r="8" spans="1:21" s="16" customFormat="1" x14ac:dyDescent="0.25">
      <c r="A8" s="6">
        <v>45598</v>
      </c>
      <c r="B8" s="7" t="s">
        <v>20</v>
      </c>
      <c r="C8" s="7">
        <v>52708062</v>
      </c>
      <c r="D8" s="7" t="s">
        <v>42</v>
      </c>
      <c r="E8" s="8">
        <v>3004926746</v>
      </c>
      <c r="F8" s="8">
        <f t="shared" ca="1" si="0"/>
        <v>44</v>
      </c>
      <c r="G8" s="9">
        <v>29339</v>
      </c>
      <c r="H8" s="7" t="s">
        <v>152</v>
      </c>
      <c r="I8" s="7" t="s">
        <v>153</v>
      </c>
      <c r="J8" s="7" t="s">
        <v>154</v>
      </c>
      <c r="K8" s="7" t="s">
        <v>155</v>
      </c>
      <c r="L8" s="7" t="s">
        <v>22</v>
      </c>
      <c r="M8" s="7" t="s">
        <v>21</v>
      </c>
      <c r="N8" s="7" t="s">
        <v>28</v>
      </c>
      <c r="O8" s="7" t="s">
        <v>26</v>
      </c>
      <c r="P8" s="10" t="s">
        <v>156</v>
      </c>
      <c r="Q8" s="7" t="s">
        <v>31</v>
      </c>
      <c r="R8" s="11" t="s">
        <v>36</v>
      </c>
      <c r="S8" s="12"/>
      <c r="T8" s="13">
        <v>91602827</v>
      </c>
      <c r="U8" s="7" t="s">
        <v>469</v>
      </c>
    </row>
    <row r="9" spans="1:21" s="16" customFormat="1" x14ac:dyDescent="0.25">
      <c r="A9" s="6">
        <v>45598</v>
      </c>
      <c r="B9" s="7" t="s">
        <v>20</v>
      </c>
      <c r="C9" s="7">
        <v>52812854</v>
      </c>
      <c r="D9" s="7" t="s">
        <v>43</v>
      </c>
      <c r="E9" s="8">
        <v>3502970097</v>
      </c>
      <c r="F9" s="8">
        <f t="shared" ca="1" si="0"/>
        <v>42</v>
      </c>
      <c r="G9" s="9">
        <v>30236</v>
      </c>
      <c r="H9" s="7" t="s">
        <v>157</v>
      </c>
      <c r="I9" s="7" t="s">
        <v>158</v>
      </c>
      <c r="J9" s="7" t="s">
        <v>159</v>
      </c>
      <c r="K9" s="7" t="s">
        <v>160</v>
      </c>
      <c r="L9" s="7" t="s">
        <v>22</v>
      </c>
      <c r="M9" s="7" t="s">
        <v>21</v>
      </c>
      <c r="N9" s="7" t="s">
        <v>161</v>
      </c>
      <c r="O9" s="7" t="s">
        <v>26</v>
      </c>
      <c r="P9" s="10" t="s">
        <v>162</v>
      </c>
      <c r="Q9" s="7" t="s">
        <v>33</v>
      </c>
      <c r="R9" s="11" t="s">
        <v>36</v>
      </c>
      <c r="S9" s="12"/>
      <c r="T9" s="13">
        <v>91602881</v>
      </c>
      <c r="U9" s="7" t="s">
        <v>470</v>
      </c>
    </row>
    <row r="10" spans="1:21" s="16" customFormat="1" x14ac:dyDescent="0.25">
      <c r="A10" s="6">
        <v>45601</v>
      </c>
      <c r="B10" s="7" t="s">
        <v>20</v>
      </c>
      <c r="C10" s="7">
        <v>1094889177</v>
      </c>
      <c r="D10" s="7" t="s">
        <v>44</v>
      </c>
      <c r="E10" s="8">
        <v>3146518465</v>
      </c>
      <c r="F10" s="8">
        <f t="shared" ca="1" si="0"/>
        <v>37</v>
      </c>
      <c r="G10" s="9">
        <v>31926</v>
      </c>
      <c r="H10" s="7" t="s">
        <v>163</v>
      </c>
      <c r="I10" s="7" t="s">
        <v>164</v>
      </c>
      <c r="J10" s="7" t="s">
        <v>165</v>
      </c>
      <c r="K10" s="7" t="s">
        <v>166</v>
      </c>
      <c r="L10" s="7" t="s">
        <v>22</v>
      </c>
      <c r="M10" s="7" t="s">
        <v>21</v>
      </c>
      <c r="N10" s="7" t="s">
        <v>27</v>
      </c>
      <c r="O10" s="7" t="s">
        <v>26</v>
      </c>
      <c r="P10" s="10" t="s">
        <v>143</v>
      </c>
      <c r="Q10" s="7" t="s">
        <v>31</v>
      </c>
      <c r="R10" s="11" t="s">
        <v>35</v>
      </c>
      <c r="S10" s="12"/>
      <c r="T10" s="13">
        <v>91532719</v>
      </c>
      <c r="U10" s="7" t="s">
        <v>607</v>
      </c>
    </row>
    <row r="11" spans="1:21" s="16" customFormat="1" x14ac:dyDescent="0.25">
      <c r="A11" s="6">
        <v>45601</v>
      </c>
      <c r="B11" s="7" t="s">
        <v>20</v>
      </c>
      <c r="C11" s="7">
        <v>80426634</v>
      </c>
      <c r="D11" s="7" t="s">
        <v>45</v>
      </c>
      <c r="E11" s="8">
        <v>3105699160</v>
      </c>
      <c r="F11" s="8">
        <f t="shared" ca="1" si="0"/>
        <v>52</v>
      </c>
      <c r="G11" s="9">
        <v>26652</v>
      </c>
      <c r="H11" s="7" t="s">
        <v>167</v>
      </c>
      <c r="I11" s="7" t="s">
        <v>152</v>
      </c>
      <c r="J11" s="7" t="s">
        <v>168</v>
      </c>
      <c r="K11" s="7" t="s">
        <v>169</v>
      </c>
      <c r="L11" s="7" t="s">
        <v>22</v>
      </c>
      <c r="M11" s="7" t="s">
        <v>21</v>
      </c>
      <c r="N11" s="7" t="s">
        <v>28</v>
      </c>
      <c r="O11" s="7" t="s">
        <v>26</v>
      </c>
      <c r="P11" s="10" t="s">
        <v>170</v>
      </c>
      <c r="Q11" s="7" t="s">
        <v>33</v>
      </c>
      <c r="R11" s="11" t="s">
        <v>35</v>
      </c>
      <c r="S11" s="12"/>
      <c r="T11" s="13">
        <v>91648578</v>
      </c>
      <c r="U11" s="7" t="s">
        <v>608</v>
      </c>
    </row>
    <row r="12" spans="1:21" s="16" customFormat="1" x14ac:dyDescent="0.25">
      <c r="A12" s="6">
        <v>45601</v>
      </c>
      <c r="B12" s="7" t="s">
        <v>20</v>
      </c>
      <c r="C12" s="7">
        <v>1018443437</v>
      </c>
      <c r="D12" s="7" t="s">
        <v>46</v>
      </c>
      <c r="E12" s="8">
        <v>3134670650</v>
      </c>
      <c r="F12" s="8">
        <f t="shared" ca="1" si="0"/>
        <v>33</v>
      </c>
      <c r="G12" s="9">
        <v>33347</v>
      </c>
      <c r="H12" s="7" t="s">
        <v>171</v>
      </c>
      <c r="I12" s="7" t="s">
        <v>172</v>
      </c>
      <c r="J12" s="7" t="s">
        <v>173</v>
      </c>
      <c r="K12" s="7" t="s">
        <v>174</v>
      </c>
      <c r="L12" s="7" t="s">
        <v>22</v>
      </c>
      <c r="M12" s="7" t="s">
        <v>148</v>
      </c>
      <c r="N12" s="7" t="s">
        <v>28</v>
      </c>
      <c r="O12" s="7" t="s">
        <v>26</v>
      </c>
      <c r="P12" s="10" t="s">
        <v>162</v>
      </c>
      <c r="Q12" s="7" t="s">
        <v>31</v>
      </c>
      <c r="R12" s="11" t="s">
        <v>35</v>
      </c>
      <c r="S12" s="12"/>
      <c r="T12" s="13">
        <v>91614764</v>
      </c>
      <c r="U12" s="7" t="s">
        <v>472</v>
      </c>
    </row>
    <row r="13" spans="1:21" s="16" customFormat="1" x14ac:dyDescent="0.25">
      <c r="A13" s="6">
        <v>45601</v>
      </c>
      <c r="B13" s="7" t="s">
        <v>20</v>
      </c>
      <c r="C13" s="7">
        <v>1075677885</v>
      </c>
      <c r="D13" s="7" t="s">
        <v>47</v>
      </c>
      <c r="E13" s="8">
        <v>3208468900</v>
      </c>
      <c r="F13" s="8">
        <f t="shared" ca="1" si="0"/>
        <v>29</v>
      </c>
      <c r="G13" s="9">
        <v>35021</v>
      </c>
      <c r="H13" s="7" t="s">
        <v>175</v>
      </c>
      <c r="I13" s="7" t="s">
        <v>176</v>
      </c>
      <c r="J13" s="7" t="s">
        <v>177</v>
      </c>
      <c r="K13" s="7" t="s">
        <v>178</v>
      </c>
      <c r="L13" s="7" t="s">
        <v>22</v>
      </c>
      <c r="M13" s="7" t="s">
        <v>21</v>
      </c>
      <c r="N13" s="7" t="s">
        <v>28</v>
      </c>
      <c r="O13" s="7" t="s">
        <v>26</v>
      </c>
      <c r="P13" s="10" t="s">
        <v>156</v>
      </c>
      <c r="Q13" s="7" t="s">
        <v>31</v>
      </c>
      <c r="R13" s="11" t="s">
        <v>35</v>
      </c>
      <c r="S13" s="12"/>
      <c r="T13" s="13">
        <v>91536114</v>
      </c>
      <c r="U13" s="7" t="s">
        <v>609</v>
      </c>
    </row>
    <row r="14" spans="1:21" s="16" customFormat="1" x14ac:dyDescent="0.25">
      <c r="A14" s="6">
        <v>45601</v>
      </c>
      <c r="B14" s="7" t="s">
        <v>20</v>
      </c>
      <c r="C14" s="7">
        <v>79792838</v>
      </c>
      <c r="D14" s="7" t="s">
        <v>48</v>
      </c>
      <c r="E14" s="8">
        <v>3118781380</v>
      </c>
      <c r="F14" s="8">
        <f t="shared" ca="1" si="0"/>
        <v>47</v>
      </c>
      <c r="G14" s="9">
        <v>28369</v>
      </c>
      <c r="H14" s="7" t="s">
        <v>179</v>
      </c>
      <c r="I14" s="7" t="s">
        <v>180</v>
      </c>
      <c r="J14" s="7" t="s">
        <v>181</v>
      </c>
      <c r="K14" s="7" t="s">
        <v>182</v>
      </c>
      <c r="L14" s="7" t="s">
        <v>22</v>
      </c>
      <c r="M14" s="7" t="s">
        <v>148</v>
      </c>
      <c r="N14" s="7" t="s">
        <v>183</v>
      </c>
      <c r="O14" s="7" t="s">
        <v>26</v>
      </c>
      <c r="P14" s="10" t="s">
        <v>30</v>
      </c>
      <c r="Q14" s="7" t="s">
        <v>31</v>
      </c>
      <c r="R14" s="11" t="s">
        <v>35</v>
      </c>
      <c r="S14" s="12"/>
      <c r="T14" s="13">
        <v>91568710</v>
      </c>
      <c r="U14" s="7" t="s">
        <v>565</v>
      </c>
    </row>
    <row r="15" spans="1:21" s="16" customFormat="1" x14ac:dyDescent="0.25">
      <c r="A15" s="6">
        <v>45602</v>
      </c>
      <c r="B15" s="7" t="s">
        <v>20</v>
      </c>
      <c r="C15" s="7">
        <v>1020816422</v>
      </c>
      <c r="D15" s="7" t="s">
        <v>49</v>
      </c>
      <c r="E15" s="8">
        <v>3144870993</v>
      </c>
      <c r="F15" s="8">
        <f t="shared" ca="1" si="0"/>
        <v>28</v>
      </c>
      <c r="G15" s="9">
        <v>35234</v>
      </c>
      <c r="H15" s="7" t="s">
        <v>184</v>
      </c>
      <c r="I15" s="7" t="s">
        <v>175</v>
      </c>
      <c r="J15" s="7" t="s">
        <v>185</v>
      </c>
      <c r="K15" s="7" t="s">
        <v>177</v>
      </c>
      <c r="L15" s="7" t="s">
        <v>22</v>
      </c>
      <c r="M15" s="7" t="s">
        <v>21</v>
      </c>
      <c r="N15" s="7" t="s">
        <v>28</v>
      </c>
      <c r="O15" s="7" t="s">
        <v>26</v>
      </c>
      <c r="P15" s="10" t="s">
        <v>143</v>
      </c>
      <c r="Q15" s="7" t="s">
        <v>33</v>
      </c>
      <c r="R15" s="11" t="s">
        <v>35</v>
      </c>
      <c r="S15" s="12"/>
      <c r="T15" s="13">
        <v>91596957</v>
      </c>
      <c r="U15" s="7" t="s">
        <v>474</v>
      </c>
    </row>
    <row r="16" spans="1:21" s="16" customFormat="1" x14ac:dyDescent="0.25">
      <c r="A16" s="6">
        <v>45602</v>
      </c>
      <c r="B16" s="7" t="s">
        <v>20</v>
      </c>
      <c r="C16" s="7">
        <v>91248635</v>
      </c>
      <c r="D16" s="7" t="s">
        <v>50</v>
      </c>
      <c r="E16" s="8">
        <v>3136158796</v>
      </c>
      <c r="F16" s="8">
        <f t="shared" ca="1" si="0"/>
        <v>58</v>
      </c>
      <c r="G16" s="9">
        <v>24205</v>
      </c>
      <c r="H16" s="7" t="s">
        <v>186</v>
      </c>
      <c r="I16" s="7" t="s">
        <v>187</v>
      </c>
      <c r="J16" s="7" t="s">
        <v>188</v>
      </c>
      <c r="K16" s="7" t="s">
        <v>189</v>
      </c>
      <c r="L16" s="7" t="s">
        <v>22</v>
      </c>
      <c r="M16" s="7" t="s">
        <v>148</v>
      </c>
      <c r="N16" s="7" t="s">
        <v>28</v>
      </c>
      <c r="O16" s="7" t="s">
        <v>26</v>
      </c>
      <c r="P16" s="10" t="s">
        <v>190</v>
      </c>
      <c r="Q16" s="7" t="s">
        <v>31</v>
      </c>
      <c r="R16" s="11" t="s">
        <v>35</v>
      </c>
      <c r="S16" s="12"/>
      <c r="T16" s="13">
        <v>91616161</v>
      </c>
      <c r="U16" s="7" t="s">
        <v>475</v>
      </c>
    </row>
    <row r="17" spans="1:21" s="16" customFormat="1" x14ac:dyDescent="0.25">
      <c r="A17" s="6">
        <v>45602</v>
      </c>
      <c r="B17" s="7" t="s">
        <v>20</v>
      </c>
      <c r="C17" s="7">
        <v>32746613</v>
      </c>
      <c r="D17" s="7" t="s">
        <v>51</v>
      </c>
      <c r="E17" s="8">
        <v>3116789659</v>
      </c>
      <c r="F17" s="8">
        <f t="shared" ca="1" si="0"/>
        <v>53</v>
      </c>
      <c r="G17" s="9">
        <v>26110</v>
      </c>
      <c r="H17" s="7" t="s">
        <v>191</v>
      </c>
      <c r="I17" s="7" t="s">
        <v>192</v>
      </c>
      <c r="J17" s="7" t="s">
        <v>193</v>
      </c>
      <c r="K17" s="7" t="s">
        <v>194</v>
      </c>
      <c r="L17" s="7" t="s">
        <v>22</v>
      </c>
      <c r="M17" s="7" t="s">
        <v>21</v>
      </c>
      <c r="N17" s="7" t="s">
        <v>28</v>
      </c>
      <c r="O17" s="7" t="s">
        <v>26</v>
      </c>
      <c r="P17" s="10" t="s">
        <v>195</v>
      </c>
      <c r="Q17" s="7" t="s">
        <v>33</v>
      </c>
      <c r="R17" s="11" t="s">
        <v>35</v>
      </c>
      <c r="S17" s="12"/>
      <c r="T17" s="13">
        <v>91622651</v>
      </c>
      <c r="U17" s="7" t="s">
        <v>603</v>
      </c>
    </row>
    <row r="18" spans="1:21" s="16" customFormat="1" x14ac:dyDescent="0.25">
      <c r="A18" s="6">
        <v>45602</v>
      </c>
      <c r="B18" s="7" t="s">
        <v>20</v>
      </c>
      <c r="C18" s="7">
        <v>1044421960</v>
      </c>
      <c r="D18" s="7" t="s">
        <v>52</v>
      </c>
      <c r="E18" s="8">
        <v>3012605939</v>
      </c>
      <c r="F18" s="8">
        <f t="shared" ca="1" si="0"/>
        <v>37</v>
      </c>
      <c r="G18" s="9">
        <v>31908</v>
      </c>
      <c r="H18" s="7" t="s">
        <v>196</v>
      </c>
      <c r="I18" s="7" t="s">
        <v>197</v>
      </c>
      <c r="J18" s="7" t="s">
        <v>198</v>
      </c>
      <c r="K18" s="7" t="s">
        <v>199</v>
      </c>
      <c r="L18" s="7" t="s">
        <v>22</v>
      </c>
      <c r="M18" s="7" t="s">
        <v>148</v>
      </c>
      <c r="N18" s="7" t="s">
        <v>28</v>
      </c>
      <c r="O18" s="7" t="s">
        <v>26</v>
      </c>
      <c r="P18" s="10" t="s">
        <v>156</v>
      </c>
      <c r="Q18" s="7" t="s">
        <v>31</v>
      </c>
      <c r="R18" s="11" t="s">
        <v>35</v>
      </c>
      <c r="S18" s="12"/>
      <c r="T18" s="13">
        <v>91684582</v>
      </c>
      <c r="U18" s="7" t="s">
        <v>477</v>
      </c>
    </row>
    <row r="19" spans="1:21" s="16" customFormat="1" x14ac:dyDescent="0.25">
      <c r="A19" s="6">
        <v>45603</v>
      </c>
      <c r="B19" s="7" t="s">
        <v>20</v>
      </c>
      <c r="C19" s="7">
        <v>2000018670</v>
      </c>
      <c r="D19" s="7" t="s">
        <v>53</v>
      </c>
      <c r="E19" s="8">
        <v>3046192407</v>
      </c>
      <c r="F19" s="8">
        <f t="shared" ca="1" si="0"/>
        <v>50</v>
      </c>
      <c r="G19" s="9">
        <v>27100</v>
      </c>
      <c r="H19" s="7" t="s">
        <v>200</v>
      </c>
      <c r="I19" s="7" t="s">
        <v>201</v>
      </c>
      <c r="J19" s="7" t="s">
        <v>202</v>
      </c>
      <c r="K19" s="7" t="s">
        <v>203</v>
      </c>
      <c r="L19" s="7" t="s">
        <v>22</v>
      </c>
      <c r="M19" s="7" t="s">
        <v>148</v>
      </c>
      <c r="N19" s="7" t="s">
        <v>28</v>
      </c>
      <c r="O19" s="7" t="s">
        <v>26</v>
      </c>
      <c r="P19" s="10" t="s">
        <v>204</v>
      </c>
      <c r="Q19" s="7" t="s">
        <v>31</v>
      </c>
      <c r="R19" s="11" t="s">
        <v>35</v>
      </c>
      <c r="S19" s="12"/>
      <c r="T19" s="13">
        <v>91704674</v>
      </c>
      <c r="U19" s="7" t="s">
        <v>478</v>
      </c>
    </row>
    <row r="20" spans="1:21" s="16" customFormat="1" x14ac:dyDescent="0.25">
      <c r="A20" s="6">
        <v>45603</v>
      </c>
      <c r="B20" s="7" t="s">
        <v>20</v>
      </c>
      <c r="C20" s="7">
        <v>1018498490</v>
      </c>
      <c r="D20" s="7" t="s">
        <v>54</v>
      </c>
      <c r="E20" s="8">
        <v>3132491968</v>
      </c>
      <c r="F20" s="8">
        <f t="shared" ca="1" si="0"/>
        <v>27</v>
      </c>
      <c r="G20" s="9">
        <v>35732</v>
      </c>
      <c r="H20" s="7" t="s">
        <v>205</v>
      </c>
      <c r="I20" s="7" t="s">
        <v>145</v>
      </c>
      <c r="J20" s="7" t="s">
        <v>206</v>
      </c>
      <c r="K20" s="7" t="s">
        <v>23</v>
      </c>
      <c r="L20" s="7" t="s">
        <v>22</v>
      </c>
      <c r="M20" s="7" t="s">
        <v>21</v>
      </c>
      <c r="N20" s="7" t="s">
        <v>28</v>
      </c>
      <c r="O20" s="7" t="s">
        <v>26</v>
      </c>
      <c r="P20" s="10" t="s">
        <v>207</v>
      </c>
      <c r="Q20" s="7" t="s">
        <v>31</v>
      </c>
      <c r="R20" s="11" t="s">
        <v>35</v>
      </c>
      <c r="S20" s="12"/>
      <c r="T20" s="13">
        <v>91687464</v>
      </c>
      <c r="U20" s="7" t="s">
        <v>479</v>
      </c>
    </row>
    <row r="21" spans="1:21" s="16" customFormat="1" x14ac:dyDescent="0.25">
      <c r="A21" s="6">
        <v>45603</v>
      </c>
      <c r="B21" s="7" t="s">
        <v>20</v>
      </c>
      <c r="C21" s="7">
        <v>1030628253</v>
      </c>
      <c r="D21" s="7" t="s">
        <v>55</v>
      </c>
      <c r="E21" s="8">
        <v>3138038639</v>
      </c>
      <c r="F21" s="8">
        <f t="shared" ca="1" si="0"/>
        <v>31</v>
      </c>
      <c r="G21" s="9">
        <v>34183</v>
      </c>
      <c r="H21" s="7" t="s">
        <v>208</v>
      </c>
      <c r="I21" s="7" t="s">
        <v>209</v>
      </c>
      <c r="J21" s="7" t="s">
        <v>210</v>
      </c>
      <c r="K21" s="7" t="s">
        <v>211</v>
      </c>
      <c r="L21" s="7" t="s">
        <v>22</v>
      </c>
      <c r="M21" s="7" t="s">
        <v>148</v>
      </c>
      <c r="N21" s="7" t="s">
        <v>212</v>
      </c>
      <c r="O21" s="7" t="s">
        <v>26</v>
      </c>
      <c r="P21" s="10" t="s">
        <v>156</v>
      </c>
      <c r="Q21" s="7" t="s">
        <v>31</v>
      </c>
      <c r="R21" s="11" t="s">
        <v>35</v>
      </c>
      <c r="S21" s="12"/>
      <c r="T21" s="13">
        <v>91691412</v>
      </c>
      <c r="U21" s="7" t="s">
        <v>480</v>
      </c>
    </row>
    <row r="22" spans="1:21" s="16" customFormat="1" x14ac:dyDescent="0.25">
      <c r="A22" s="6">
        <v>45604</v>
      </c>
      <c r="B22" s="7" t="s">
        <v>20</v>
      </c>
      <c r="C22" s="7">
        <v>53047976</v>
      </c>
      <c r="D22" s="7" t="s">
        <v>56</v>
      </c>
      <c r="E22" s="8">
        <v>3173930515</v>
      </c>
      <c r="F22" s="8">
        <f t="shared" ca="1" si="0"/>
        <v>40</v>
      </c>
      <c r="G22" s="9">
        <v>31040</v>
      </c>
      <c r="H22" s="7" t="s">
        <v>213</v>
      </c>
      <c r="I22" s="7" t="s">
        <v>214</v>
      </c>
      <c r="J22" s="7" t="s">
        <v>215</v>
      </c>
      <c r="K22" s="7" t="s">
        <v>155</v>
      </c>
      <c r="L22" s="7" t="s">
        <v>22</v>
      </c>
      <c r="M22" s="7" t="s">
        <v>21</v>
      </c>
      <c r="N22" s="7" t="s">
        <v>212</v>
      </c>
      <c r="O22" s="7" t="s">
        <v>26</v>
      </c>
      <c r="P22" s="10" t="s">
        <v>143</v>
      </c>
      <c r="Q22" s="7" t="s">
        <v>33</v>
      </c>
      <c r="R22" s="11" t="s">
        <v>36</v>
      </c>
      <c r="S22" s="12"/>
      <c r="T22" s="13">
        <v>91499820</v>
      </c>
      <c r="U22" s="7" t="s">
        <v>610</v>
      </c>
    </row>
    <row r="23" spans="1:21" s="16" customFormat="1" x14ac:dyDescent="0.25">
      <c r="A23" s="6">
        <v>45604</v>
      </c>
      <c r="B23" s="7" t="s">
        <v>20</v>
      </c>
      <c r="C23" s="7">
        <v>1070949381</v>
      </c>
      <c r="D23" s="7" t="s">
        <v>57</v>
      </c>
      <c r="E23" s="8">
        <v>3142713065</v>
      </c>
      <c r="F23" s="8">
        <f t="shared" ca="1" si="0"/>
        <v>36</v>
      </c>
      <c r="G23" s="9">
        <v>32180</v>
      </c>
      <c r="H23" s="7" t="s">
        <v>216</v>
      </c>
      <c r="I23" s="7" t="s">
        <v>217</v>
      </c>
      <c r="J23" s="7" t="s">
        <v>218</v>
      </c>
      <c r="K23" s="7" t="s">
        <v>169</v>
      </c>
      <c r="L23" s="7" t="s">
        <v>22</v>
      </c>
      <c r="M23" s="7" t="s">
        <v>148</v>
      </c>
      <c r="N23" s="7" t="s">
        <v>27</v>
      </c>
      <c r="O23" s="7" t="s">
        <v>26</v>
      </c>
      <c r="P23" s="10" t="s">
        <v>219</v>
      </c>
      <c r="Q23" s="7" t="s">
        <v>31</v>
      </c>
      <c r="R23" s="11" t="s">
        <v>36</v>
      </c>
      <c r="S23" s="12"/>
      <c r="T23" s="13">
        <v>91656363</v>
      </c>
      <c r="U23" s="7" t="s">
        <v>481</v>
      </c>
    </row>
    <row r="24" spans="1:21" s="16" customFormat="1" x14ac:dyDescent="0.25">
      <c r="A24" s="6">
        <v>45604</v>
      </c>
      <c r="B24" s="7" t="s">
        <v>20</v>
      </c>
      <c r="C24" s="7">
        <v>13990192</v>
      </c>
      <c r="D24" s="7" t="s">
        <v>58</v>
      </c>
      <c r="E24" s="8">
        <v>3006013666</v>
      </c>
      <c r="F24" s="8">
        <f t="shared" ca="1" si="0"/>
        <v>54</v>
      </c>
      <c r="G24" s="9">
        <v>25931</v>
      </c>
      <c r="H24" s="7" t="s">
        <v>220</v>
      </c>
      <c r="I24" s="7" t="s">
        <v>171</v>
      </c>
      <c r="J24" s="7" t="s">
        <v>202</v>
      </c>
      <c r="K24" s="7" t="s">
        <v>221</v>
      </c>
      <c r="L24" s="7" t="s">
        <v>22</v>
      </c>
      <c r="M24" s="7" t="s">
        <v>23</v>
      </c>
      <c r="N24" s="7" t="s">
        <v>222</v>
      </c>
      <c r="O24" s="7" t="s">
        <v>26</v>
      </c>
      <c r="P24" s="10" t="s">
        <v>223</v>
      </c>
      <c r="Q24" s="7" t="s">
        <v>31</v>
      </c>
      <c r="R24" s="11" t="s">
        <v>36</v>
      </c>
      <c r="S24" s="12"/>
      <c r="T24" s="13">
        <v>91611891</v>
      </c>
      <c r="U24" s="7" t="s">
        <v>482</v>
      </c>
    </row>
    <row r="25" spans="1:21" s="16" customFormat="1" x14ac:dyDescent="0.25">
      <c r="A25" s="6">
        <v>45604</v>
      </c>
      <c r="B25" s="7" t="s">
        <v>20</v>
      </c>
      <c r="C25" s="7">
        <v>1032488100</v>
      </c>
      <c r="D25" s="7" t="s">
        <v>59</v>
      </c>
      <c r="E25" s="8">
        <v>3023221098</v>
      </c>
      <c r="F25" s="8">
        <f t="shared" ca="1" si="0"/>
        <v>28</v>
      </c>
      <c r="G25" s="9">
        <v>35429</v>
      </c>
      <c r="H25" s="7" t="s">
        <v>224</v>
      </c>
      <c r="I25" s="7" t="s">
        <v>225</v>
      </c>
      <c r="J25" s="7" t="s">
        <v>226</v>
      </c>
      <c r="K25" s="7" t="s">
        <v>227</v>
      </c>
      <c r="L25" s="7" t="s">
        <v>22</v>
      </c>
      <c r="M25" s="7" t="s">
        <v>148</v>
      </c>
      <c r="N25" s="7" t="s">
        <v>222</v>
      </c>
      <c r="O25" s="7" t="s">
        <v>26</v>
      </c>
      <c r="P25" s="10" t="s">
        <v>228</v>
      </c>
      <c r="Q25" s="7" t="s">
        <v>31</v>
      </c>
      <c r="R25" s="11" t="s">
        <v>36</v>
      </c>
      <c r="S25" s="12"/>
      <c r="T25" s="13">
        <v>91615306</v>
      </c>
      <c r="U25" s="7" t="s">
        <v>483</v>
      </c>
    </row>
    <row r="26" spans="1:21" s="16" customFormat="1" x14ac:dyDescent="0.25">
      <c r="A26" s="6">
        <v>45605</v>
      </c>
      <c r="B26" s="7" t="s">
        <v>20</v>
      </c>
      <c r="C26" s="7">
        <v>1072660592</v>
      </c>
      <c r="D26" s="7" t="s">
        <v>60</v>
      </c>
      <c r="E26" s="8">
        <v>3015764631</v>
      </c>
      <c r="F26" s="8">
        <f t="shared" ca="1" si="0"/>
        <v>15</v>
      </c>
      <c r="G26" s="9">
        <v>39950</v>
      </c>
      <c r="H26" s="7" t="s">
        <v>229</v>
      </c>
      <c r="I26" s="7" t="s">
        <v>230</v>
      </c>
      <c r="J26" s="7" t="s">
        <v>231</v>
      </c>
      <c r="K26" s="7" t="s">
        <v>232</v>
      </c>
      <c r="L26" s="7" t="s">
        <v>22</v>
      </c>
      <c r="M26" s="7" t="s">
        <v>148</v>
      </c>
      <c r="N26" s="7" t="s">
        <v>28</v>
      </c>
      <c r="O26" s="7" t="s">
        <v>26</v>
      </c>
      <c r="P26" s="10" t="s">
        <v>170</v>
      </c>
      <c r="Q26" s="7" t="s">
        <v>33</v>
      </c>
      <c r="R26" s="11" t="s">
        <v>36</v>
      </c>
      <c r="S26" s="12"/>
      <c r="T26" s="13">
        <v>91756990</v>
      </c>
      <c r="U26" s="7" t="s">
        <v>484</v>
      </c>
    </row>
    <row r="27" spans="1:21" s="16" customFormat="1" x14ac:dyDescent="0.25">
      <c r="A27" s="6">
        <v>45605</v>
      </c>
      <c r="B27" s="7" t="s">
        <v>20</v>
      </c>
      <c r="C27" s="7">
        <v>1072640284</v>
      </c>
      <c r="D27" s="7" t="s">
        <v>60</v>
      </c>
      <c r="E27" s="8">
        <v>3015764631</v>
      </c>
      <c r="F27" s="8">
        <f t="shared" ca="1" si="0"/>
        <v>38</v>
      </c>
      <c r="G27" s="9">
        <v>31534</v>
      </c>
      <c r="H27" s="7" t="s">
        <v>230</v>
      </c>
      <c r="I27" s="7" t="s">
        <v>233</v>
      </c>
      <c r="J27" s="7" t="s">
        <v>234</v>
      </c>
      <c r="K27" s="7" t="s">
        <v>235</v>
      </c>
      <c r="L27" s="7" t="s">
        <v>22</v>
      </c>
      <c r="M27" s="7" t="s">
        <v>21</v>
      </c>
      <c r="N27" s="7" t="s">
        <v>28</v>
      </c>
      <c r="O27" s="7" t="s">
        <v>26</v>
      </c>
      <c r="P27" s="10" t="s">
        <v>170</v>
      </c>
      <c r="Q27" s="7" t="s">
        <v>33</v>
      </c>
      <c r="R27" s="11" t="s">
        <v>36</v>
      </c>
      <c r="S27" s="12"/>
      <c r="T27" s="13">
        <v>91761647</v>
      </c>
      <c r="U27" s="7" t="s">
        <v>485</v>
      </c>
    </row>
    <row r="28" spans="1:21" s="16" customFormat="1" x14ac:dyDescent="0.25">
      <c r="A28" s="6">
        <v>45605</v>
      </c>
      <c r="B28" s="7" t="s">
        <v>20</v>
      </c>
      <c r="C28" s="7">
        <v>1024578910</v>
      </c>
      <c r="D28" s="7" t="s">
        <v>61</v>
      </c>
      <c r="E28" s="8">
        <v>3102854574</v>
      </c>
      <c r="F28" s="8">
        <f t="shared" ca="1" si="0"/>
        <v>27</v>
      </c>
      <c r="G28" s="9">
        <v>35495</v>
      </c>
      <c r="H28" s="7" t="s">
        <v>236</v>
      </c>
      <c r="I28" s="7" t="s">
        <v>237</v>
      </c>
      <c r="J28" s="7" t="s">
        <v>238</v>
      </c>
      <c r="K28" s="7" t="s">
        <v>239</v>
      </c>
      <c r="L28" s="7" t="s">
        <v>22</v>
      </c>
      <c r="M28" s="7" t="s">
        <v>21</v>
      </c>
      <c r="N28" s="7" t="s">
        <v>28</v>
      </c>
      <c r="O28" s="7" t="s">
        <v>26</v>
      </c>
      <c r="P28" s="10" t="s">
        <v>240</v>
      </c>
      <c r="Q28" s="7" t="s">
        <v>31</v>
      </c>
      <c r="R28" s="11" t="s">
        <v>36</v>
      </c>
      <c r="S28" s="12"/>
      <c r="T28" s="13">
        <v>91664872</v>
      </c>
      <c r="U28" s="7" t="s">
        <v>486</v>
      </c>
    </row>
    <row r="29" spans="1:21" s="16" customFormat="1" x14ac:dyDescent="0.25">
      <c r="A29" s="6">
        <v>45605</v>
      </c>
      <c r="B29" s="7" t="s">
        <v>20</v>
      </c>
      <c r="C29" s="7">
        <v>53911532</v>
      </c>
      <c r="D29" s="7" t="s">
        <v>38</v>
      </c>
      <c r="E29" s="8">
        <v>3108805102</v>
      </c>
      <c r="F29" s="8">
        <f t="shared" ca="1" si="0"/>
        <v>39</v>
      </c>
      <c r="G29" s="9">
        <v>31234</v>
      </c>
      <c r="H29" s="7" t="s">
        <v>135</v>
      </c>
      <c r="I29" s="7" t="s">
        <v>136</v>
      </c>
      <c r="J29" s="7" t="s">
        <v>34</v>
      </c>
      <c r="K29" s="7" t="s">
        <v>137</v>
      </c>
      <c r="L29" s="7" t="s">
        <v>22</v>
      </c>
      <c r="M29" s="7" t="s">
        <v>21</v>
      </c>
      <c r="N29" s="7" t="s">
        <v>28</v>
      </c>
      <c r="O29" s="7" t="s">
        <v>26</v>
      </c>
      <c r="P29" s="10" t="s">
        <v>241</v>
      </c>
      <c r="Q29" s="7" t="s">
        <v>33</v>
      </c>
      <c r="R29" s="11" t="s">
        <v>36</v>
      </c>
      <c r="S29" s="12"/>
      <c r="T29" s="13">
        <v>91764800</v>
      </c>
      <c r="U29" s="7" t="s">
        <v>487</v>
      </c>
    </row>
    <row r="30" spans="1:21" s="16" customFormat="1" x14ac:dyDescent="0.25">
      <c r="A30" s="6">
        <v>45605</v>
      </c>
      <c r="B30" s="7" t="s">
        <v>20</v>
      </c>
      <c r="C30" s="7">
        <v>1020408318</v>
      </c>
      <c r="D30" s="7" t="s">
        <v>62</v>
      </c>
      <c r="E30" s="8">
        <v>3124605406</v>
      </c>
      <c r="F30" s="8">
        <f t="shared" ca="1" si="0"/>
        <v>37</v>
      </c>
      <c r="G30" s="9">
        <v>31998</v>
      </c>
      <c r="H30" s="7" t="s">
        <v>242</v>
      </c>
      <c r="I30" s="7" t="s">
        <v>243</v>
      </c>
      <c r="J30" s="7" t="s">
        <v>244</v>
      </c>
      <c r="K30" s="7" t="s">
        <v>245</v>
      </c>
      <c r="L30" s="7" t="s">
        <v>22</v>
      </c>
      <c r="M30" s="7" t="s">
        <v>21</v>
      </c>
      <c r="N30" s="7" t="s">
        <v>28</v>
      </c>
      <c r="O30" s="7" t="s">
        <v>26</v>
      </c>
      <c r="P30" s="10" t="s">
        <v>134</v>
      </c>
      <c r="Q30" s="7" t="s">
        <v>33</v>
      </c>
      <c r="R30" s="11" t="s">
        <v>36</v>
      </c>
      <c r="S30" s="12"/>
      <c r="T30" s="13">
        <v>91590650</v>
      </c>
      <c r="U30" s="7" t="s">
        <v>488</v>
      </c>
    </row>
    <row r="31" spans="1:21" s="16" customFormat="1" x14ac:dyDescent="0.25">
      <c r="A31" s="6">
        <v>45605</v>
      </c>
      <c r="B31" s="7" t="s">
        <v>20</v>
      </c>
      <c r="C31" s="7">
        <v>52726890</v>
      </c>
      <c r="D31" s="7" t="s">
        <v>63</v>
      </c>
      <c r="E31" s="8">
        <v>3235851994</v>
      </c>
      <c r="F31" s="8">
        <f t="shared" ca="1" si="0"/>
        <v>43</v>
      </c>
      <c r="G31" s="9">
        <v>29774</v>
      </c>
      <c r="H31" s="7" t="s">
        <v>152</v>
      </c>
      <c r="I31" s="7" t="s">
        <v>246</v>
      </c>
      <c r="J31" s="7" t="s">
        <v>247</v>
      </c>
      <c r="K31" s="7" t="s">
        <v>248</v>
      </c>
      <c r="L31" s="7" t="s">
        <v>22</v>
      </c>
      <c r="M31" s="7" t="s">
        <v>21</v>
      </c>
      <c r="N31" s="7" t="s">
        <v>249</v>
      </c>
      <c r="O31" s="7" t="s">
        <v>26</v>
      </c>
      <c r="P31" s="10" t="s">
        <v>138</v>
      </c>
      <c r="Q31" s="7" t="s">
        <v>31</v>
      </c>
      <c r="R31" s="11" t="s">
        <v>36</v>
      </c>
      <c r="S31" s="12"/>
      <c r="T31" s="13">
        <v>91701267</v>
      </c>
      <c r="U31" s="7" t="s">
        <v>489</v>
      </c>
    </row>
    <row r="32" spans="1:21" s="16" customFormat="1" x14ac:dyDescent="0.25">
      <c r="A32" s="6">
        <v>45608</v>
      </c>
      <c r="B32" s="7" t="s">
        <v>20</v>
      </c>
      <c r="C32" s="7">
        <v>52900895</v>
      </c>
      <c r="D32" s="7" t="s">
        <v>64</v>
      </c>
      <c r="E32" s="8">
        <v>3204528414</v>
      </c>
      <c r="F32" s="8">
        <f t="shared" ca="1" si="0"/>
        <v>42</v>
      </c>
      <c r="G32" s="9">
        <v>29969</v>
      </c>
      <c r="H32" s="7" t="s">
        <v>250</v>
      </c>
      <c r="I32" s="7" t="s">
        <v>196</v>
      </c>
      <c r="J32" s="7" t="s">
        <v>251</v>
      </c>
      <c r="K32" s="7"/>
      <c r="L32" s="7" t="s">
        <v>22</v>
      </c>
      <c r="M32" s="7" t="s">
        <v>21</v>
      </c>
      <c r="N32" s="7" t="s">
        <v>28</v>
      </c>
      <c r="O32" s="7" t="s">
        <v>26</v>
      </c>
      <c r="P32" s="10" t="s">
        <v>252</v>
      </c>
      <c r="Q32" s="7" t="s">
        <v>31</v>
      </c>
      <c r="R32" s="11" t="s">
        <v>35</v>
      </c>
      <c r="S32" s="12"/>
      <c r="T32" s="13">
        <v>91787883</v>
      </c>
      <c r="U32" s="7" t="s">
        <v>490</v>
      </c>
    </row>
    <row r="33" spans="1:21" s="16" customFormat="1" x14ac:dyDescent="0.25">
      <c r="A33" s="6">
        <v>45608</v>
      </c>
      <c r="B33" s="7" t="s">
        <v>20</v>
      </c>
      <c r="C33" s="7">
        <v>51721404</v>
      </c>
      <c r="D33" s="7" t="s">
        <v>65</v>
      </c>
      <c r="E33" s="8">
        <v>3124969750</v>
      </c>
      <c r="F33" s="8">
        <f t="shared" ca="1" si="0"/>
        <v>60</v>
      </c>
      <c r="G33" s="9">
        <v>23543</v>
      </c>
      <c r="H33" s="7" t="s">
        <v>253</v>
      </c>
      <c r="I33" s="7" t="s">
        <v>254</v>
      </c>
      <c r="J33" s="7" t="s">
        <v>255</v>
      </c>
      <c r="K33" s="7" t="s">
        <v>23</v>
      </c>
      <c r="L33" s="7" t="s">
        <v>22</v>
      </c>
      <c r="M33" s="7" t="s">
        <v>21</v>
      </c>
      <c r="N33" s="7" t="s">
        <v>256</v>
      </c>
      <c r="O33" s="7" t="s">
        <v>26</v>
      </c>
      <c r="P33" s="10" t="s">
        <v>223</v>
      </c>
      <c r="Q33" s="7" t="s">
        <v>31</v>
      </c>
      <c r="R33" s="11" t="s">
        <v>35</v>
      </c>
      <c r="S33" s="12"/>
      <c r="T33" s="13">
        <v>91770066</v>
      </c>
      <c r="U33" s="7" t="s">
        <v>491</v>
      </c>
    </row>
    <row r="34" spans="1:21" s="16" customFormat="1" x14ac:dyDescent="0.25">
      <c r="A34" s="6">
        <v>45608</v>
      </c>
      <c r="B34" s="7" t="s">
        <v>20</v>
      </c>
      <c r="C34" s="7">
        <v>1013653627</v>
      </c>
      <c r="D34" s="7" t="s">
        <v>66</v>
      </c>
      <c r="E34" s="8">
        <v>3124040259</v>
      </c>
      <c r="F34" s="8">
        <f t="shared" ref="F34:F65" ca="1" si="1">YEAR(NOW())-YEAR(G34)</f>
        <v>30</v>
      </c>
      <c r="G34" s="9">
        <v>34633</v>
      </c>
      <c r="H34" s="7" t="s">
        <v>257</v>
      </c>
      <c r="I34" s="7" t="s">
        <v>258</v>
      </c>
      <c r="J34" s="7" t="s">
        <v>259</v>
      </c>
      <c r="K34" s="7" t="s">
        <v>193</v>
      </c>
      <c r="L34" s="7" t="s">
        <v>22</v>
      </c>
      <c r="M34" s="7" t="s">
        <v>21</v>
      </c>
      <c r="N34" s="7" t="s">
        <v>27</v>
      </c>
      <c r="O34" s="7" t="s">
        <v>26</v>
      </c>
      <c r="P34" s="10" t="s">
        <v>143</v>
      </c>
      <c r="Q34" s="7" t="s">
        <v>31</v>
      </c>
      <c r="R34" s="11" t="s">
        <v>464</v>
      </c>
      <c r="S34" s="12"/>
      <c r="T34" s="13">
        <v>91732018</v>
      </c>
      <c r="U34" s="7" t="s">
        <v>492</v>
      </c>
    </row>
    <row r="35" spans="1:21" s="16" customFormat="1" x14ac:dyDescent="0.25">
      <c r="A35" s="6">
        <v>45608</v>
      </c>
      <c r="B35" s="7" t="s">
        <v>20</v>
      </c>
      <c r="C35" s="7">
        <v>79792838</v>
      </c>
      <c r="D35" s="7" t="s">
        <v>48</v>
      </c>
      <c r="E35" s="8">
        <v>3118781380</v>
      </c>
      <c r="F35" s="8">
        <f t="shared" ca="1" si="1"/>
        <v>47</v>
      </c>
      <c r="G35" s="9">
        <v>28369</v>
      </c>
      <c r="H35" s="7" t="s">
        <v>179</v>
      </c>
      <c r="I35" s="7" t="s">
        <v>180</v>
      </c>
      <c r="J35" s="7" t="s">
        <v>181</v>
      </c>
      <c r="K35" s="7" t="s">
        <v>182</v>
      </c>
      <c r="L35" s="7" t="s">
        <v>22</v>
      </c>
      <c r="M35" s="7" t="s">
        <v>148</v>
      </c>
      <c r="N35" s="7" t="s">
        <v>183</v>
      </c>
      <c r="O35" s="7" t="s">
        <v>26</v>
      </c>
      <c r="P35" s="10" t="s">
        <v>30</v>
      </c>
      <c r="Q35" s="7" t="s">
        <v>33</v>
      </c>
      <c r="R35" s="11" t="s">
        <v>35</v>
      </c>
      <c r="S35" s="12"/>
      <c r="T35" s="13">
        <v>91802826</v>
      </c>
      <c r="U35" s="7" t="s">
        <v>566</v>
      </c>
    </row>
    <row r="36" spans="1:21" s="16" customFormat="1" x14ac:dyDescent="0.25">
      <c r="A36" s="6">
        <v>45609</v>
      </c>
      <c r="B36" s="7" t="s">
        <v>20</v>
      </c>
      <c r="C36" s="7">
        <v>1013620515</v>
      </c>
      <c r="D36" s="7" t="s">
        <v>68</v>
      </c>
      <c r="E36" s="8">
        <v>3102212687</v>
      </c>
      <c r="F36" s="8">
        <f t="shared" ca="1" si="1"/>
        <v>34</v>
      </c>
      <c r="G36" s="9">
        <v>33047</v>
      </c>
      <c r="H36" s="7" t="s">
        <v>263</v>
      </c>
      <c r="I36" s="7" t="s">
        <v>264</v>
      </c>
      <c r="J36" s="7" t="s">
        <v>265</v>
      </c>
      <c r="K36" s="7" t="s">
        <v>266</v>
      </c>
      <c r="L36" s="7" t="s">
        <v>22</v>
      </c>
      <c r="M36" s="7" t="s">
        <v>21</v>
      </c>
      <c r="N36" s="7" t="s">
        <v>28</v>
      </c>
      <c r="O36" s="7" t="s">
        <v>26</v>
      </c>
      <c r="P36" s="10" t="s">
        <v>267</v>
      </c>
      <c r="Q36" s="7" t="s">
        <v>31</v>
      </c>
      <c r="R36" s="11" t="s">
        <v>35</v>
      </c>
      <c r="S36" s="12"/>
      <c r="T36" s="13">
        <v>91670482</v>
      </c>
      <c r="U36" s="7" t="s">
        <v>494</v>
      </c>
    </row>
    <row r="37" spans="1:21" s="16" customFormat="1" x14ac:dyDescent="0.25">
      <c r="A37" s="6">
        <v>45609</v>
      </c>
      <c r="B37" s="7" t="s">
        <v>20</v>
      </c>
      <c r="C37" s="7">
        <v>63500225</v>
      </c>
      <c r="D37" s="7" t="s">
        <v>69</v>
      </c>
      <c r="E37" s="8">
        <v>3133163873</v>
      </c>
      <c r="F37" s="8">
        <f t="shared" ca="1" si="1"/>
        <v>50</v>
      </c>
      <c r="G37" s="9">
        <v>27183</v>
      </c>
      <c r="H37" s="7" t="s">
        <v>233</v>
      </c>
      <c r="I37" s="7" t="s">
        <v>268</v>
      </c>
      <c r="J37" s="7" t="s">
        <v>269</v>
      </c>
      <c r="K37" s="7" t="s">
        <v>193</v>
      </c>
      <c r="L37" s="7" t="s">
        <v>22</v>
      </c>
      <c r="M37" s="7" t="s">
        <v>21</v>
      </c>
      <c r="N37" s="7" t="s">
        <v>28</v>
      </c>
      <c r="O37" s="7" t="s">
        <v>26</v>
      </c>
      <c r="P37" s="10" t="s">
        <v>270</v>
      </c>
      <c r="Q37" s="7" t="s">
        <v>31</v>
      </c>
      <c r="R37" s="11" t="s">
        <v>35</v>
      </c>
      <c r="S37" s="12"/>
      <c r="T37" s="13">
        <v>91690012</v>
      </c>
      <c r="U37" s="7" t="s">
        <v>495</v>
      </c>
    </row>
    <row r="38" spans="1:21" s="16" customFormat="1" x14ac:dyDescent="0.25">
      <c r="A38" s="6">
        <v>45609</v>
      </c>
      <c r="B38" s="7" t="s">
        <v>20</v>
      </c>
      <c r="C38" s="7">
        <v>1088318345</v>
      </c>
      <c r="D38" s="7" t="s">
        <v>70</v>
      </c>
      <c r="E38" s="8">
        <v>3162782590</v>
      </c>
      <c r="F38" s="8">
        <f t="shared" ca="1" si="1"/>
        <v>30</v>
      </c>
      <c r="G38" s="9">
        <v>34501</v>
      </c>
      <c r="H38" s="7" t="s">
        <v>271</v>
      </c>
      <c r="I38" s="7" t="s">
        <v>272</v>
      </c>
      <c r="J38" s="7" t="s">
        <v>273</v>
      </c>
      <c r="K38" s="7" t="s">
        <v>274</v>
      </c>
      <c r="L38" s="7" t="s">
        <v>22</v>
      </c>
      <c r="M38" s="7" t="s">
        <v>21</v>
      </c>
      <c r="N38" s="7" t="s">
        <v>28</v>
      </c>
      <c r="O38" s="7" t="s">
        <v>26</v>
      </c>
      <c r="P38" s="10" t="s">
        <v>223</v>
      </c>
      <c r="Q38" s="7" t="s">
        <v>31</v>
      </c>
      <c r="R38" s="11" t="s">
        <v>35</v>
      </c>
      <c r="S38" s="12"/>
      <c r="T38" s="13">
        <v>91798756</v>
      </c>
      <c r="U38" s="7" t="s">
        <v>496</v>
      </c>
    </row>
    <row r="39" spans="1:21" s="16" customFormat="1" x14ac:dyDescent="0.25">
      <c r="A39" s="6">
        <v>45609</v>
      </c>
      <c r="B39" s="7" t="s">
        <v>71</v>
      </c>
      <c r="C39" s="7">
        <v>1010764614</v>
      </c>
      <c r="D39" s="7" t="s">
        <v>72</v>
      </c>
      <c r="E39" s="8">
        <v>3132159825</v>
      </c>
      <c r="F39" s="8">
        <f t="shared" ca="1" si="1"/>
        <v>2</v>
      </c>
      <c r="G39" s="9">
        <v>44579</v>
      </c>
      <c r="H39" s="7" t="s">
        <v>275</v>
      </c>
      <c r="I39" s="7" t="s">
        <v>233</v>
      </c>
      <c r="J39" s="7" t="s">
        <v>276</v>
      </c>
      <c r="K39" s="7" t="s">
        <v>23</v>
      </c>
      <c r="L39" s="7" t="s">
        <v>22</v>
      </c>
      <c r="M39" s="7" t="s">
        <v>21</v>
      </c>
      <c r="N39" s="7" t="s">
        <v>161</v>
      </c>
      <c r="O39" s="7" t="s">
        <v>26</v>
      </c>
      <c r="P39" s="10" t="s">
        <v>277</v>
      </c>
      <c r="Q39" s="7" t="s">
        <v>31</v>
      </c>
      <c r="R39" s="11" t="s">
        <v>35</v>
      </c>
      <c r="S39" s="12"/>
      <c r="T39" s="13">
        <v>91803696</v>
      </c>
      <c r="U39" s="7" t="s">
        <v>497</v>
      </c>
    </row>
    <row r="40" spans="1:21" s="16" customFormat="1" x14ac:dyDescent="0.25">
      <c r="A40" s="6">
        <v>45609</v>
      </c>
      <c r="B40" s="7" t="s">
        <v>20</v>
      </c>
      <c r="C40" s="7">
        <v>1012442739</v>
      </c>
      <c r="D40" s="7" t="s">
        <v>73</v>
      </c>
      <c r="E40" s="8">
        <v>3143374319</v>
      </c>
      <c r="F40" s="8">
        <f t="shared" ca="1" si="1"/>
        <v>27</v>
      </c>
      <c r="G40" s="9">
        <v>35549</v>
      </c>
      <c r="H40" s="7" t="s">
        <v>278</v>
      </c>
      <c r="I40" s="7" t="s">
        <v>279</v>
      </c>
      <c r="J40" s="7" t="s">
        <v>34</v>
      </c>
      <c r="K40" s="7" t="s">
        <v>177</v>
      </c>
      <c r="L40" s="7" t="s">
        <v>22</v>
      </c>
      <c r="M40" s="7" t="s">
        <v>21</v>
      </c>
      <c r="N40" s="7" t="s">
        <v>222</v>
      </c>
      <c r="O40" s="7" t="s">
        <v>26</v>
      </c>
      <c r="P40" s="10" t="s">
        <v>134</v>
      </c>
      <c r="Q40" s="7" t="s">
        <v>31</v>
      </c>
      <c r="R40" s="11" t="s">
        <v>35</v>
      </c>
      <c r="S40" s="12"/>
      <c r="T40" s="13">
        <v>91829589</v>
      </c>
      <c r="U40" s="7" t="s">
        <v>498</v>
      </c>
    </row>
    <row r="41" spans="1:21" s="16" customFormat="1" x14ac:dyDescent="0.25">
      <c r="A41" s="6">
        <v>45610</v>
      </c>
      <c r="B41" s="7" t="s">
        <v>40</v>
      </c>
      <c r="C41" s="7">
        <v>1022985218</v>
      </c>
      <c r="D41" s="7" t="s">
        <v>74</v>
      </c>
      <c r="E41" s="8">
        <v>3133036160</v>
      </c>
      <c r="F41" s="8">
        <f t="shared" ca="1" si="1"/>
        <v>13</v>
      </c>
      <c r="G41" s="9">
        <v>40635</v>
      </c>
      <c r="H41" s="7" t="s">
        <v>280</v>
      </c>
      <c r="I41" s="7" t="s">
        <v>281</v>
      </c>
      <c r="J41" s="7" t="s">
        <v>177</v>
      </c>
      <c r="K41" s="7" t="s">
        <v>282</v>
      </c>
      <c r="L41" s="7" t="s">
        <v>22</v>
      </c>
      <c r="M41" s="7" t="s">
        <v>21</v>
      </c>
      <c r="N41" s="7" t="s">
        <v>283</v>
      </c>
      <c r="O41" s="7" t="s">
        <v>26</v>
      </c>
      <c r="P41" s="10" t="s">
        <v>170</v>
      </c>
      <c r="Q41" s="7" t="s">
        <v>31</v>
      </c>
      <c r="R41" s="11" t="s">
        <v>35</v>
      </c>
      <c r="S41" s="12"/>
      <c r="T41" s="13">
        <v>91670395</v>
      </c>
      <c r="U41" s="7" t="s">
        <v>499</v>
      </c>
    </row>
    <row r="42" spans="1:21" s="16" customFormat="1" x14ac:dyDescent="0.25">
      <c r="A42" s="6">
        <v>45610</v>
      </c>
      <c r="B42" s="7" t="s">
        <v>20</v>
      </c>
      <c r="C42" s="7">
        <v>1094939340</v>
      </c>
      <c r="D42" s="7" t="s">
        <v>75</v>
      </c>
      <c r="E42" s="8">
        <v>3106362371</v>
      </c>
      <c r="F42" s="8">
        <f t="shared" ca="1" si="1"/>
        <v>31</v>
      </c>
      <c r="G42" s="9">
        <v>34316</v>
      </c>
      <c r="H42" s="7" t="s">
        <v>284</v>
      </c>
      <c r="I42" s="7" t="s">
        <v>285</v>
      </c>
      <c r="J42" s="7" t="s">
        <v>286</v>
      </c>
      <c r="K42" s="7" t="s">
        <v>287</v>
      </c>
      <c r="L42" s="7" t="s">
        <v>22</v>
      </c>
      <c r="M42" s="7" t="s">
        <v>21</v>
      </c>
      <c r="N42" s="7" t="s">
        <v>288</v>
      </c>
      <c r="O42" s="7" t="s">
        <v>26</v>
      </c>
      <c r="P42" s="10" t="s">
        <v>289</v>
      </c>
      <c r="Q42" s="7" t="s">
        <v>31</v>
      </c>
      <c r="R42" s="11" t="s">
        <v>35</v>
      </c>
      <c r="S42" s="12"/>
      <c r="T42" s="13">
        <v>91809917</v>
      </c>
      <c r="U42" s="7" t="s">
        <v>500</v>
      </c>
    </row>
    <row r="43" spans="1:21" s="16" customFormat="1" x14ac:dyDescent="0.25">
      <c r="A43" s="6">
        <v>45610</v>
      </c>
      <c r="B43" s="7" t="s">
        <v>71</v>
      </c>
      <c r="C43" s="7">
        <v>1016837676</v>
      </c>
      <c r="D43" s="7" t="s">
        <v>75</v>
      </c>
      <c r="E43" s="8">
        <v>3106362371</v>
      </c>
      <c r="F43" s="8">
        <f t="shared" ca="1" si="1"/>
        <v>1</v>
      </c>
      <c r="G43" s="9">
        <v>44940</v>
      </c>
      <c r="H43" s="7" t="s">
        <v>290</v>
      </c>
      <c r="I43" s="7" t="s">
        <v>284</v>
      </c>
      <c r="J43" s="7" t="s">
        <v>177</v>
      </c>
      <c r="K43" s="7" t="s">
        <v>291</v>
      </c>
      <c r="L43" s="7" t="s">
        <v>22</v>
      </c>
      <c r="M43" s="7" t="s">
        <v>21</v>
      </c>
      <c r="N43" s="7" t="s">
        <v>288</v>
      </c>
      <c r="O43" s="7" t="s">
        <v>26</v>
      </c>
      <c r="P43" s="10" t="s">
        <v>277</v>
      </c>
      <c r="Q43" s="7" t="s">
        <v>31</v>
      </c>
      <c r="R43" s="11" t="s">
        <v>35</v>
      </c>
      <c r="S43" s="12"/>
      <c r="T43" s="13">
        <v>91805567</v>
      </c>
      <c r="U43" s="7" t="s">
        <v>501</v>
      </c>
    </row>
    <row r="44" spans="1:21" s="16" customFormat="1" x14ac:dyDescent="0.25">
      <c r="A44" s="6">
        <v>45610</v>
      </c>
      <c r="B44" s="7" t="s">
        <v>20</v>
      </c>
      <c r="C44" s="7">
        <v>51893931</v>
      </c>
      <c r="D44" s="7" t="s">
        <v>76</v>
      </c>
      <c r="E44" s="8">
        <v>3107780916</v>
      </c>
      <c r="F44" s="8">
        <f t="shared" ca="1" si="1"/>
        <v>56</v>
      </c>
      <c r="G44" s="9">
        <v>24879</v>
      </c>
      <c r="H44" s="7" t="s">
        <v>292</v>
      </c>
      <c r="I44" s="7" t="s">
        <v>293</v>
      </c>
      <c r="J44" s="7" t="s">
        <v>177</v>
      </c>
      <c r="K44" s="7" t="s">
        <v>294</v>
      </c>
      <c r="L44" s="7" t="s">
        <v>22</v>
      </c>
      <c r="M44" s="7" t="s">
        <v>21</v>
      </c>
      <c r="N44" s="7" t="s">
        <v>288</v>
      </c>
      <c r="O44" s="7" t="s">
        <v>26</v>
      </c>
      <c r="P44" s="10" t="s">
        <v>295</v>
      </c>
      <c r="Q44" s="7" t="s">
        <v>31</v>
      </c>
      <c r="R44" s="11" t="s">
        <v>35</v>
      </c>
      <c r="S44" s="12"/>
      <c r="T44" s="13">
        <v>91825791</v>
      </c>
      <c r="U44" s="7" t="s">
        <v>502</v>
      </c>
    </row>
    <row r="45" spans="1:21" s="16" customFormat="1" x14ac:dyDescent="0.25">
      <c r="A45" s="6">
        <v>45610</v>
      </c>
      <c r="B45" s="7" t="s">
        <v>20</v>
      </c>
      <c r="C45" s="7">
        <v>1015455734</v>
      </c>
      <c r="D45" s="7" t="s">
        <v>77</v>
      </c>
      <c r="E45" s="8">
        <v>3219973228</v>
      </c>
      <c r="F45" s="8">
        <f t="shared" ca="1" si="1"/>
        <v>29</v>
      </c>
      <c r="G45" s="9">
        <v>34911</v>
      </c>
      <c r="H45" s="7" t="s">
        <v>296</v>
      </c>
      <c r="I45" s="7" t="s">
        <v>261</v>
      </c>
      <c r="J45" s="7" t="s">
        <v>297</v>
      </c>
      <c r="K45" s="7" t="s">
        <v>298</v>
      </c>
      <c r="L45" s="7" t="s">
        <v>22</v>
      </c>
      <c r="M45" s="7" t="s">
        <v>21</v>
      </c>
      <c r="N45" s="7" t="s">
        <v>161</v>
      </c>
      <c r="O45" s="7" t="s">
        <v>26</v>
      </c>
      <c r="P45" s="10" t="s">
        <v>143</v>
      </c>
      <c r="Q45" s="7" t="s">
        <v>31</v>
      </c>
      <c r="R45" s="11" t="s">
        <v>35</v>
      </c>
      <c r="S45" s="12"/>
      <c r="T45" s="13">
        <v>91833024</v>
      </c>
      <c r="U45" s="7" t="s">
        <v>503</v>
      </c>
    </row>
    <row r="46" spans="1:21" s="16" customFormat="1" x14ac:dyDescent="0.25">
      <c r="A46" s="6">
        <v>45610</v>
      </c>
      <c r="B46" s="7" t="s">
        <v>20</v>
      </c>
      <c r="C46" s="7">
        <v>40048112</v>
      </c>
      <c r="D46" s="7" t="s">
        <v>78</v>
      </c>
      <c r="E46" s="8">
        <v>3112320473</v>
      </c>
      <c r="F46" s="8">
        <f t="shared" ca="1" si="1"/>
        <v>44</v>
      </c>
      <c r="G46" s="9">
        <v>29530</v>
      </c>
      <c r="H46" s="7" t="s">
        <v>299</v>
      </c>
      <c r="I46" s="7" t="s">
        <v>171</v>
      </c>
      <c r="J46" s="7" t="s">
        <v>300</v>
      </c>
      <c r="K46" s="7" t="s">
        <v>23</v>
      </c>
      <c r="L46" s="7" t="s">
        <v>22</v>
      </c>
      <c r="M46" s="7" t="s">
        <v>21</v>
      </c>
      <c r="N46" s="7" t="s">
        <v>149</v>
      </c>
      <c r="O46" s="7" t="s">
        <v>26</v>
      </c>
      <c r="P46" s="10" t="s">
        <v>301</v>
      </c>
      <c r="Q46" s="7" t="s">
        <v>31</v>
      </c>
      <c r="R46" s="11" t="s">
        <v>35</v>
      </c>
      <c r="S46" s="12"/>
      <c r="T46" s="13">
        <v>91839565</v>
      </c>
      <c r="U46" s="7" t="s">
        <v>504</v>
      </c>
    </row>
    <row r="47" spans="1:21" s="16" customFormat="1" x14ac:dyDescent="0.25">
      <c r="A47" s="6">
        <v>45610</v>
      </c>
      <c r="B47" s="7" t="s">
        <v>20</v>
      </c>
      <c r="C47" s="7">
        <v>1015417409</v>
      </c>
      <c r="D47" s="7" t="s">
        <v>79</v>
      </c>
      <c r="E47" s="8">
        <v>3118112048</v>
      </c>
      <c r="F47" s="8">
        <f t="shared" ca="1" si="1"/>
        <v>34</v>
      </c>
      <c r="G47" s="9">
        <v>33008</v>
      </c>
      <c r="H47" s="7" t="s">
        <v>302</v>
      </c>
      <c r="I47" s="7" t="s">
        <v>303</v>
      </c>
      <c r="J47" s="7" t="s">
        <v>304</v>
      </c>
      <c r="K47" s="7" t="s">
        <v>155</v>
      </c>
      <c r="L47" s="7" t="s">
        <v>22</v>
      </c>
      <c r="M47" s="7" t="s">
        <v>21</v>
      </c>
      <c r="N47" s="7" t="s">
        <v>27</v>
      </c>
      <c r="O47" s="7" t="s">
        <v>26</v>
      </c>
      <c r="P47" s="10" t="s">
        <v>156</v>
      </c>
      <c r="Q47" s="7" t="s">
        <v>33</v>
      </c>
      <c r="R47" s="11" t="s">
        <v>35</v>
      </c>
      <c r="S47" s="12"/>
      <c r="T47" s="13">
        <v>91833024</v>
      </c>
      <c r="U47" s="7" t="s">
        <v>505</v>
      </c>
    </row>
    <row r="48" spans="1:21" s="16" customFormat="1" x14ac:dyDescent="0.25">
      <c r="A48" s="6">
        <v>45610</v>
      </c>
      <c r="B48" s="7" t="s">
        <v>20</v>
      </c>
      <c r="C48" s="7">
        <v>79689326</v>
      </c>
      <c r="D48" s="7" t="s">
        <v>80</v>
      </c>
      <c r="E48" s="8">
        <v>3204914240</v>
      </c>
      <c r="F48" s="8">
        <f t="shared" ca="1" si="1"/>
        <v>49</v>
      </c>
      <c r="G48" s="9">
        <v>27693</v>
      </c>
      <c r="H48" s="7" t="s">
        <v>305</v>
      </c>
      <c r="I48" s="7" t="s">
        <v>306</v>
      </c>
      <c r="J48" s="7" t="s">
        <v>307</v>
      </c>
      <c r="K48" s="7" t="s">
        <v>308</v>
      </c>
      <c r="L48" s="7" t="s">
        <v>22</v>
      </c>
      <c r="M48" s="7" t="s">
        <v>148</v>
      </c>
      <c r="N48" s="7" t="s">
        <v>161</v>
      </c>
      <c r="O48" s="7" t="s">
        <v>26</v>
      </c>
      <c r="P48" s="10" t="s">
        <v>309</v>
      </c>
      <c r="Q48" s="7" t="s">
        <v>31</v>
      </c>
      <c r="R48" s="11" t="s">
        <v>35</v>
      </c>
      <c r="S48" s="12"/>
      <c r="T48" s="13">
        <v>91805733</v>
      </c>
      <c r="U48" s="7" t="s">
        <v>506</v>
      </c>
    </row>
    <row r="49" spans="1:21" s="16" customFormat="1" x14ac:dyDescent="0.25">
      <c r="A49" s="6">
        <v>45610</v>
      </c>
      <c r="B49" s="7" t="s">
        <v>40</v>
      </c>
      <c r="C49" s="7">
        <v>1019844283</v>
      </c>
      <c r="D49" s="7" t="s">
        <v>81</v>
      </c>
      <c r="E49" s="8">
        <v>3212579789</v>
      </c>
      <c r="F49" s="8">
        <f t="shared" ca="1" si="1"/>
        <v>16</v>
      </c>
      <c r="G49" s="9">
        <v>39541</v>
      </c>
      <c r="H49" s="7" t="s">
        <v>310</v>
      </c>
      <c r="I49" s="7" t="s">
        <v>311</v>
      </c>
      <c r="J49" s="7" t="s">
        <v>198</v>
      </c>
      <c r="K49" s="7" t="s">
        <v>218</v>
      </c>
      <c r="L49" s="7" t="s">
        <v>22</v>
      </c>
      <c r="M49" s="7" t="s">
        <v>148</v>
      </c>
      <c r="N49" s="7" t="s">
        <v>28</v>
      </c>
      <c r="O49" s="7" t="s">
        <v>26</v>
      </c>
      <c r="P49" s="10" t="s">
        <v>29</v>
      </c>
      <c r="Q49" s="7" t="s">
        <v>33</v>
      </c>
      <c r="R49" s="11" t="s">
        <v>35</v>
      </c>
      <c r="S49" s="12"/>
      <c r="T49" s="13">
        <v>91862599</v>
      </c>
      <c r="U49" s="7" t="s">
        <v>507</v>
      </c>
    </row>
    <row r="50" spans="1:21" s="16" customFormat="1" x14ac:dyDescent="0.25">
      <c r="A50" s="6">
        <v>45611</v>
      </c>
      <c r="B50" s="7" t="s">
        <v>20</v>
      </c>
      <c r="C50" s="7">
        <v>52726890</v>
      </c>
      <c r="D50" s="7" t="s">
        <v>63</v>
      </c>
      <c r="E50" s="8">
        <v>3235851994</v>
      </c>
      <c r="F50" s="8">
        <f t="shared" ca="1" si="1"/>
        <v>43</v>
      </c>
      <c r="G50" s="9">
        <v>29774</v>
      </c>
      <c r="H50" s="7" t="s">
        <v>152</v>
      </c>
      <c r="I50" s="7" t="s">
        <v>246</v>
      </c>
      <c r="J50" s="7" t="s">
        <v>247</v>
      </c>
      <c r="K50" s="7" t="s">
        <v>248</v>
      </c>
      <c r="L50" s="7" t="s">
        <v>22</v>
      </c>
      <c r="M50" s="7" t="s">
        <v>21</v>
      </c>
      <c r="N50" s="7" t="s">
        <v>249</v>
      </c>
      <c r="O50" s="7" t="s">
        <v>26</v>
      </c>
      <c r="P50" s="10" t="s">
        <v>138</v>
      </c>
      <c r="Q50" s="7" t="s">
        <v>33</v>
      </c>
      <c r="R50" s="11" t="s">
        <v>35</v>
      </c>
      <c r="S50" s="12"/>
      <c r="T50" s="13">
        <v>91864537</v>
      </c>
      <c r="U50" s="7" t="s">
        <v>508</v>
      </c>
    </row>
    <row r="51" spans="1:21" s="16" customFormat="1" x14ac:dyDescent="0.25">
      <c r="A51" s="6">
        <v>45611</v>
      </c>
      <c r="B51" s="7" t="s">
        <v>20</v>
      </c>
      <c r="C51" s="7">
        <v>1031162591</v>
      </c>
      <c r="D51" s="7" t="s">
        <v>82</v>
      </c>
      <c r="E51" s="8">
        <v>3142136213</v>
      </c>
      <c r="F51" s="8">
        <f t="shared" ca="1" si="1"/>
        <v>29</v>
      </c>
      <c r="G51" s="9">
        <v>34922</v>
      </c>
      <c r="H51" s="7" t="s">
        <v>312</v>
      </c>
      <c r="I51" s="7" t="s">
        <v>313</v>
      </c>
      <c r="J51" s="7" t="s">
        <v>314</v>
      </c>
      <c r="K51" s="7" t="s">
        <v>304</v>
      </c>
      <c r="L51" s="7" t="s">
        <v>22</v>
      </c>
      <c r="M51" s="7" t="s">
        <v>21</v>
      </c>
      <c r="N51" s="7" t="s">
        <v>28</v>
      </c>
      <c r="O51" s="7" t="s">
        <v>26</v>
      </c>
      <c r="P51" s="10" t="s">
        <v>315</v>
      </c>
      <c r="Q51" s="7" t="s">
        <v>31</v>
      </c>
      <c r="R51" s="11" t="s">
        <v>35</v>
      </c>
      <c r="S51" s="12"/>
      <c r="T51" s="13">
        <v>91846169</v>
      </c>
      <c r="U51" s="7" t="s">
        <v>509</v>
      </c>
    </row>
    <row r="52" spans="1:21" s="16" customFormat="1" x14ac:dyDescent="0.25">
      <c r="A52" s="6">
        <v>45611</v>
      </c>
      <c r="B52" s="7" t="s">
        <v>20</v>
      </c>
      <c r="C52" s="7">
        <v>1022953618</v>
      </c>
      <c r="D52" s="7" t="s">
        <v>83</v>
      </c>
      <c r="E52" s="8">
        <v>3182472301</v>
      </c>
      <c r="F52" s="8">
        <f t="shared" ca="1" si="1"/>
        <v>35</v>
      </c>
      <c r="G52" s="9">
        <v>32759</v>
      </c>
      <c r="H52" s="7" t="s">
        <v>316</v>
      </c>
      <c r="I52" s="7" t="s">
        <v>317</v>
      </c>
      <c r="J52" s="7" t="s">
        <v>318</v>
      </c>
      <c r="K52" s="7" t="s">
        <v>23</v>
      </c>
      <c r="L52" s="7" t="s">
        <v>22</v>
      </c>
      <c r="M52" s="7" t="s">
        <v>21</v>
      </c>
      <c r="N52" s="7" t="s">
        <v>249</v>
      </c>
      <c r="O52" s="7" t="s">
        <v>26</v>
      </c>
      <c r="P52" s="10" t="s">
        <v>319</v>
      </c>
      <c r="Q52" s="7" t="s">
        <v>33</v>
      </c>
      <c r="R52" s="11" t="s">
        <v>35</v>
      </c>
      <c r="S52" s="12"/>
      <c r="T52" s="13">
        <v>91725976</v>
      </c>
      <c r="U52" s="7" t="s">
        <v>510</v>
      </c>
    </row>
    <row r="53" spans="1:21" s="16" customFormat="1" x14ac:dyDescent="0.25">
      <c r="A53" s="6">
        <v>45611</v>
      </c>
      <c r="B53" s="7" t="s">
        <v>20</v>
      </c>
      <c r="C53" s="7">
        <v>80733809</v>
      </c>
      <c r="D53" s="7" t="s">
        <v>84</v>
      </c>
      <c r="E53" s="8">
        <v>3163721511</v>
      </c>
      <c r="F53" s="8">
        <f t="shared" ca="1" si="1"/>
        <v>42</v>
      </c>
      <c r="G53" s="9">
        <v>30207</v>
      </c>
      <c r="H53" s="7" t="s">
        <v>320</v>
      </c>
      <c r="I53" s="7" t="s">
        <v>321</v>
      </c>
      <c r="J53" s="7" t="s">
        <v>322</v>
      </c>
      <c r="K53" s="7" t="s">
        <v>323</v>
      </c>
      <c r="L53" s="7" t="s">
        <v>22</v>
      </c>
      <c r="M53" s="7" t="s">
        <v>148</v>
      </c>
      <c r="N53" s="7" t="s">
        <v>183</v>
      </c>
      <c r="O53" s="7" t="s">
        <v>26</v>
      </c>
      <c r="P53" s="10" t="s">
        <v>219</v>
      </c>
      <c r="Q53" s="7" t="s">
        <v>31</v>
      </c>
      <c r="R53" s="11" t="s">
        <v>35</v>
      </c>
      <c r="S53" s="12"/>
      <c r="T53" s="13">
        <v>91880217</v>
      </c>
      <c r="U53" s="7" t="s">
        <v>511</v>
      </c>
    </row>
    <row r="54" spans="1:21" s="16" customFormat="1" x14ac:dyDescent="0.25">
      <c r="A54" s="6">
        <v>45611</v>
      </c>
      <c r="B54" s="7" t="s">
        <v>20</v>
      </c>
      <c r="C54" s="7">
        <v>1015416361</v>
      </c>
      <c r="D54" s="7" t="s">
        <v>85</v>
      </c>
      <c r="E54" s="8">
        <v>3187595008</v>
      </c>
      <c r="F54" s="8">
        <f t="shared" ca="1" si="1"/>
        <v>34</v>
      </c>
      <c r="G54" s="9">
        <v>32905</v>
      </c>
      <c r="H54" s="7" t="s">
        <v>324</v>
      </c>
      <c r="I54" s="7" t="s">
        <v>233</v>
      </c>
      <c r="J54" s="7" t="s">
        <v>325</v>
      </c>
      <c r="K54" s="7" t="s">
        <v>304</v>
      </c>
      <c r="L54" s="7" t="s">
        <v>22</v>
      </c>
      <c r="M54" s="7" t="s">
        <v>21</v>
      </c>
      <c r="N54" s="7" t="s">
        <v>28</v>
      </c>
      <c r="O54" s="7" t="s">
        <v>26</v>
      </c>
      <c r="P54" s="10" t="s">
        <v>143</v>
      </c>
      <c r="Q54" s="7" t="s">
        <v>33</v>
      </c>
      <c r="R54" s="11" t="s">
        <v>35</v>
      </c>
      <c r="S54" s="12"/>
      <c r="T54" s="13">
        <v>91831986</v>
      </c>
      <c r="U54" s="7" t="s">
        <v>512</v>
      </c>
    </row>
    <row r="55" spans="1:21" s="16" customFormat="1" x14ac:dyDescent="0.25">
      <c r="A55" s="6">
        <v>45611</v>
      </c>
      <c r="B55" s="7" t="s">
        <v>20</v>
      </c>
      <c r="C55" s="7">
        <v>1010239930</v>
      </c>
      <c r="D55" s="7" t="s">
        <v>86</v>
      </c>
      <c r="E55" s="8">
        <v>3205090730</v>
      </c>
      <c r="F55" s="8">
        <f t="shared" ca="1" si="1"/>
        <v>26</v>
      </c>
      <c r="G55" s="9">
        <v>35954</v>
      </c>
      <c r="H55" s="7" t="s">
        <v>326</v>
      </c>
      <c r="I55" s="7" t="s">
        <v>327</v>
      </c>
      <c r="J55" s="7" t="s">
        <v>273</v>
      </c>
      <c r="K55" s="7" t="s">
        <v>328</v>
      </c>
      <c r="L55" s="7" t="s">
        <v>22</v>
      </c>
      <c r="M55" s="7" t="s">
        <v>148</v>
      </c>
      <c r="N55" s="7" t="s">
        <v>28</v>
      </c>
      <c r="O55" s="7" t="s">
        <v>26</v>
      </c>
      <c r="P55" s="10" t="s">
        <v>319</v>
      </c>
      <c r="Q55" s="7" t="s">
        <v>31</v>
      </c>
      <c r="R55" s="11" t="s">
        <v>35</v>
      </c>
      <c r="S55" s="12"/>
      <c r="T55" s="13">
        <v>91808946</v>
      </c>
      <c r="U55" s="7" t="s">
        <v>513</v>
      </c>
    </row>
    <row r="56" spans="1:21" s="16" customFormat="1" x14ac:dyDescent="0.25">
      <c r="A56" s="6">
        <v>45614</v>
      </c>
      <c r="B56" s="7" t="s">
        <v>20</v>
      </c>
      <c r="C56" s="7">
        <v>1233893684</v>
      </c>
      <c r="D56" s="7" t="s">
        <v>572</v>
      </c>
      <c r="E56" s="8">
        <v>3108202277</v>
      </c>
      <c r="F56" s="8"/>
      <c r="G56" s="9">
        <v>35724</v>
      </c>
      <c r="H56" s="7" t="s">
        <v>573</v>
      </c>
      <c r="I56" s="7" t="s">
        <v>280</v>
      </c>
      <c r="J56" s="7" t="s">
        <v>574</v>
      </c>
      <c r="K56" s="7" t="s">
        <v>347</v>
      </c>
      <c r="L56" s="7" t="s">
        <v>22</v>
      </c>
      <c r="M56" s="7" t="s">
        <v>21</v>
      </c>
      <c r="N56" s="7" t="s">
        <v>28</v>
      </c>
      <c r="O56" s="7" t="s">
        <v>26</v>
      </c>
      <c r="P56" s="10" t="s">
        <v>219</v>
      </c>
      <c r="Q56" s="7" t="s">
        <v>31</v>
      </c>
      <c r="R56" s="11" t="s">
        <v>35</v>
      </c>
      <c r="S56" s="12"/>
      <c r="T56" s="13">
        <v>91906053</v>
      </c>
      <c r="U56" s="7" t="s">
        <v>575</v>
      </c>
    </row>
    <row r="57" spans="1:21" s="16" customFormat="1" x14ac:dyDescent="0.25">
      <c r="A57" s="6">
        <v>45614</v>
      </c>
      <c r="B57" s="7" t="s">
        <v>20</v>
      </c>
      <c r="C57" s="7">
        <v>1098650275</v>
      </c>
      <c r="D57" s="7" t="s">
        <v>87</v>
      </c>
      <c r="E57" s="8">
        <v>3003573654</v>
      </c>
      <c r="F57" s="8">
        <f t="shared" ref="F57:F68" ca="1" si="2">YEAR(NOW())-YEAR(G57)</f>
        <v>36</v>
      </c>
      <c r="G57" s="9">
        <v>32222</v>
      </c>
      <c r="H57" s="7" t="s">
        <v>329</v>
      </c>
      <c r="I57" s="7" t="s">
        <v>330</v>
      </c>
      <c r="J57" s="7" t="s">
        <v>328</v>
      </c>
      <c r="K57" s="7" t="s">
        <v>23</v>
      </c>
      <c r="L57" s="7" t="s">
        <v>22</v>
      </c>
      <c r="M57" s="7" t="s">
        <v>148</v>
      </c>
      <c r="N57" s="7" t="s">
        <v>27</v>
      </c>
      <c r="O57" s="7" t="s">
        <v>26</v>
      </c>
      <c r="P57" s="10" t="s">
        <v>315</v>
      </c>
      <c r="Q57" s="7" t="s">
        <v>33</v>
      </c>
      <c r="R57" s="11" t="s">
        <v>36</v>
      </c>
      <c r="S57" s="12"/>
      <c r="T57" s="13">
        <v>92359520</v>
      </c>
      <c r="U57" s="7" t="s">
        <v>514</v>
      </c>
    </row>
    <row r="58" spans="1:21" s="16" customFormat="1" x14ac:dyDescent="0.25">
      <c r="A58" s="6">
        <v>45614</v>
      </c>
      <c r="B58" s="7" t="s">
        <v>20</v>
      </c>
      <c r="C58" s="7">
        <v>41430847</v>
      </c>
      <c r="D58" s="7" t="s">
        <v>88</v>
      </c>
      <c r="E58" s="8">
        <v>3115423660</v>
      </c>
      <c r="F58" s="8">
        <f t="shared" ca="1" si="2"/>
        <v>76</v>
      </c>
      <c r="G58" s="9">
        <v>17596</v>
      </c>
      <c r="H58" s="7" t="s">
        <v>331</v>
      </c>
      <c r="I58" s="7" t="s">
        <v>332</v>
      </c>
      <c r="J58" s="7" t="s">
        <v>333</v>
      </c>
      <c r="K58" s="7" t="s">
        <v>23</v>
      </c>
      <c r="L58" s="7" t="s">
        <v>22</v>
      </c>
      <c r="M58" s="7" t="s">
        <v>21</v>
      </c>
      <c r="N58" s="7" t="s">
        <v>222</v>
      </c>
      <c r="O58" s="7" t="s">
        <v>26</v>
      </c>
      <c r="P58" s="10" t="s">
        <v>315</v>
      </c>
      <c r="Q58" s="7" t="s">
        <v>31</v>
      </c>
      <c r="R58" s="11" t="s">
        <v>36</v>
      </c>
      <c r="S58" s="12"/>
      <c r="T58" s="13">
        <v>918298718</v>
      </c>
      <c r="U58" s="7" t="s">
        <v>515</v>
      </c>
    </row>
    <row r="59" spans="1:21" s="16" customFormat="1" x14ac:dyDescent="0.25">
      <c r="A59" s="6">
        <v>45614</v>
      </c>
      <c r="B59" s="7" t="s">
        <v>20</v>
      </c>
      <c r="C59" s="7">
        <v>35417097</v>
      </c>
      <c r="D59" s="7" t="s">
        <v>89</v>
      </c>
      <c r="E59" s="8">
        <v>3112219124</v>
      </c>
      <c r="F59" s="8">
        <f t="shared" ca="1" si="2"/>
        <v>50</v>
      </c>
      <c r="G59" s="9">
        <v>27111</v>
      </c>
      <c r="H59" s="7" t="s">
        <v>334</v>
      </c>
      <c r="I59" s="7" t="s">
        <v>335</v>
      </c>
      <c r="J59" s="7" t="s">
        <v>336</v>
      </c>
      <c r="K59" s="7" t="s">
        <v>337</v>
      </c>
      <c r="L59" s="7" t="s">
        <v>22</v>
      </c>
      <c r="M59" s="7" t="s">
        <v>21</v>
      </c>
      <c r="N59" s="7" t="s">
        <v>28</v>
      </c>
      <c r="O59" s="7" t="s">
        <v>26</v>
      </c>
      <c r="P59" s="10" t="s">
        <v>156</v>
      </c>
      <c r="Q59" s="7" t="s">
        <v>33</v>
      </c>
      <c r="R59" s="11" t="s">
        <v>36</v>
      </c>
      <c r="S59" s="12"/>
      <c r="T59" s="13">
        <v>91847889</v>
      </c>
      <c r="U59" s="7" t="s">
        <v>516</v>
      </c>
    </row>
    <row r="60" spans="1:21" s="16" customFormat="1" x14ac:dyDescent="0.25">
      <c r="A60" s="6">
        <v>45614</v>
      </c>
      <c r="B60" s="7" t="s">
        <v>20</v>
      </c>
      <c r="C60" s="7">
        <v>1075688553</v>
      </c>
      <c r="D60" s="7" t="s">
        <v>90</v>
      </c>
      <c r="E60" s="8">
        <v>3045412194</v>
      </c>
      <c r="F60" s="8">
        <f t="shared" ca="1" si="2"/>
        <v>25</v>
      </c>
      <c r="G60" s="9">
        <v>36217</v>
      </c>
      <c r="H60" s="7" t="s">
        <v>184</v>
      </c>
      <c r="I60" s="7" t="s">
        <v>334</v>
      </c>
      <c r="J60" s="7" t="s">
        <v>177</v>
      </c>
      <c r="K60" s="7" t="s">
        <v>338</v>
      </c>
      <c r="L60" s="7" t="s">
        <v>22</v>
      </c>
      <c r="M60" s="7" t="s">
        <v>21</v>
      </c>
      <c r="N60" s="7" t="s">
        <v>28</v>
      </c>
      <c r="O60" s="7" t="s">
        <v>26</v>
      </c>
      <c r="P60" s="10" t="s">
        <v>339</v>
      </c>
      <c r="Q60" s="7" t="s">
        <v>33</v>
      </c>
      <c r="R60" s="11" t="s">
        <v>36</v>
      </c>
      <c r="S60" s="12"/>
      <c r="T60" s="13">
        <v>91855183</v>
      </c>
      <c r="U60" s="7" t="s">
        <v>517</v>
      </c>
    </row>
    <row r="61" spans="1:21" s="16" customFormat="1" x14ac:dyDescent="0.25">
      <c r="A61" s="6">
        <v>45615</v>
      </c>
      <c r="B61" s="7" t="s">
        <v>20</v>
      </c>
      <c r="C61" s="7">
        <v>1018402435</v>
      </c>
      <c r="D61" s="7" t="s">
        <v>91</v>
      </c>
      <c r="E61" s="8">
        <v>310753892</v>
      </c>
      <c r="F61" s="8">
        <f t="shared" ca="1" si="2"/>
        <v>38</v>
      </c>
      <c r="G61" s="9">
        <v>31464</v>
      </c>
      <c r="H61" s="7" t="s">
        <v>326</v>
      </c>
      <c r="I61" s="7" t="s">
        <v>299</v>
      </c>
      <c r="J61" s="7" t="s">
        <v>340</v>
      </c>
      <c r="K61" s="7" t="s">
        <v>23</v>
      </c>
      <c r="L61" s="7" t="s">
        <v>22</v>
      </c>
      <c r="M61" s="7" t="s">
        <v>148</v>
      </c>
      <c r="N61" s="7" t="s">
        <v>28</v>
      </c>
      <c r="O61" s="7" t="s">
        <v>26</v>
      </c>
      <c r="P61" s="10" t="s">
        <v>341</v>
      </c>
      <c r="Q61" s="7" t="s">
        <v>31</v>
      </c>
      <c r="R61" s="11" t="s">
        <v>35</v>
      </c>
      <c r="S61" s="12"/>
      <c r="T61" s="13">
        <v>91840102</v>
      </c>
      <c r="U61" s="7" t="s">
        <v>518</v>
      </c>
    </row>
    <row r="62" spans="1:21" s="16" customFormat="1" x14ac:dyDescent="0.25">
      <c r="A62" s="6">
        <v>45615</v>
      </c>
      <c r="B62" s="7" t="s">
        <v>20</v>
      </c>
      <c r="C62" s="7">
        <v>80135657</v>
      </c>
      <c r="D62" s="7" t="s">
        <v>92</v>
      </c>
      <c r="E62" s="8">
        <v>3105862052</v>
      </c>
      <c r="F62" s="8">
        <f t="shared" ca="1" si="2"/>
        <v>42</v>
      </c>
      <c r="G62" s="9">
        <v>30284</v>
      </c>
      <c r="H62" s="7" t="s">
        <v>230</v>
      </c>
      <c r="I62" s="7" t="s">
        <v>153</v>
      </c>
      <c r="J62" s="7" t="s">
        <v>342</v>
      </c>
      <c r="K62" s="7" t="s">
        <v>343</v>
      </c>
      <c r="L62" s="7" t="s">
        <v>22</v>
      </c>
      <c r="M62" s="7" t="s">
        <v>148</v>
      </c>
      <c r="N62" s="7" t="s">
        <v>27</v>
      </c>
      <c r="O62" s="7" t="s">
        <v>26</v>
      </c>
      <c r="P62" s="10" t="s">
        <v>195</v>
      </c>
      <c r="Q62" s="7" t="s">
        <v>31</v>
      </c>
      <c r="R62" s="11" t="s">
        <v>35</v>
      </c>
      <c r="S62" s="12"/>
      <c r="T62" s="13">
        <v>91856157</v>
      </c>
      <c r="U62" s="7" t="s">
        <v>519</v>
      </c>
    </row>
    <row r="63" spans="1:21" s="16" customFormat="1" x14ac:dyDescent="0.25">
      <c r="A63" s="6">
        <v>45615</v>
      </c>
      <c r="B63" s="7" t="s">
        <v>20</v>
      </c>
      <c r="C63" s="7">
        <v>1016102680</v>
      </c>
      <c r="D63" s="7" t="s">
        <v>93</v>
      </c>
      <c r="E63" s="8">
        <v>3164038493</v>
      </c>
      <c r="F63" s="8">
        <f t="shared" ca="1" si="2"/>
        <v>26</v>
      </c>
      <c r="G63" s="9">
        <v>35914</v>
      </c>
      <c r="H63" s="7" t="s">
        <v>344</v>
      </c>
      <c r="I63" s="7" t="s">
        <v>345</v>
      </c>
      <c r="J63" s="7" t="s">
        <v>346</v>
      </c>
      <c r="K63" s="7" t="s">
        <v>347</v>
      </c>
      <c r="L63" s="7" t="s">
        <v>22</v>
      </c>
      <c r="M63" s="7" t="s">
        <v>21</v>
      </c>
      <c r="N63" s="7" t="s">
        <v>28</v>
      </c>
      <c r="O63" s="7" t="s">
        <v>26</v>
      </c>
      <c r="P63" s="10" t="s">
        <v>289</v>
      </c>
      <c r="Q63" s="7" t="s">
        <v>33</v>
      </c>
      <c r="R63" s="11" t="s">
        <v>35</v>
      </c>
      <c r="S63" s="12"/>
      <c r="T63" s="13">
        <v>91858893</v>
      </c>
      <c r="U63" s="7" t="s">
        <v>520</v>
      </c>
    </row>
    <row r="64" spans="1:21" s="16" customFormat="1" x14ac:dyDescent="0.25">
      <c r="A64" s="6">
        <v>45615</v>
      </c>
      <c r="B64" s="7" t="s">
        <v>40</v>
      </c>
      <c r="C64" s="7">
        <v>1145928782</v>
      </c>
      <c r="D64" s="7" t="s">
        <v>94</v>
      </c>
      <c r="E64" s="8">
        <v>3002108318</v>
      </c>
      <c r="F64" s="8">
        <f t="shared" ca="1" si="2"/>
        <v>21</v>
      </c>
      <c r="G64" s="9">
        <v>37851</v>
      </c>
      <c r="H64" s="7" t="s">
        <v>348</v>
      </c>
      <c r="I64" s="7" t="s">
        <v>184</v>
      </c>
      <c r="J64" s="7" t="s">
        <v>198</v>
      </c>
      <c r="K64" s="7" t="s">
        <v>328</v>
      </c>
      <c r="L64" s="7" t="s">
        <v>22</v>
      </c>
      <c r="M64" s="7" t="s">
        <v>148</v>
      </c>
      <c r="N64" s="7" t="s">
        <v>183</v>
      </c>
      <c r="O64" s="7" t="s">
        <v>26</v>
      </c>
      <c r="P64" s="10" t="s">
        <v>170</v>
      </c>
      <c r="Q64" s="7" t="s">
        <v>33</v>
      </c>
      <c r="R64" s="11" t="s">
        <v>35</v>
      </c>
      <c r="S64" s="12"/>
      <c r="T64" s="13">
        <v>91884017</v>
      </c>
      <c r="U64" s="7" t="s">
        <v>521</v>
      </c>
    </row>
    <row r="65" spans="1:21" s="16" customFormat="1" x14ac:dyDescent="0.25">
      <c r="A65" s="6">
        <v>45615</v>
      </c>
      <c r="B65" s="7" t="s">
        <v>20</v>
      </c>
      <c r="C65" s="7">
        <v>80170886</v>
      </c>
      <c r="D65" s="7" t="s">
        <v>94</v>
      </c>
      <c r="E65" s="8">
        <v>3002108318</v>
      </c>
      <c r="F65" s="8">
        <f t="shared" ca="1" si="2"/>
        <v>36</v>
      </c>
      <c r="G65" s="9">
        <v>32190</v>
      </c>
      <c r="H65" s="7" t="s">
        <v>348</v>
      </c>
      <c r="I65" s="7" t="s">
        <v>349</v>
      </c>
      <c r="J65" s="7" t="s">
        <v>350</v>
      </c>
      <c r="K65" s="7" t="s">
        <v>351</v>
      </c>
      <c r="L65" s="7" t="s">
        <v>22</v>
      </c>
      <c r="M65" s="7" t="s">
        <v>148</v>
      </c>
      <c r="N65" s="7" t="s">
        <v>183</v>
      </c>
      <c r="O65" s="7" t="s">
        <v>26</v>
      </c>
      <c r="P65" s="10" t="s">
        <v>289</v>
      </c>
      <c r="Q65" s="7" t="s">
        <v>33</v>
      </c>
      <c r="R65" s="11" t="s">
        <v>35</v>
      </c>
      <c r="S65" s="12"/>
      <c r="T65" s="13">
        <v>91879870</v>
      </c>
      <c r="U65" s="7" t="s">
        <v>522</v>
      </c>
    </row>
    <row r="66" spans="1:21" s="16" customFormat="1" x14ac:dyDescent="0.25">
      <c r="A66" s="6">
        <v>45615</v>
      </c>
      <c r="B66" s="7" t="s">
        <v>20</v>
      </c>
      <c r="C66" s="7">
        <v>1022379941</v>
      </c>
      <c r="D66" s="7" t="s">
        <v>96</v>
      </c>
      <c r="E66" s="8">
        <v>3166205907</v>
      </c>
      <c r="F66" s="8">
        <f t="shared" ca="1" si="2"/>
        <v>32</v>
      </c>
      <c r="G66" s="9">
        <v>33915</v>
      </c>
      <c r="H66" s="7" t="s">
        <v>280</v>
      </c>
      <c r="I66" s="7" t="s">
        <v>357</v>
      </c>
      <c r="J66" s="7" t="s">
        <v>358</v>
      </c>
      <c r="K66" s="7" t="s">
        <v>359</v>
      </c>
      <c r="L66" s="7" t="s">
        <v>22</v>
      </c>
      <c r="M66" s="7" t="s">
        <v>21</v>
      </c>
      <c r="N66" s="7" t="s">
        <v>161</v>
      </c>
      <c r="O66" s="7" t="s">
        <v>26</v>
      </c>
      <c r="P66" s="10" t="s">
        <v>289</v>
      </c>
      <c r="Q66" s="7" t="s">
        <v>31</v>
      </c>
      <c r="R66" s="11" t="s">
        <v>35</v>
      </c>
      <c r="S66" s="12"/>
      <c r="T66" s="13">
        <v>91916344</v>
      </c>
      <c r="U66" s="7" t="s">
        <v>524</v>
      </c>
    </row>
    <row r="67" spans="1:21" s="16" customFormat="1" x14ac:dyDescent="0.25">
      <c r="A67" s="6">
        <v>45615</v>
      </c>
      <c r="B67" s="7" t="s">
        <v>20</v>
      </c>
      <c r="C67" s="7">
        <v>1006820331</v>
      </c>
      <c r="D67" s="7" t="s">
        <v>97</v>
      </c>
      <c r="E67" s="8">
        <v>3219337747</v>
      </c>
      <c r="F67" s="8">
        <f t="shared" ca="1" si="2"/>
        <v>24</v>
      </c>
      <c r="G67" s="9">
        <v>36578</v>
      </c>
      <c r="H67" s="7" t="s">
        <v>360</v>
      </c>
      <c r="I67" s="7" t="s">
        <v>361</v>
      </c>
      <c r="J67" s="7" t="s">
        <v>362</v>
      </c>
      <c r="K67" s="7" t="s">
        <v>343</v>
      </c>
      <c r="L67" s="7" t="s">
        <v>22</v>
      </c>
      <c r="M67" s="7" t="s">
        <v>148</v>
      </c>
      <c r="N67" s="7" t="s">
        <v>183</v>
      </c>
      <c r="O67" s="7" t="s">
        <v>26</v>
      </c>
      <c r="P67" s="10" t="s">
        <v>363</v>
      </c>
      <c r="Q67" s="7" t="s">
        <v>31</v>
      </c>
      <c r="R67" s="11" t="s">
        <v>35</v>
      </c>
      <c r="S67" s="12"/>
      <c r="T67" s="13">
        <v>91858459</v>
      </c>
      <c r="U67" s="7" t="s">
        <v>525</v>
      </c>
    </row>
    <row r="68" spans="1:21" s="16" customFormat="1" x14ac:dyDescent="0.25">
      <c r="A68" s="6">
        <v>45615</v>
      </c>
      <c r="B68" s="7" t="s">
        <v>20</v>
      </c>
      <c r="C68" s="7">
        <v>38233618</v>
      </c>
      <c r="D68" s="7" t="s">
        <v>95</v>
      </c>
      <c r="E68" s="8">
        <v>3133979731</v>
      </c>
      <c r="F68" s="8">
        <f t="shared" ca="1" si="2"/>
        <v>67</v>
      </c>
      <c r="G68" s="9">
        <v>21011</v>
      </c>
      <c r="H68" s="7" t="s">
        <v>352</v>
      </c>
      <c r="I68" s="7" t="s">
        <v>353</v>
      </c>
      <c r="J68" s="7" t="s">
        <v>354</v>
      </c>
      <c r="K68" s="7" t="s">
        <v>355</v>
      </c>
      <c r="L68" s="7" t="s">
        <v>22</v>
      </c>
      <c r="M68" s="7" t="s">
        <v>21</v>
      </c>
      <c r="N68" s="7" t="s">
        <v>27</v>
      </c>
      <c r="O68" s="7" t="s">
        <v>26</v>
      </c>
      <c r="P68" s="10" t="s">
        <v>356</v>
      </c>
      <c r="Q68" s="7" t="s">
        <v>33</v>
      </c>
      <c r="R68" s="11" t="s">
        <v>35</v>
      </c>
      <c r="S68" s="12"/>
      <c r="T68" s="13">
        <v>91892680</v>
      </c>
      <c r="U68" s="7" t="s">
        <v>526</v>
      </c>
    </row>
    <row r="69" spans="1:21" s="16" customFormat="1" x14ac:dyDescent="0.25">
      <c r="A69" s="6">
        <v>45616</v>
      </c>
      <c r="B69" s="7" t="s">
        <v>20</v>
      </c>
      <c r="C69" s="7">
        <v>53051335</v>
      </c>
      <c r="D69" s="7" t="s">
        <v>102</v>
      </c>
      <c r="E69" s="8">
        <v>3193659359</v>
      </c>
      <c r="F69" s="8">
        <v>40</v>
      </c>
      <c r="G69" s="9">
        <v>30711</v>
      </c>
      <c r="H69" s="7" t="s">
        <v>371</v>
      </c>
      <c r="I69" s="7" t="s">
        <v>372</v>
      </c>
      <c r="J69" s="7" t="s">
        <v>373</v>
      </c>
      <c r="K69" s="7" t="s">
        <v>374</v>
      </c>
      <c r="L69" s="7" t="s">
        <v>22</v>
      </c>
      <c r="M69" s="7" t="s">
        <v>21</v>
      </c>
      <c r="N69" s="7" t="s">
        <v>183</v>
      </c>
      <c r="O69" s="7" t="s">
        <v>26</v>
      </c>
      <c r="P69" s="10" t="s">
        <v>375</v>
      </c>
      <c r="Q69" s="7" t="s">
        <v>31</v>
      </c>
      <c r="R69" s="11" t="s">
        <v>35</v>
      </c>
      <c r="S69" s="12"/>
      <c r="T69" s="13">
        <v>91973456</v>
      </c>
      <c r="U69" s="7" t="s">
        <v>613</v>
      </c>
    </row>
    <row r="70" spans="1:21" s="16" customFormat="1" x14ac:dyDescent="0.25">
      <c r="A70" s="6">
        <v>45616</v>
      </c>
      <c r="B70" s="7" t="s">
        <v>98</v>
      </c>
      <c r="C70" s="7">
        <v>1001204519</v>
      </c>
      <c r="D70" s="7" t="s">
        <v>99</v>
      </c>
      <c r="E70" s="8">
        <v>3007070265</v>
      </c>
      <c r="F70" s="8">
        <f t="shared" ref="F70:F76" ca="1" si="3">YEAR(NOW())-YEAR(G70)</f>
        <v>22</v>
      </c>
      <c r="G70" s="9">
        <v>37581</v>
      </c>
      <c r="H70" s="7" t="s">
        <v>213</v>
      </c>
      <c r="I70" s="7" t="s">
        <v>140</v>
      </c>
      <c r="J70" s="7" t="s">
        <v>132</v>
      </c>
      <c r="K70" s="7" t="s">
        <v>25</v>
      </c>
      <c r="L70" s="7" t="s">
        <v>22</v>
      </c>
      <c r="M70" s="7" t="s">
        <v>21</v>
      </c>
      <c r="N70" s="7" t="s">
        <v>364</v>
      </c>
      <c r="O70" s="7" t="s">
        <v>26</v>
      </c>
      <c r="P70" s="10" t="s">
        <v>365</v>
      </c>
      <c r="Q70" s="7" t="s">
        <v>31</v>
      </c>
      <c r="R70" s="11" t="s">
        <v>35</v>
      </c>
      <c r="S70" s="12"/>
      <c r="T70" s="13">
        <v>92106844</v>
      </c>
      <c r="U70" s="7" t="s">
        <v>527</v>
      </c>
    </row>
    <row r="71" spans="1:21" s="16" customFormat="1" x14ac:dyDescent="0.25">
      <c r="A71" s="6">
        <v>45616</v>
      </c>
      <c r="B71" s="7" t="s">
        <v>98</v>
      </c>
      <c r="C71" s="7">
        <v>53107241</v>
      </c>
      <c r="D71" s="7" t="s">
        <v>100</v>
      </c>
      <c r="E71" s="8">
        <v>3164471624</v>
      </c>
      <c r="F71" s="8">
        <f t="shared" ca="1" si="3"/>
        <v>39</v>
      </c>
      <c r="G71" s="9">
        <v>31215</v>
      </c>
      <c r="H71" s="7" t="s">
        <v>171</v>
      </c>
      <c r="I71" s="7" t="s">
        <v>200</v>
      </c>
      <c r="J71" s="7" t="s">
        <v>366</v>
      </c>
      <c r="K71" s="7" t="s">
        <v>367</v>
      </c>
      <c r="L71" s="7" t="s">
        <v>22</v>
      </c>
      <c r="M71" s="7" t="s">
        <v>23</v>
      </c>
      <c r="N71" s="7" t="s">
        <v>28</v>
      </c>
      <c r="O71" s="7" t="s">
        <v>26</v>
      </c>
      <c r="P71" s="10" t="s">
        <v>301</v>
      </c>
      <c r="Q71" s="7" t="s">
        <v>31</v>
      </c>
      <c r="R71" s="11" t="s">
        <v>35</v>
      </c>
      <c r="S71" s="12"/>
      <c r="T71" s="13">
        <v>91976122</v>
      </c>
      <c r="U71" s="7" t="s">
        <v>528</v>
      </c>
    </row>
    <row r="72" spans="1:21" s="16" customFormat="1" x14ac:dyDescent="0.25">
      <c r="A72" s="6">
        <v>45616</v>
      </c>
      <c r="B72" s="7" t="s">
        <v>40</v>
      </c>
      <c r="C72" s="7">
        <v>1013017378</v>
      </c>
      <c r="D72" s="7" t="s">
        <v>103</v>
      </c>
      <c r="E72" s="8">
        <v>3212429022</v>
      </c>
      <c r="F72" s="8">
        <f t="shared" ca="1" si="3"/>
        <v>11</v>
      </c>
      <c r="G72" s="9">
        <v>41287</v>
      </c>
      <c r="H72" s="7" t="s">
        <v>140</v>
      </c>
      <c r="I72" s="7" t="s">
        <v>376</v>
      </c>
      <c r="J72" s="7" t="s">
        <v>377</v>
      </c>
      <c r="K72" s="7" t="s">
        <v>378</v>
      </c>
      <c r="L72" s="7" t="s">
        <v>22</v>
      </c>
      <c r="M72" s="7" t="s">
        <v>21</v>
      </c>
      <c r="N72" s="7" t="s">
        <v>183</v>
      </c>
      <c r="O72" s="7" t="s">
        <v>26</v>
      </c>
      <c r="P72" s="10" t="s">
        <v>29</v>
      </c>
      <c r="Q72" s="7" t="s">
        <v>31</v>
      </c>
      <c r="R72" s="11" t="s">
        <v>35</v>
      </c>
      <c r="S72" s="12"/>
      <c r="T72" s="13">
        <v>91883974</v>
      </c>
      <c r="U72" s="7" t="s">
        <v>531</v>
      </c>
    </row>
    <row r="73" spans="1:21" s="16" customFormat="1" x14ac:dyDescent="0.25">
      <c r="A73" s="6">
        <v>45621</v>
      </c>
      <c r="B73" s="7" t="s">
        <v>20</v>
      </c>
      <c r="C73" s="7">
        <v>1020840259</v>
      </c>
      <c r="D73" s="7" t="s">
        <v>576</v>
      </c>
      <c r="E73" s="8">
        <v>3202277848</v>
      </c>
      <c r="F73" s="8">
        <f t="shared" ca="1" si="3"/>
        <v>25</v>
      </c>
      <c r="G73" s="9">
        <v>36258</v>
      </c>
      <c r="H73" s="7" t="s">
        <v>224</v>
      </c>
      <c r="I73" s="7" t="s">
        <v>577</v>
      </c>
      <c r="J73" s="7" t="s">
        <v>452</v>
      </c>
      <c r="K73" s="7" t="s">
        <v>337</v>
      </c>
      <c r="L73" s="7" t="s">
        <v>22</v>
      </c>
      <c r="M73" s="7" t="s">
        <v>21</v>
      </c>
      <c r="N73" s="7" t="s">
        <v>27</v>
      </c>
      <c r="O73" s="7" t="s">
        <v>26</v>
      </c>
      <c r="P73" s="10" t="s">
        <v>578</v>
      </c>
      <c r="Q73" s="7" t="s">
        <v>33</v>
      </c>
      <c r="R73" s="11" t="s">
        <v>36</v>
      </c>
      <c r="S73" s="12"/>
      <c r="T73" s="13">
        <v>91894924</v>
      </c>
      <c r="U73" s="7" t="s">
        <v>579</v>
      </c>
    </row>
    <row r="74" spans="1:21" s="16" customFormat="1" x14ac:dyDescent="0.25">
      <c r="A74" s="6">
        <v>45621</v>
      </c>
      <c r="B74" s="7" t="s">
        <v>20</v>
      </c>
      <c r="C74" s="7">
        <v>52758754</v>
      </c>
      <c r="D74" s="7" t="s">
        <v>580</v>
      </c>
      <c r="E74" s="8">
        <v>3133626206</v>
      </c>
      <c r="F74" s="8">
        <f t="shared" ca="1" si="3"/>
        <v>38</v>
      </c>
      <c r="G74" s="9">
        <v>31565</v>
      </c>
      <c r="H74" s="7" t="s">
        <v>581</v>
      </c>
      <c r="I74" s="7" t="s">
        <v>582</v>
      </c>
      <c r="J74" s="7" t="s">
        <v>584</v>
      </c>
      <c r="K74" s="7" t="s">
        <v>359</v>
      </c>
      <c r="L74" s="7" t="s">
        <v>22</v>
      </c>
      <c r="M74" s="7" t="s">
        <v>23</v>
      </c>
      <c r="N74" s="7" t="s">
        <v>28</v>
      </c>
      <c r="O74" s="7" t="s">
        <v>26</v>
      </c>
      <c r="P74" s="10" t="s">
        <v>315</v>
      </c>
      <c r="Q74" s="7" t="s">
        <v>33</v>
      </c>
      <c r="R74" s="11" t="s">
        <v>36</v>
      </c>
      <c r="S74" s="12"/>
      <c r="T74" s="13">
        <v>91987776</v>
      </c>
      <c r="U74" s="7" t="s">
        <v>583</v>
      </c>
    </row>
    <row r="75" spans="1:21" s="16" customFormat="1" x14ac:dyDescent="0.25">
      <c r="A75" s="6">
        <v>45621</v>
      </c>
      <c r="B75" s="7" t="s">
        <v>20</v>
      </c>
      <c r="C75" s="7">
        <v>40043183</v>
      </c>
      <c r="D75" s="7" t="s">
        <v>585</v>
      </c>
      <c r="E75" s="8">
        <v>3212325172</v>
      </c>
      <c r="F75" s="8">
        <f t="shared" ca="1" si="3"/>
        <v>48</v>
      </c>
      <c r="G75" s="9">
        <v>28083</v>
      </c>
      <c r="H75" s="7" t="s">
        <v>457</v>
      </c>
      <c r="I75" s="7" t="s">
        <v>299</v>
      </c>
      <c r="J75" s="7" t="s">
        <v>586</v>
      </c>
      <c r="K75" s="7" t="s">
        <v>587</v>
      </c>
      <c r="L75" s="7" t="s">
        <v>22</v>
      </c>
      <c r="M75" s="7" t="s">
        <v>21</v>
      </c>
      <c r="N75" s="7" t="s">
        <v>249</v>
      </c>
      <c r="O75" s="7" t="s">
        <v>26</v>
      </c>
      <c r="P75" s="10" t="s">
        <v>588</v>
      </c>
      <c r="Q75" s="7" t="s">
        <v>33</v>
      </c>
      <c r="R75" s="11" t="s">
        <v>36</v>
      </c>
      <c r="S75" s="12"/>
      <c r="T75" s="13">
        <v>91986953</v>
      </c>
      <c r="U75" s="7" t="s">
        <v>589</v>
      </c>
    </row>
    <row r="76" spans="1:21" s="16" customFormat="1" x14ac:dyDescent="0.25">
      <c r="A76" s="6">
        <v>45621</v>
      </c>
      <c r="B76" s="7" t="s">
        <v>40</v>
      </c>
      <c r="C76" s="7">
        <v>1033106463</v>
      </c>
      <c r="D76" s="7" t="s">
        <v>592</v>
      </c>
      <c r="E76" s="8">
        <v>3103263646</v>
      </c>
      <c r="F76" s="8">
        <f t="shared" ca="1" si="3"/>
        <v>15</v>
      </c>
      <c r="G76" s="9">
        <v>40082</v>
      </c>
      <c r="H76" s="7" t="s">
        <v>24</v>
      </c>
      <c r="I76" s="7" t="s">
        <v>591</v>
      </c>
      <c r="J76" s="7" t="s">
        <v>366</v>
      </c>
      <c r="K76" s="7" t="s">
        <v>593</v>
      </c>
      <c r="L76" s="7" t="s">
        <v>22</v>
      </c>
      <c r="M76" s="7" t="s">
        <v>21</v>
      </c>
      <c r="N76" s="7" t="s">
        <v>28</v>
      </c>
      <c r="O76" s="7" t="s">
        <v>26</v>
      </c>
      <c r="P76" s="10" t="s">
        <v>29</v>
      </c>
      <c r="Q76" s="7" t="s">
        <v>33</v>
      </c>
      <c r="R76" s="11" t="s">
        <v>36</v>
      </c>
      <c r="S76" s="12"/>
      <c r="T76" s="13">
        <v>91968740</v>
      </c>
      <c r="U76" s="7" t="s">
        <v>590</v>
      </c>
    </row>
    <row r="77" spans="1:21" s="16" customFormat="1" x14ac:dyDescent="0.25">
      <c r="A77" s="6">
        <v>45621</v>
      </c>
      <c r="B77" s="7" t="s">
        <v>20</v>
      </c>
      <c r="C77" s="7">
        <v>79127607</v>
      </c>
      <c r="D77" s="7" t="s">
        <v>598</v>
      </c>
      <c r="E77" s="7">
        <v>3052534818</v>
      </c>
      <c r="G77" s="9">
        <v>24144</v>
      </c>
      <c r="H77" s="7" t="s">
        <v>599</v>
      </c>
      <c r="I77" s="7" t="s">
        <v>600</v>
      </c>
      <c r="J77" s="7" t="s">
        <v>210</v>
      </c>
      <c r="K77" s="7" t="s">
        <v>232</v>
      </c>
      <c r="L77" s="7" t="s">
        <v>22</v>
      </c>
      <c r="M77" s="7" t="s">
        <v>148</v>
      </c>
      <c r="N77" s="7" t="s">
        <v>28</v>
      </c>
      <c r="O77" s="7" t="s">
        <v>26</v>
      </c>
      <c r="P77" s="10" t="s">
        <v>207</v>
      </c>
      <c r="Q77" s="7" t="s">
        <v>31</v>
      </c>
      <c r="R77" s="11" t="s">
        <v>35</v>
      </c>
      <c r="S77" s="12"/>
      <c r="T77" s="13">
        <v>91887941</v>
      </c>
      <c r="U77" s="7" t="s">
        <v>601</v>
      </c>
    </row>
    <row r="78" spans="1:21" s="16" customFormat="1" x14ac:dyDescent="0.25">
      <c r="A78" s="6">
        <v>45622</v>
      </c>
      <c r="B78" s="7" t="s">
        <v>40</v>
      </c>
      <c r="C78" s="7">
        <v>1022985218</v>
      </c>
      <c r="D78" s="7" t="s">
        <v>74</v>
      </c>
      <c r="E78" s="8">
        <v>3133036160</v>
      </c>
      <c r="F78" s="8">
        <f t="shared" ref="F78:F108" ca="1" si="4">YEAR(NOW())-YEAR(G78)</f>
        <v>13</v>
      </c>
      <c r="G78" s="9">
        <v>40635</v>
      </c>
      <c r="H78" s="7" t="s">
        <v>379</v>
      </c>
      <c r="I78" s="7" t="s">
        <v>380</v>
      </c>
      <c r="J78" s="7" t="s">
        <v>381</v>
      </c>
      <c r="K78" s="7" t="s">
        <v>382</v>
      </c>
      <c r="L78" s="7" t="s">
        <v>22</v>
      </c>
      <c r="M78" s="7" t="s">
        <v>21</v>
      </c>
      <c r="N78" s="7" t="s">
        <v>28</v>
      </c>
      <c r="O78" s="7" t="s">
        <v>26</v>
      </c>
      <c r="P78" s="10" t="s">
        <v>170</v>
      </c>
      <c r="Q78" s="7" t="s">
        <v>33</v>
      </c>
      <c r="R78" s="11" t="s">
        <v>35</v>
      </c>
      <c r="S78" s="12"/>
      <c r="T78" s="13">
        <v>91846967</v>
      </c>
      <c r="U78" s="7" t="s">
        <v>532</v>
      </c>
    </row>
    <row r="79" spans="1:21" s="16" customFormat="1" x14ac:dyDescent="0.25">
      <c r="A79" s="6">
        <v>45622</v>
      </c>
      <c r="B79" s="7" t="s">
        <v>40</v>
      </c>
      <c r="C79" s="7">
        <v>1025073282</v>
      </c>
      <c r="D79" s="7" t="s">
        <v>104</v>
      </c>
      <c r="E79" s="8">
        <v>3214214405</v>
      </c>
      <c r="F79" s="8">
        <f t="shared" ca="1" si="4"/>
        <v>10</v>
      </c>
      <c r="G79" s="9">
        <v>41772</v>
      </c>
      <c r="H79" s="7" t="s">
        <v>383</v>
      </c>
      <c r="I79" s="7" t="s">
        <v>384</v>
      </c>
      <c r="J79" s="7" t="s">
        <v>385</v>
      </c>
      <c r="K79" s="7" t="s">
        <v>23</v>
      </c>
      <c r="L79" s="7" t="s">
        <v>22</v>
      </c>
      <c r="M79" s="7" t="s">
        <v>21</v>
      </c>
      <c r="N79" s="7" t="s">
        <v>28</v>
      </c>
      <c r="O79" s="7" t="s">
        <v>26</v>
      </c>
      <c r="P79" s="10" t="s">
        <v>29</v>
      </c>
      <c r="Q79" s="7" t="s">
        <v>33</v>
      </c>
      <c r="R79" s="11" t="s">
        <v>35</v>
      </c>
      <c r="S79" s="12"/>
      <c r="T79" s="13">
        <v>91953246</v>
      </c>
      <c r="U79" s="7" t="s">
        <v>533</v>
      </c>
    </row>
    <row r="80" spans="1:21" s="16" customFormat="1" x14ac:dyDescent="0.25">
      <c r="A80" s="6">
        <v>45622</v>
      </c>
      <c r="B80" s="7" t="s">
        <v>20</v>
      </c>
      <c r="C80" s="7">
        <v>38262202</v>
      </c>
      <c r="D80" s="7" t="s">
        <v>105</v>
      </c>
      <c r="E80" s="8">
        <v>3102224714</v>
      </c>
      <c r="F80" s="8">
        <f t="shared" ca="1" si="4"/>
        <v>61</v>
      </c>
      <c r="G80" s="9">
        <v>23319</v>
      </c>
      <c r="H80" s="7" t="s">
        <v>386</v>
      </c>
      <c r="I80" s="7" t="s">
        <v>387</v>
      </c>
      <c r="J80" s="7" t="s">
        <v>388</v>
      </c>
      <c r="K80" s="7" t="s">
        <v>389</v>
      </c>
      <c r="L80" s="7" t="s">
        <v>22</v>
      </c>
      <c r="M80" s="7" t="s">
        <v>21</v>
      </c>
      <c r="N80" s="7" t="s">
        <v>28</v>
      </c>
      <c r="O80" s="7" t="s">
        <v>26</v>
      </c>
      <c r="P80" s="10" t="s">
        <v>390</v>
      </c>
      <c r="Q80" s="7" t="s">
        <v>31</v>
      </c>
      <c r="R80" s="11" t="s">
        <v>35</v>
      </c>
      <c r="S80" s="12"/>
      <c r="T80" s="13">
        <v>91983246</v>
      </c>
      <c r="U80" s="7" t="s">
        <v>534</v>
      </c>
    </row>
    <row r="81" spans="1:21" s="16" customFormat="1" x14ac:dyDescent="0.25">
      <c r="A81" s="6">
        <v>45622</v>
      </c>
      <c r="B81" s="7" t="s">
        <v>71</v>
      </c>
      <c r="C81" s="7">
        <v>1014910536</v>
      </c>
      <c r="D81" s="7" t="s">
        <v>106</v>
      </c>
      <c r="E81" s="8">
        <v>3205167977</v>
      </c>
      <c r="F81" s="8">
        <f t="shared" ca="1" si="4"/>
        <v>0</v>
      </c>
      <c r="G81" s="9">
        <v>45516</v>
      </c>
      <c r="H81" s="7" t="s">
        <v>391</v>
      </c>
      <c r="I81" s="7" t="s">
        <v>392</v>
      </c>
      <c r="J81" s="7" t="s">
        <v>393</v>
      </c>
      <c r="K81" s="7" t="s">
        <v>394</v>
      </c>
      <c r="L81" s="7" t="s">
        <v>22</v>
      </c>
      <c r="M81" s="7" t="s">
        <v>148</v>
      </c>
      <c r="N81" s="7" t="s">
        <v>161</v>
      </c>
      <c r="O81" s="7" t="s">
        <v>26</v>
      </c>
      <c r="P81" s="10" t="s">
        <v>277</v>
      </c>
      <c r="Q81" s="7" t="s">
        <v>31</v>
      </c>
      <c r="R81" s="11" t="s">
        <v>35</v>
      </c>
      <c r="S81" s="12"/>
      <c r="T81" s="13">
        <v>91916900</v>
      </c>
      <c r="U81" s="7" t="s">
        <v>535</v>
      </c>
    </row>
    <row r="82" spans="1:21" s="16" customFormat="1" x14ac:dyDescent="0.25">
      <c r="A82" s="6">
        <v>45622</v>
      </c>
      <c r="B82" s="7" t="s">
        <v>20</v>
      </c>
      <c r="C82" s="7">
        <v>52456424</v>
      </c>
      <c r="D82" s="7" t="s">
        <v>107</v>
      </c>
      <c r="E82" s="8">
        <v>3232364985</v>
      </c>
      <c r="F82" s="8">
        <f t="shared" ca="1" si="4"/>
        <v>46</v>
      </c>
      <c r="G82" s="9">
        <v>28852</v>
      </c>
      <c r="H82" s="7" t="s">
        <v>395</v>
      </c>
      <c r="I82" s="7" t="s">
        <v>396</v>
      </c>
      <c r="J82" s="7" t="s">
        <v>397</v>
      </c>
      <c r="K82" s="7" t="s">
        <v>23</v>
      </c>
      <c r="L82" s="7" t="s">
        <v>22</v>
      </c>
      <c r="M82" s="7" t="s">
        <v>21</v>
      </c>
      <c r="N82" s="7" t="s">
        <v>212</v>
      </c>
      <c r="O82" s="7" t="s">
        <v>26</v>
      </c>
      <c r="P82" s="10" t="s">
        <v>398</v>
      </c>
      <c r="Q82" s="7" t="s">
        <v>33</v>
      </c>
      <c r="R82" s="11" t="s">
        <v>35</v>
      </c>
      <c r="S82" s="12"/>
      <c r="T82" s="13">
        <v>91976997</v>
      </c>
      <c r="U82" s="7" t="s">
        <v>536</v>
      </c>
    </row>
    <row r="83" spans="1:21" s="16" customFormat="1" x14ac:dyDescent="0.25">
      <c r="A83" s="6">
        <v>45622</v>
      </c>
      <c r="B83" s="7" t="s">
        <v>20</v>
      </c>
      <c r="C83" s="7">
        <v>1001204519</v>
      </c>
      <c r="D83" s="7" t="s">
        <v>99</v>
      </c>
      <c r="E83" s="8">
        <v>3007070265</v>
      </c>
      <c r="F83" s="8">
        <f t="shared" ca="1" si="4"/>
        <v>22</v>
      </c>
      <c r="G83" s="9">
        <v>37581</v>
      </c>
      <c r="H83" s="7" t="s">
        <v>213</v>
      </c>
      <c r="I83" s="7" t="s">
        <v>140</v>
      </c>
      <c r="J83" s="7" t="s">
        <v>132</v>
      </c>
      <c r="K83" s="7" t="s">
        <v>25</v>
      </c>
      <c r="L83" s="7" t="s">
        <v>22</v>
      </c>
      <c r="M83" s="7" t="s">
        <v>21</v>
      </c>
      <c r="N83" s="7" t="s">
        <v>364</v>
      </c>
      <c r="O83" s="7" t="s">
        <v>26</v>
      </c>
      <c r="P83" s="10" t="s">
        <v>365</v>
      </c>
      <c r="Q83" s="7" t="s">
        <v>33</v>
      </c>
      <c r="R83" s="11" t="s">
        <v>35</v>
      </c>
      <c r="S83" s="12"/>
      <c r="T83" s="13">
        <v>92110045</v>
      </c>
      <c r="U83" s="7" t="s">
        <v>537</v>
      </c>
    </row>
    <row r="84" spans="1:21" s="16" customFormat="1" x14ac:dyDescent="0.25">
      <c r="A84" s="6">
        <v>45623</v>
      </c>
      <c r="B84" s="7" t="s">
        <v>71</v>
      </c>
      <c r="C84" s="7">
        <v>1014900687</v>
      </c>
      <c r="D84" s="7" t="s">
        <v>108</v>
      </c>
      <c r="E84" s="8">
        <v>3008031769</v>
      </c>
      <c r="F84" s="8">
        <f t="shared" ca="1" si="4"/>
        <v>5</v>
      </c>
      <c r="G84" s="9">
        <v>43578</v>
      </c>
      <c r="H84" s="7" t="s">
        <v>399</v>
      </c>
      <c r="I84" s="7" t="s">
        <v>345</v>
      </c>
      <c r="J84" s="7" t="s">
        <v>400</v>
      </c>
      <c r="K84" s="7" t="s">
        <v>401</v>
      </c>
      <c r="L84" s="7" t="s">
        <v>22</v>
      </c>
      <c r="M84" s="7" t="s">
        <v>148</v>
      </c>
      <c r="N84" s="7" t="s">
        <v>161</v>
      </c>
      <c r="O84" s="7" t="s">
        <v>26</v>
      </c>
      <c r="P84" s="10" t="s">
        <v>277</v>
      </c>
      <c r="Q84" s="7" t="s">
        <v>33</v>
      </c>
      <c r="R84" s="11" t="s">
        <v>35</v>
      </c>
      <c r="S84" s="12"/>
      <c r="T84" s="13">
        <v>92118559</v>
      </c>
      <c r="U84" s="7" t="s">
        <v>538</v>
      </c>
    </row>
    <row r="85" spans="1:21" s="16" customFormat="1" x14ac:dyDescent="0.25">
      <c r="A85" s="6">
        <v>45623</v>
      </c>
      <c r="B85" s="7" t="s">
        <v>20</v>
      </c>
      <c r="C85" s="7">
        <v>79779142</v>
      </c>
      <c r="D85" s="7" t="s">
        <v>109</v>
      </c>
      <c r="E85" s="8">
        <v>5547665342</v>
      </c>
      <c r="F85" s="8">
        <f t="shared" ca="1" si="4"/>
        <v>50</v>
      </c>
      <c r="G85" s="9">
        <v>27267</v>
      </c>
      <c r="H85" s="7" t="s">
        <v>402</v>
      </c>
      <c r="I85" s="7" t="s">
        <v>403</v>
      </c>
      <c r="J85" s="7" t="s">
        <v>198</v>
      </c>
      <c r="K85" s="7" t="s">
        <v>404</v>
      </c>
      <c r="L85" s="7" t="s">
        <v>22</v>
      </c>
      <c r="M85" s="7" t="s">
        <v>148</v>
      </c>
      <c r="N85" s="7" t="s">
        <v>27</v>
      </c>
      <c r="O85" s="7" t="s">
        <v>26</v>
      </c>
      <c r="P85" s="10" t="s">
        <v>405</v>
      </c>
      <c r="Q85" s="7" t="s">
        <v>31</v>
      </c>
      <c r="R85" s="11" t="s">
        <v>35</v>
      </c>
      <c r="S85" s="12"/>
      <c r="T85" s="13">
        <v>92072319</v>
      </c>
      <c r="U85" s="7" t="s">
        <v>539</v>
      </c>
    </row>
    <row r="86" spans="1:21" s="16" customFormat="1" x14ac:dyDescent="0.25">
      <c r="A86" s="6">
        <v>45623</v>
      </c>
      <c r="B86" s="7" t="s">
        <v>20</v>
      </c>
      <c r="C86" s="7">
        <v>1007015555</v>
      </c>
      <c r="D86" s="7" t="s">
        <v>110</v>
      </c>
      <c r="E86" s="8">
        <v>3157290536</v>
      </c>
      <c r="F86" s="8">
        <f t="shared" ca="1" si="4"/>
        <v>21</v>
      </c>
      <c r="G86" s="9">
        <v>37716</v>
      </c>
      <c r="H86" s="7" t="s">
        <v>406</v>
      </c>
      <c r="I86" s="7" t="s">
        <v>280</v>
      </c>
      <c r="J86" s="7" t="s">
        <v>407</v>
      </c>
      <c r="K86" s="7" t="s">
        <v>408</v>
      </c>
      <c r="L86" s="7" t="s">
        <v>22</v>
      </c>
      <c r="M86" s="7" t="s">
        <v>148</v>
      </c>
      <c r="N86" s="7" t="s">
        <v>161</v>
      </c>
      <c r="O86" s="7" t="s">
        <v>26</v>
      </c>
      <c r="P86" s="10" t="s">
        <v>29</v>
      </c>
      <c r="Q86" s="7" t="s">
        <v>33</v>
      </c>
      <c r="R86" s="11" t="s">
        <v>35</v>
      </c>
      <c r="S86" s="12"/>
      <c r="T86" s="13">
        <v>91723330</v>
      </c>
      <c r="U86" s="7" t="s">
        <v>540</v>
      </c>
    </row>
    <row r="87" spans="1:21" s="16" customFormat="1" x14ac:dyDescent="0.25">
      <c r="A87" s="6">
        <v>45623</v>
      </c>
      <c r="B87" s="7" t="s">
        <v>20</v>
      </c>
      <c r="C87" s="7">
        <v>1000255725</v>
      </c>
      <c r="D87" s="7" t="s">
        <v>111</v>
      </c>
      <c r="E87" s="8">
        <v>3053705885</v>
      </c>
      <c r="F87" s="8">
        <f t="shared" ca="1" si="4"/>
        <v>22</v>
      </c>
      <c r="G87" s="9">
        <v>37559</v>
      </c>
      <c r="H87" s="7" t="s">
        <v>409</v>
      </c>
      <c r="I87" s="7" t="s">
        <v>410</v>
      </c>
      <c r="J87" s="7" t="s">
        <v>177</v>
      </c>
      <c r="K87" s="7" t="s">
        <v>194</v>
      </c>
      <c r="L87" s="7" t="s">
        <v>22</v>
      </c>
      <c r="M87" s="7" t="s">
        <v>21</v>
      </c>
      <c r="N87" s="7" t="s">
        <v>161</v>
      </c>
      <c r="O87" s="7" t="s">
        <v>26</v>
      </c>
      <c r="P87" s="10" t="s">
        <v>411</v>
      </c>
      <c r="Q87" s="7" t="s">
        <v>31</v>
      </c>
      <c r="R87" s="11" t="s">
        <v>464</v>
      </c>
      <c r="S87" s="12"/>
      <c r="T87" s="13">
        <v>91883974</v>
      </c>
      <c r="U87" s="7" t="s">
        <v>541</v>
      </c>
    </row>
    <row r="88" spans="1:21" s="16" customFormat="1" x14ac:dyDescent="0.25">
      <c r="A88" s="6">
        <v>45623</v>
      </c>
      <c r="B88" s="7" t="s">
        <v>20</v>
      </c>
      <c r="C88" s="7">
        <v>52316870</v>
      </c>
      <c r="D88" s="7" t="s">
        <v>112</v>
      </c>
      <c r="E88" s="8">
        <v>3123314477</v>
      </c>
      <c r="F88" s="8">
        <f t="shared" ca="1" si="4"/>
        <v>47</v>
      </c>
      <c r="G88" s="9">
        <v>28200</v>
      </c>
      <c r="H88" s="7" t="s">
        <v>412</v>
      </c>
      <c r="I88" s="7" t="s">
        <v>224</v>
      </c>
      <c r="J88" s="7" t="s">
        <v>413</v>
      </c>
      <c r="K88" s="7" t="s">
        <v>414</v>
      </c>
      <c r="L88" s="7" t="s">
        <v>22</v>
      </c>
      <c r="M88" s="7" t="s">
        <v>21</v>
      </c>
      <c r="N88" s="7" t="s">
        <v>149</v>
      </c>
      <c r="O88" s="7" t="s">
        <v>26</v>
      </c>
      <c r="P88" s="10" t="s">
        <v>195</v>
      </c>
      <c r="Q88" s="7" t="s">
        <v>33</v>
      </c>
      <c r="R88" s="11" t="s">
        <v>464</v>
      </c>
      <c r="S88" s="12"/>
      <c r="T88" s="13">
        <v>91922668</v>
      </c>
      <c r="U88" s="7" t="s">
        <v>542</v>
      </c>
    </row>
    <row r="89" spans="1:21" s="16" customFormat="1" x14ac:dyDescent="0.25">
      <c r="A89" s="6">
        <v>45623</v>
      </c>
      <c r="B89" s="7" t="s">
        <v>20</v>
      </c>
      <c r="C89" s="7">
        <v>4483947</v>
      </c>
      <c r="D89" s="7" t="s">
        <v>113</v>
      </c>
      <c r="E89" s="8">
        <v>3146641785</v>
      </c>
      <c r="F89" s="8">
        <f t="shared" ca="1" si="4"/>
        <v>66</v>
      </c>
      <c r="G89" s="9">
        <v>21519</v>
      </c>
      <c r="H89" s="7" t="s">
        <v>415</v>
      </c>
      <c r="I89" s="7" t="s">
        <v>416</v>
      </c>
      <c r="J89" s="7" t="s">
        <v>417</v>
      </c>
      <c r="K89" s="7" t="s">
        <v>401</v>
      </c>
      <c r="L89" s="7" t="s">
        <v>22</v>
      </c>
      <c r="M89" s="7" t="s">
        <v>148</v>
      </c>
      <c r="N89" s="7" t="s">
        <v>161</v>
      </c>
      <c r="O89" s="7" t="s">
        <v>26</v>
      </c>
      <c r="P89" s="10" t="s">
        <v>138</v>
      </c>
      <c r="Q89" s="7" t="s">
        <v>31</v>
      </c>
      <c r="R89" s="11" t="s">
        <v>464</v>
      </c>
      <c r="S89" s="12"/>
      <c r="T89" s="13">
        <v>92051649</v>
      </c>
      <c r="U89" s="7" t="s">
        <v>543</v>
      </c>
    </row>
    <row r="90" spans="1:21" s="16" customFormat="1" x14ac:dyDescent="0.25">
      <c r="A90" s="6">
        <v>45624</v>
      </c>
      <c r="B90" s="7" t="s">
        <v>20</v>
      </c>
      <c r="C90" s="7">
        <v>1152217676</v>
      </c>
      <c r="D90" s="7" t="s">
        <v>114</v>
      </c>
      <c r="E90" s="8">
        <v>3226544155</v>
      </c>
      <c r="F90" s="8">
        <f t="shared" ca="1" si="4"/>
        <v>27</v>
      </c>
      <c r="G90" s="9">
        <v>35583</v>
      </c>
      <c r="H90" s="7" t="s">
        <v>418</v>
      </c>
      <c r="I90" s="7" t="s">
        <v>419</v>
      </c>
      <c r="J90" s="7" t="s">
        <v>420</v>
      </c>
      <c r="K90" s="7" t="s">
        <v>421</v>
      </c>
      <c r="L90" s="7" t="s">
        <v>22</v>
      </c>
      <c r="M90" s="7" t="s">
        <v>21</v>
      </c>
      <c r="N90" s="7" t="s">
        <v>422</v>
      </c>
      <c r="O90" s="7" t="s">
        <v>26</v>
      </c>
      <c r="P90" s="10" t="s">
        <v>134</v>
      </c>
      <c r="Q90" s="7" t="s">
        <v>31</v>
      </c>
      <c r="R90" s="11" t="s">
        <v>35</v>
      </c>
      <c r="S90" s="12"/>
      <c r="T90" s="13">
        <v>91990127</v>
      </c>
      <c r="U90" s="7" t="s">
        <v>544</v>
      </c>
    </row>
    <row r="91" spans="1:21" s="16" customFormat="1" x14ac:dyDescent="0.25">
      <c r="A91" s="6">
        <v>45624</v>
      </c>
      <c r="B91" s="7" t="s">
        <v>20</v>
      </c>
      <c r="C91" s="7">
        <v>1037619563</v>
      </c>
      <c r="D91" s="7" t="s">
        <v>115</v>
      </c>
      <c r="E91" s="8">
        <v>3004129558</v>
      </c>
      <c r="F91" s="8">
        <f t="shared" ca="1" si="4"/>
        <v>32</v>
      </c>
      <c r="G91" s="9">
        <v>33746</v>
      </c>
      <c r="H91" s="7" t="s">
        <v>423</v>
      </c>
      <c r="I91" s="7" t="s">
        <v>424</v>
      </c>
      <c r="J91" s="7" t="s">
        <v>425</v>
      </c>
      <c r="K91" s="7" t="s">
        <v>23</v>
      </c>
      <c r="L91" s="7" t="s">
        <v>22</v>
      </c>
      <c r="M91" s="7" t="s">
        <v>21</v>
      </c>
      <c r="N91" s="7" t="s">
        <v>27</v>
      </c>
      <c r="O91" s="7" t="s">
        <v>26</v>
      </c>
      <c r="P91" s="10" t="s">
        <v>143</v>
      </c>
      <c r="Q91" s="7" t="s">
        <v>31</v>
      </c>
      <c r="R91" s="11" t="s">
        <v>35</v>
      </c>
      <c r="S91" s="12"/>
      <c r="T91" s="13">
        <v>92150081</v>
      </c>
      <c r="U91" s="7" t="s">
        <v>545</v>
      </c>
    </row>
    <row r="92" spans="1:21" s="16" customFormat="1" x14ac:dyDescent="0.25">
      <c r="A92" s="6">
        <v>45624</v>
      </c>
      <c r="B92" s="7" t="s">
        <v>20</v>
      </c>
      <c r="C92" s="7">
        <v>30237916</v>
      </c>
      <c r="D92" s="7" t="s">
        <v>116</v>
      </c>
      <c r="E92" s="8">
        <v>3136585592</v>
      </c>
      <c r="F92" s="8">
        <f t="shared" ca="1" si="4"/>
        <v>41</v>
      </c>
      <c r="G92" s="9">
        <v>30626</v>
      </c>
      <c r="H92" s="7" t="s">
        <v>426</v>
      </c>
      <c r="I92" s="7" t="s">
        <v>427</v>
      </c>
      <c r="J92" s="7" t="s">
        <v>428</v>
      </c>
      <c r="K92" s="7" t="s">
        <v>282</v>
      </c>
      <c r="L92" s="7" t="s">
        <v>22</v>
      </c>
      <c r="M92" s="7" t="s">
        <v>21</v>
      </c>
      <c r="N92" s="7" t="s">
        <v>183</v>
      </c>
      <c r="O92" s="7" t="s">
        <v>26</v>
      </c>
      <c r="P92" s="10" t="s">
        <v>143</v>
      </c>
      <c r="Q92" s="7" t="s">
        <v>31</v>
      </c>
      <c r="R92" s="11" t="s">
        <v>35</v>
      </c>
      <c r="S92" s="12"/>
      <c r="T92" s="13">
        <v>92073233</v>
      </c>
      <c r="U92" s="7" t="s">
        <v>546</v>
      </c>
    </row>
    <row r="93" spans="1:21" s="16" customFormat="1" x14ac:dyDescent="0.25">
      <c r="A93" s="6">
        <v>45624</v>
      </c>
      <c r="B93" s="7" t="s">
        <v>40</v>
      </c>
      <c r="C93" s="7">
        <v>1027297634</v>
      </c>
      <c r="D93" s="7" t="s">
        <v>117</v>
      </c>
      <c r="E93" s="8">
        <v>3165808655</v>
      </c>
      <c r="F93" s="8">
        <f t="shared" ca="1" si="4"/>
        <v>8</v>
      </c>
      <c r="G93" s="9">
        <v>42416</v>
      </c>
      <c r="H93" s="7" t="s">
        <v>412</v>
      </c>
      <c r="I93" s="7" t="s">
        <v>429</v>
      </c>
      <c r="J93" s="7" t="s">
        <v>430</v>
      </c>
      <c r="K93" s="7" t="s">
        <v>23</v>
      </c>
      <c r="L93" s="7" t="s">
        <v>22</v>
      </c>
      <c r="M93" s="7" t="s">
        <v>21</v>
      </c>
      <c r="N93" s="7" t="s">
        <v>431</v>
      </c>
      <c r="O93" s="7" t="s">
        <v>26</v>
      </c>
      <c r="P93" s="10" t="s">
        <v>170</v>
      </c>
      <c r="Q93" s="7" t="s">
        <v>31</v>
      </c>
      <c r="R93" s="11" t="s">
        <v>35</v>
      </c>
      <c r="S93" s="12"/>
      <c r="T93" s="13">
        <v>92097980</v>
      </c>
      <c r="U93" s="7" t="s">
        <v>547</v>
      </c>
    </row>
    <row r="94" spans="1:21" s="16" customFormat="1" x14ac:dyDescent="0.25">
      <c r="A94" s="6">
        <v>45624</v>
      </c>
      <c r="B94" s="7" t="s">
        <v>20</v>
      </c>
      <c r="C94" s="7">
        <v>31467621</v>
      </c>
      <c r="D94" s="7" t="s">
        <v>118</v>
      </c>
      <c r="E94" s="8">
        <v>3203349901</v>
      </c>
      <c r="F94" s="8">
        <f t="shared" ca="1" si="4"/>
        <v>64</v>
      </c>
      <c r="G94" s="9">
        <v>22041</v>
      </c>
      <c r="H94" s="7" t="s">
        <v>432</v>
      </c>
      <c r="I94" s="7" t="s">
        <v>312</v>
      </c>
      <c r="J94" s="7" t="s">
        <v>433</v>
      </c>
      <c r="K94" s="7" t="s">
        <v>434</v>
      </c>
      <c r="L94" s="7" t="s">
        <v>22</v>
      </c>
      <c r="M94" s="7" t="s">
        <v>21</v>
      </c>
      <c r="N94" s="7" t="s">
        <v>28</v>
      </c>
      <c r="O94" s="7" t="s">
        <v>26</v>
      </c>
      <c r="P94" s="10" t="s">
        <v>301</v>
      </c>
      <c r="Q94" s="7" t="s">
        <v>33</v>
      </c>
      <c r="R94" s="11" t="s">
        <v>35</v>
      </c>
      <c r="S94" s="12"/>
      <c r="T94" s="13">
        <v>92098657</v>
      </c>
      <c r="U94" s="7" t="s">
        <v>548</v>
      </c>
    </row>
    <row r="95" spans="1:21" s="16" customFormat="1" x14ac:dyDescent="0.25">
      <c r="A95" s="6">
        <v>45624</v>
      </c>
      <c r="B95" s="7" t="s">
        <v>20</v>
      </c>
      <c r="C95" s="7">
        <v>45426938</v>
      </c>
      <c r="D95" s="7" t="s">
        <v>119</v>
      </c>
      <c r="E95" s="8">
        <v>3156150604</v>
      </c>
      <c r="F95" s="8">
        <f t="shared" ca="1" si="4"/>
        <v>66</v>
      </c>
      <c r="G95" s="9">
        <v>21213</v>
      </c>
      <c r="H95" s="7" t="s">
        <v>153</v>
      </c>
      <c r="I95" s="7" t="s">
        <v>435</v>
      </c>
      <c r="J95" s="7" t="s">
        <v>436</v>
      </c>
      <c r="K95" s="7" t="s">
        <v>437</v>
      </c>
      <c r="L95" s="7" t="s">
        <v>22</v>
      </c>
      <c r="M95" s="7" t="s">
        <v>21</v>
      </c>
      <c r="N95" s="7" t="s">
        <v>28</v>
      </c>
      <c r="O95" s="7" t="s">
        <v>26</v>
      </c>
      <c r="P95" s="10" t="s">
        <v>30</v>
      </c>
      <c r="Q95" s="7" t="s">
        <v>31</v>
      </c>
      <c r="R95" s="11" t="s">
        <v>35</v>
      </c>
      <c r="S95" s="12"/>
      <c r="T95" s="13">
        <v>92136262</v>
      </c>
      <c r="U95" s="7" t="s">
        <v>549</v>
      </c>
    </row>
    <row r="96" spans="1:21" s="16" customFormat="1" x14ac:dyDescent="0.25">
      <c r="A96" s="6">
        <v>45624</v>
      </c>
      <c r="B96" s="7" t="s">
        <v>20</v>
      </c>
      <c r="C96" s="7">
        <v>1016053149</v>
      </c>
      <c r="D96" s="7" t="s">
        <v>120</v>
      </c>
      <c r="E96" s="8">
        <v>3173190271</v>
      </c>
      <c r="F96" s="8">
        <f t="shared" ca="1" si="4"/>
        <v>31</v>
      </c>
      <c r="G96" s="9">
        <v>34011</v>
      </c>
      <c r="H96" s="7" t="s">
        <v>438</v>
      </c>
      <c r="I96" s="7" t="s">
        <v>439</v>
      </c>
      <c r="J96" s="7" t="s">
        <v>440</v>
      </c>
      <c r="K96" s="7" t="s">
        <v>441</v>
      </c>
      <c r="L96" s="7" t="s">
        <v>22</v>
      </c>
      <c r="M96" s="7" t="s">
        <v>21</v>
      </c>
      <c r="N96" s="7" t="s">
        <v>28</v>
      </c>
      <c r="O96" s="7" t="s">
        <v>26</v>
      </c>
      <c r="P96" s="10" t="s">
        <v>204</v>
      </c>
      <c r="Q96" s="7" t="s">
        <v>33</v>
      </c>
      <c r="R96" s="11" t="s">
        <v>35</v>
      </c>
      <c r="S96" s="12"/>
      <c r="T96" s="13">
        <v>92143245</v>
      </c>
      <c r="U96" s="7" t="s">
        <v>550</v>
      </c>
    </row>
    <row r="97" spans="1:21" s="16" customFormat="1" x14ac:dyDescent="0.25">
      <c r="A97" s="6">
        <v>45624</v>
      </c>
      <c r="B97" s="7" t="s">
        <v>71</v>
      </c>
      <c r="C97" s="7">
        <v>1014899202</v>
      </c>
      <c r="D97" s="7" t="s">
        <v>121</v>
      </c>
      <c r="E97" s="8">
        <v>3106098265</v>
      </c>
      <c r="F97" s="8">
        <f t="shared" ca="1" si="4"/>
        <v>6</v>
      </c>
      <c r="G97" s="9">
        <v>43374</v>
      </c>
      <c r="H97" s="7" t="s">
        <v>442</v>
      </c>
      <c r="I97" s="7" t="s">
        <v>443</v>
      </c>
      <c r="J97" s="7" t="s">
        <v>444</v>
      </c>
      <c r="K97" s="7" t="s">
        <v>23</v>
      </c>
      <c r="L97" s="7" t="s">
        <v>22</v>
      </c>
      <c r="M97" s="7" t="s">
        <v>21</v>
      </c>
      <c r="N97" s="7" t="s">
        <v>161</v>
      </c>
      <c r="O97" s="7" t="s">
        <v>26</v>
      </c>
      <c r="P97" s="10" t="s">
        <v>301</v>
      </c>
      <c r="Q97" s="7" t="s">
        <v>31</v>
      </c>
      <c r="R97" s="11" t="s">
        <v>35</v>
      </c>
      <c r="S97" s="12"/>
      <c r="T97" s="13">
        <v>92143648</v>
      </c>
      <c r="U97" s="7" t="s">
        <v>551</v>
      </c>
    </row>
    <row r="98" spans="1:21" s="16" customFormat="1" x14ac:dyDescent="0.25">
      <c r="A98" s="6">
        <v>45624</v>
      </c>
      <c r="B98" s="7" t="s">
        <v>20</v>
      </c>
      <c r="C98" s="7">
        <v>1006820331</v>
      </c>
      <c r="D98" s="7" t="s">
        <v>97</v>
      </c>
      <c r="E98" s="8">
        <v>3219337747</v>
      </c>
      <c r="F98" s="8">
        <f t="shared" ca="1" si="4"/>
        <v>24</v>
      </c>
      <c r="G98" s="9">
        <v>36578</v>
      </c>
      <c r="H98" s="7" t="s">
        <v>360</v>
      </c>
      <c r="I98" s="7" t="s">
        <v>361</v>
      </c>
      <c r="J98" s="7" t="s">
        <v>362</v>
      </c>
      <c r="K98" s="7" t="s">
        <v>343</v>
      </c>
      <c r="L98" s="7" t="s">
        <v>22</v>
      </c>
      <c r="M98" s="7" t="s">
        <v>148</v>
      </c>
      <c r="N98" s="7" t="s">
        <v>183</v>
      </c>
      <c r="O98" s="7" t="s">
        <v>26</v>
      </c>
      <c r="P98" s="10" t="s">
        <v>363</v>
      </c>
      <c r="Q98" s="7" t="s">
        <v>31</v>
      </c>
      <c r="R98" s="11" t="s">
        <v>35</v>
      </c>
      <c r="S98" s="12"/>
      <c r="T98" s="13">
        <v>91858459</v>
      </c>
      <c r="U98" s="7" t="s">
        <v>525</v>
      </c>
    </row>
    <row r="99" spans="1:21" s="16" customFormat="1" x14ac:dyDescent="0.25">
      <c r="A99" s="6">
        <v>45625</v>
      </c>
      <c r="B99" s="7" t="s">
        <v>20</v>
      </c>
      <c r="C99" s="7">
        <v>1020777095</v>
      </c>
      <c r="D99" s="7" t="s">
        <v>122</v>
      </c>
      <c r="E99" s="8">
        <v>3213010889</v>
      </c>
      <c r="F99" s="8">
        <f t="shared" ca="1" si="4"/>
        <v>32</v>
      </c>
      <c r="G99" s="9">
        <v>33956</v>
      </c>
      <c r="H99" s="7" t="s">
        <v>306</v>
      </c>
      <c r="I99" s="7" t="s">
        <v>445</v>
      </c>
      <c r="J99" s="7" t="s">
        <v>350</v>
      </c>
      <c r="K99" s="7" t="s">
        <v>343</v>
      </c>
      <c r="L99" s="7" t="s">
        <v>22</v>
      </c>
      <c r="M99" s="7" t="s">
        <v>148</v>
      </c>
      <c r="N99" s="7" t="s">
        <v>28</v>
      </c>
      <c r="O99" s="7" t="s">
        <v>26</v>
      </c>
      <c r="P99" s="10" t="s">
        <v>446</v>
      </c>
      <c r="Q99" s="7" t="s">
        <v>33</v>
      </c>
      <c r="R99" s="11" t="s">
        <v>36</v>
      </c>
      <c r="S99" s="12"/>
      <c r="T99" s="13">
        <v>91796793</v>
      </c>
      <c r="U99" s="7" t="s">
        <v>552</v>
      </c>
    </row>
    <row r="100" spans="1:21" s="16" customFormat="1" x14ac:dyDescent="0.25">
      <c r="A100" s="6">
        <v>45625</v>
      </c>
      <c r="B100" s="7" t="s">
        <v>20</v>
      </c>
      <c r="C100" s="7">
        <v>52746111</v>
      </c>
      <c r="D100" s="7" t="s">
        <v>123</v>
      </c>
      <c r="E100" s="8">
        <v>3125001373</v>
      </c>
      <c r="F100" s="8">
        <f t="shared" ca="1" si="4"/>
        <v>41</v>
      </c>
      <c r="G100" s="9">
        <v>30461</v>
      </c>
      <c r="H100" s="7" t="s">
        <v>447</v>
      </c>
      <c r="I100" s="7" t="s">
        <v>448</v>
      </c>
      <c r="J100" s="7" t="s">
        <v>449</v>
      </c>
      <c r="K100" s="7" t="s">
        <v>23</v>
      </c>
      <c r="L100" s="7" t="s">
        <v>22</v>
      </c>
      <c r="M100" s="7" t="s">
        <v>21</v>
      </c>
      <c r="N100" s="7" t="s">
        <v>27</v>
      </c>
      <c r="O100" s="7" t="s">
        <v>26</v>
      </c>
      <c r="P100" s="10" t="s">
        <v>450</v>
      </c>
      <c r="Q100" s="7" t="s">
        <v>31</v>
      </c>
      <c r="R100" s="11" t="s">
        <v>36</v>
      </c>
      <c r="S100" s="12"/>
      <c r="T100" s="13">
        <v>91853227</v>
      </c>
      <c r="U100" s="7" t="s">
        <v>553</v>
      </c>
    </row>
    <row r="101" spans="1:21" s="16" customFormat="1" x14ac:dyDescent="0.25">
      <c r="A101" s="6">
        <v>45625</v>
      </c>
      <c r="B101" s="7" t="s">
        <v>20</v>
      </c>
      <c r="C101" s="7">
        <v>1016114481</v>
      </c>
      <c r="D101" s="7" t="s">
        <v>124</v>
      </c>
      <c r="E101" s="8">
        <v>3102470478</v>
      </c>
      <c r="F101" s="8">
        <f t="shared" ca="1" si="4"/>
        <v>24</v>
      </c>
      <c r="G101" s="9">
        <v>36536</v>
      </c>
      <c r="H101" s="7" t="s">
        <v>360</v>
      </c>
      <c r="I101" s="7" t="s">
        <v>451</v>
      </c>
      <c r="J101" s="7" t="s">
        <v>452</v>
      </c>
      <c r="K101" s="7" t="s">
        <v>453</v>
      </c>
      <c r="L101" s="7" t="s">
        <v>22</v>
      </c>
      <c r="M101" s="7" t="s">
        <v>21</v>
      </c>
      <c r="N101" s="7" t="s">
        <v>27</v>
      </c>
      <c r="O101" s="7" t="s">
        <v>26</v>
      </c>
      <c r="P101" s="10" t="s">
        <v>156</v>
      </c>
      <c r="Q101" s="7" t="s">
        <v>33</v>
      </c>
      <c r="R101" s="11" t="s">
        <v>36</v>
      </c>
      <c r="S101" s="12"/>
      <c r="T101" s="13">
        <v>92148327</v>
      </c>
      <c r="U101" s="7" t="s">
        <v>554</v>
      </c>
    </row>
    <row r="102" spans="1:21" s="16" customFormat="1" x14ac:dyDescent="0.25">
      <c r="A102" s="6">
        <v>45625</v>
      </c>
      <c r="B102" s="7" t="s">
        <v>20</v>
      </c>
      <c r="C102" s="7">
        <v>52063600</v>
      </c>
      <c r="D102" s="7" t="s">
        <v>125</v>
      </c>
      <c r="E102" s="8">
        <v>3214665155</v>
      </c>
      <c r="F102" s="8">
        <f t="shared" ca="1" si="4"/>
        <v>52</v>
      </c>
      <c r="G102" s="9">
        <v>26584</v>
      </c>
      <c r="H102" s="7" t="s">
        <v>334</v>
      </c>
      <c r="I102" s="7" t="s">
        <v>454</v>
      </c>
      <c r="J102" s="7" t="s">
        <v>455</v>
      </c>
      <c r="K102" s="7" t="s">
        <v>23</v>
      </c>
      <c r="L102" s="7" t="s">
        <v>22</v>
      </c>
      <c r="M102" s="7" t="s">
        <v>21</v>
      </c>
      <c r="N102" s="7" t="s">
        <v>28</v>
      </c>
      <c r="O102" s="7" t="s">
        <v>26</v>
      </c>
      <c r="P102" s="10" t="s">
        <v>138</v>
      </c>
      <c r="Q102" s="7" t="s">
        <v>31</v>
      </c>
      <c r="R102" s="11" t="s">
        <v>36</v>
      </c>
      <c r="S102" s="12"/>
      <c r="T102" s="13">
        <v>92144242</v>
      </c>
      <c r="U102" s="7" t="s">
        <v>555</v>
      </c>
    </row>
    <row r="103" spans="1:21" s="16" customFormat="1" x14ac:dyDescent="0.25">
      <c r="A103" s="6">
        <v>45625</v>
      </c>
      <c r="B103" s="7" t="s">
        <v>20</v>
      </c>
      <c r="C103" s="7">
        <v>1023877140</v>
      </c>
      <c r="D103" s="7" t="s">
        <v>597</v>
      </c>
      <c r="E103" s="8">
        <v>3505388430</v>
      </c>
      <c r="F103" s="8">
        <f t="shared" ca="1" si="4"/>
        <v>18</v>
      </c>
      <c r="G103" s="9">
        <v>38890</v>
      </c>
      <c r="H103" s="7" t="s">
        <v>596</v>
      </c>
      <c r="I103" s="7" t="s">
        <v>224</v>
      </c>
      <c r="J103" s="7" t="s">
        <v>595</v>
      </c>
      <c r="K103" s="7" t="s">
        <v>346</v>
      </c>
      <c r="L103" s="7" t="s">
        <v>22</v>
      </c>
      <c r="M103" s="7" t="s">
        <v>21</v>
      </c>
      <c r="N103" s="7" t="s">
        <v>28</v>
      </c>
      <c r="O103" s="7" t="s">
        <v>26</v>
      </c>
      <c r="P103" s="10" t="s">
        <v>170</v>
      </c>
      <c r="Q103" s="7" t="s">
        <v>33</v>
      </c>
      <c r="R103" s="11" t="s">
        <v>36</v>
      </c>
      <c r="S103" s="12"/>
      <c r="T103" s="13">
        <v>91989611</v>
      </c>
      <c r="U103" s="7" t="s">
        <v>594</v>
      </c>
    </row>
    <row r="104" spans="1:21" s="16" customFormat="1" x14ac:dyDescent="0.25">
      <c r="A104" s="6">
        <v>45626</v>
      </c>
      <c r="B104" s="7" t="s">
        <v>20</v>
      </c>
      <c r="C104" s="7">
        <v>1030671801</v>
      </c>
      <c r="D104" s="7" t="s">
        <v>126</v>
      </c>
      <c r="E104" s="8">
        <v>3015272921</v>
      </c>
      <c r="F104" s="8">
        <f t="shared" ca="1" si="4"/>
        <v>28</v>
      </c>
      <c r="G104" s="9">
        <v>35324</v>
      </c>
      <c r="H104" s="7" t="s">
        <v>456</v>
      </c>
      <c r="I104" s="7" t="s">
        <v>324</v>
      </c>
      <c r="J104" s="7" t="s">
        <v>359</v>
      </c>
      <c r="K104" s="7" t="s">
        <v>304</v>
      </c>
      <c r="L104" s="7" t="s">
        <v>22</v>
      </c>
      <c r="M104" s="7" t="s">
        <v>21</v>
      </c>
      <c r="N104" s="7" t="s">
        <v>212</v>
      </c>
      <c r="O104" s="7" t="s">
        <v>26</v>
      </c>
      <c r="P104" s="10" t="s">
        <v>315</v>
      </c>
      <c r="Q104" s="7" t="s">
        <v>33</v>
      </c>
      <c r="R104" s="11" t="s">
        <v>36</v>
      </c>
      <c r="S104" s="12"/>
      <c r="T104" s="13">
        <v>91720068</v>
      </c>
      <c r="U104" s="7" t="s">
        <v>556</v>
      </c>
    </row>
    <row r="105" spans="1:21" s="16" customFormat="1" x14ac:dyDescent="0.25">
      <c r="A105" s="6">
        <v>45626</v>
      </c>
      <c r="B105" s="7" t="s">
        <v>20</v>
      </c>
      <c r="C105" s="7">
        <v>1032360360</v>
      </c>
      <c r="D105" s="7" t="s">
        <v>127</v>
      </c>
      <c r="E105" s="8">
        <v>3112275841</v>
      </c>
      <c r="F105" s="8">
        <f t="shared" ca="1" si="4"/>
        <v>38</v>
      </c>
      <c r="G105" s="9">
        <v>31427</v>
      </c>
      <c r="H105" s="7" t="s">
        <v>332</v>
      </c>
      <c r="I105" s="7" t="s">
        <v>184</v>
      </c>
      <c r="J105" s="7" t="s">
        <v>287</v>
      </c>
      <c r="K105" s="7" t="s">
        <v>23</v>
      </c>
      <c r="L105" s="7" t="s">
        <v>22</v>
      </c>
      <c r="M105" s="7" t="s">
        <v>21</v>
      </c>
      <c r="N105" s="7" t="s">
        <v>364</v>
      </c>
      <c r="O105" s="7" t="s">
        <v>26</v>
      </c>
      <c r="P105" s="10" t="s">
        <v>143</v>
      </c>
      <c r="Q105" s="7" t="s">
        <v>31</v>
      </c>
      <c r="R105" s="11" t="s">
        <v>36</v>
      </c>
      <c r="S105" s="12"/>
      <c r="T105" s="13">
        <v>91798033</v>
      </c>
      <c r="U105" s="7" t="s">
        <v>558</v>
      </c>
    </row>
    <row r="106" spans="1:21" s="16" customFormat="1" x14ac:dyDescent="0.25">
      <c r="A106" s="6">
        <v>45626</v>
      </c>
      <c r="B106" s="7" t="s">
        <v>128</v>
      </c>
      <c r="C106" s="7">
        <v>850592</v>
      </c>
      <c r="D106" s="7" t="s">
        <v>129</v>
      </c>
      <c r="E106" s="8">
        <v>3165408002</v>
      </c>
      <c r="F106" s="8">
        <f t="shared" ca="1" si="4"/>
        <v>32</v>
      </c>
      <c r="G106" s="9">
        <v>33921</v>
      </c>
      <c r="H106" s="7" t="s">
        <v>435</v>
      </c>
      <c r="I106" s="7" t="s">
        <v>461</v>
      </c>
      <c r="J106" s="7" t="s">
        <v>462</v>
      </c>
      <c r="K106" s="7" t="s">
        <v>177</v>
      </c>
      <c r="L106" s="7" t="s">
        <v>22</v>
      </c>
      <c r="M106" s="7" t="s">
        <v>21</v>
      </c>
      <c r="N106" s="7" t="s">
        <v>27</v>
      </c>
      <c r="O106" s="7" t="s">
        <v>26</v>
      </c>
      <c r="P106" s="10" t="s">
        <v>143</v>
      </c>
      <c r="Q106" s="7" t="s">
        <v>33</v>
      </c>
      <c r="R106" s="11" t="s">
        <v>36</v>
      </c>
      <c r="S106" s="12"/>
      <c r="T106" s="13">
        <v>91988889</v>
      </c>
      <c r="U106" s="7" t="s">
        <v>559</v>
      </c>
    </row>
    <row r="107" spans="1:21" s="16" customFormat="1" x14ac:dyDescent="0.25">
      <c r="A107" s="6">
        <v>45626</v>
      </c>
      <c r="B107" s="7" t="s">
        <v>20</v>
      </c>
      <c r="C107" s="7">
        <v>1032493105</v>
      </c>
      <c r="D107" s="7" t="s">
        <v>130</v>
      </c>
      <c r="E107" s="8">
        <v>3102216479</v>
      </c>
      <c r="F107" s="8">
        <f t="shared" ca="1" si="4"/>
        <v>27</v>
      </c>
      <c r="G107" s="9">
        <v>35679</v>
      </c>
      <c r="H107" s="7" t="s">
        <v>334</v>
      </c>
      <c r="I107" s="7" t="s">
        <v>463</v>
      </c>
      <c r="J107" s="7" t="s">
        <v>178</v>
      </c>
      <c r="K107" s="7" t="s">
        <v>338</v>
      </c>
      <c r="L107" s="7" t="s">
        <v>22</v>
      </c>
      <c r="M107" s="7" t="s">
        <v>21</v>
      </c>
      <c r="N107" s="7" t="s">
        <v>28</v>
      </c>
      <c r="O107" s="7" t="s">
        <v>26</v>
      </c>
      <c r="P107" s="10" t="s">
        <v>143</v>
      </c>
      <c r="Q107" s="7" t="s">
        <v>33</v>
      </c>
      <c r="R107" s="11" t="s">
        <v>36</v>
      </c>
      <c r="S107" s="12"/>
      <c r="T107" s="13">
        <v>91809770</v>
      </c>
      <c r="U107" s="7" t="s">
        <v>611</v>
      </c>
    </row>
    <row r="108" spans="1:21" s="16" customFormat="1" x14ac:dyDescent="0.25">
      <c r="A108" s="6">
        <v>45626</v>
      </c>
      <c r="B108" s="7" t="s">
        <v>20</v>
      </c>
      <c r="C108" s="7">
        <v>52726890</v>
      </c>
      <c r="D108" s="7" t="s">
        <v>63</v>
      </c>
      <c r="E108" s="8">
        <v>3235851994</v>
      </c>
      <c r="F108" s="8">
        <f t="shared" ca="1" si="4"/>
        <v>43</v>
      </c>
      <c r="G108" s="9">
        <v>29774</v>
      </c>
      <c r="H108" s="7" t="s">
        <v>152</v>
      </c>
      <c r="I108" s="7" t="s">
        <v>246</v>
      </c>
      <c r="J108" s="7" t="s">
        <v>247</v>
      </c>
      <c r="K108" s="7" t="s">
        <v>248</v>
      </c>
      <c r="L108" s="7" t="s">
        <v>22</v>
      </c>
      <c r="M108" s="7" t="s">
        <v>21</v>
      </c>
      <c r="N108" s="7" t="s">
        <v>27</v>
      </c>
      <c r="O108" s="7" t="s">
        <v>26</v>
      </c>
      <c r="P108" s="10" t="s">
        <v>138</v>
      </c>
      <c r="Q108" s="7" t="s">
        <v>33</v>
      </c>
      <c r="R108" s="11" t="s">
        <v>36</v>
      </c>
      <c r="S108" s="12"/>
      <c r="T108" s="13">
        <v>92115711</v>
      </c>
      <c r="U108" s="7" t="s">
        <v>560</v>
      </c>
    </row>
  </sheetData>
  <autoFilter ref="A1:U108" xr:uid="{00000000-0001-0000-0000-000000000000}"/>
  <dataValidations disablePrompts="1" count="2">
    <dataValidation type="list" allowBlank="1" showErrorMessage="1" sqref="N80:N82 B80:B82" xr:uid="{00000000-0002-0000-0000-000000000000}">
      <formula1>#REF!</formula1>
    </dataValidation>
    <dataValidation type="list" allowBlank="1" showErrorMessage="1" sqref="N73:N74 B73:B74 B103 N103" xr:uid="{4E7B106E-8F7F-4AFD-B065-37795E86F7A9}">
      <formula1>#REF!</formula1>
    </dataValidation>
  </dataValidation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1426-4CF4-484C-93E0-EA8E922C8294}">
  <dimension ref="A1:AA10"/>
  <sheetViews>
    <sheetView workbookViewId="0">
      <selection activeCell="A3" sqref="A3"/>
    </sheetView>
  </sheetViews>
  <sheetFormatPr baseColWidth="10" defaultRowHeight="15" x14ac:dyDescent="0.25"/>
  <cols>
    <col min="17" max="17" width="53.85546875" bestFit="1" customWidth="1"/>
    <col min="19" max="19" width="15.85546875" bestFit="1" customWidth="1"/>
    <col min="22" max="22" width="52.140625" style="18" customWidth="1"/>
  </cols>
  <sheetData>
    <row r="1" spans="1:27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4" t="s">
        <v>32</v>
      </c>
      <c r="T1" s="5" t="s">
        <v>18</v>
      </c>
      <c r="U1" s="5" t="s">
        <v>19</v>
      </c>
      <c r="V1" s="17"/>
    </row>
    <row r="2" spans="1:27" s="16" customFormat="1" x14ac:dyDescent="0.25">
      <c r="A2" s="6">
        <v>45608</v>
      </c>
      <c r="B2" s="7" t="s">
        <v>20</v>
      </c>
      <c r="C2" s="7">
        <v>1020775852</v>
      </c>
      <c r="D2" s="7" t="s">
        <v>67</v>
      </c>
      <c r="E2" s="8">
        <v>3202738611</v>
      </c>
      <c r="F2" s="8">
        <v>52</v>
      </c>
      <c r="G2" s="9">
        <v>26580</v>
      </c>
      <c r="H2" s="7" t="s">
        <v>260</v>
      </c>
      <c r="I2" s="7" t="s">
        <v>261</v>
      </c>
      <c r="J2" s="7" t="s">
        <v>262</v>
      </c>
      <c r="K2" s="7" t="s">
        <v>23</v>
      </c>
      <c r="L2" s="7" t="s">
        <v>22</v>
      </c>
      <c r="M2" s="7" t="s">
        <v>21</v>
      </c>
      <c r="N2" s="7" t="s">
        <v>27</v>
      </c>
      <c r="O2" s="7" t="s">
        <v>26</v>
      </c>
      <c r="P2" s="10" t="s">
        <v>240</v>
      </c>
      <c r="Q2" s="7" t="s">
        <v>33</v>
      </c>
      <c r="R2" s="11" t="s">
        <v>464</v>
      </c>
      <c r="S2" s="12"/>
      <c r="T2" s="13">
        <v>91351086</v>
      </c>
      <c r="U2" s="7"/>
      <c r="V2" s="14" t="s">
        <v>561</v>
      </c>
      <c r="W2" s="15"/>
      <c r="X2" s="15"/>
      <c r="Y2" s="15"/>
      <c r="Z2" s="15"/>
    </row>
    <row r="3" spans="1:27" s="16" customFormat="1" x14ac:dyDescent="0.25">
      <c r="A3" s="6">
        <v>45616</v>
      </c>
      <c r="B3" s="7" t="s">
        <v>20</v>
      </c>
      <c r="C3" s="7">
        <v>53051335</v>
      </c>
      <c r="D3" s="7" t="s">
        <v>102</v>
      </c>
      <c r="E3" s="8">
        <v>3193659359</v>
      </c>
      <c r="F3" s="8">
        <v>40</v>
      </c>
      <c r="G3" s="9">
        <v>30711</v>
      </c>
      <c r="H3" s="7" t="s">
        <v>371</v>
      </c>
      <c r="I3" s="7" t="s">
        <v>372</v>
      </c>
      <c r="J3" s="7" t="s">
        <v>373</v>
      </c>
      <c r="K3" s="7" t="s">
        <v>374</v>
      </c>
      <c r="L3" s="7" t="s">
        <v>22</v>
      </c>
      <c r="M3" s="7" t="s">
        <v>21</v>
      </c>
      <c r="N3" s="7" t="s">
        <v>183</v>
      </c>
      <c r="O3" s="7" t="s">
        <v>26</v>
      </c>
      <c r="P3" s="10" t="s">
        <v>375</v>
      </c>
      <c r="Q3" s="7" t="s">
        <v>31</v>
      </c>
      <c r="R3" s="11" t="s">
        <v>35</v>
      </c>
      <c r="S3" s="12"/>
      <c r="T3" s="13">
        <v>91973456</v>
      </c>
      <c r="U3" s="7" t="s">
        <v>530</v>
      </c>
      <c r="V3" s="14" t="s">
        <v>562</v>
      </c>
      <c r="W3" s="15"/>
      <c r="X3" s="15"/>
      <c r="Y3" s="15"/>
      <c r="Z3" s="15"/>
    </row>
    <row r="4" spans="1:27" s="16" customFormat="1" x14ac:dyDescent="0.25">
      <c r="A4" s="6">
        <v>45601</v>
      </c>
      <c r="B4" s="7" t="s">
        <v>20</v>
      </c>
      <c r="C4" s="7">
        <v>1094881177</v>
      </c>
      <c r="D4" s="7" t="s">
        <v>44</v>
      </c>
      <c r="E4" s="8">
        <v>3146518465</v>
      </c>
      <c r="F4" s="8">
        <f t="shared" ref="F4" ca="1" si="0">YEAR(NOW())-YEAR(G4)</f>
        <v>37</v>
      </c>
      <c r="G4" s="9">
        <v>31926</v>
      </c>
      <c r="H4" s="7" t="s">
        <v>163</v>
      </c>
      <c r="I4" s="7" t="s">
        <v>164</v>
      </c>
      <c r="J4" s="7" t="s">
        <v>165</v>
      </c>
      <c r="K4" s="7" t="s">
        <v>166</v>
      </c>
      <c r="L4" s="7" t="s">
        <v>22</v>
      </c>
      <c r="M4" s="7" t="s">
        <v>21</v>
      </c>
      <c r="N4" s="7" t="s">
        <v>27</v>
      </c>
      <c r="O4" s="7" t="s">
        <v>26</v>
      </c>
      <c r="P4" s="10" t="s">
        <v>143</v>
      </c>
      <c r="Q4" s="7" t="s">
        <v>31</v>
      </c>
      <c r="R4" s="11" t="s">
        <v>35</v>
      </c>
      <c r="S4" s="12"/>
      <c r="T4" s="13">
        <v>91532719</v>
      </c>
      <c r="U4" s="7" t="s">
        <v>471</v>
      </c>
      <c r="V4" s="19" t="s">
        <v>563</v>
      </c>
      <c r="W4" s="14"/>
      <c r="X4" s="15"/>
      <c r="Y4" s="15"/>
      <c r="Z4" s="15"/>
      <c r="AA4" s="15"/>
    </row>
    <row r="5" spans="1:27" s="16" customFormat="1" x14ac:dyDescent="0.25">
      <c r="A5" s="6">
        <v>45601</v>
      </c>
      <c r="B5" s="7" t="s">
        <v>20</v>
      </c>
      <c r="C5" s="7">
        <v>797928387</v>
      </c>
      <c r="D5" s="7" t="s">
        <v>48</v>
      </c>
      <c r="E5" s="8">
        <v>3118781380</v>
      </c>
      <c r="F5" s="8">
        <f t="shared" ref="F5" ca="1" si="1">YEAR(NOW())-YEAR(G5)</f>
        <v>47</v>
      </c>
      <c r="G5" s="9">
        <v>28369</v>
      </c>
      <c r="H5" s="7" t="s">
        <v>179</v>
      </c>
      <c r="I5" s="7" t="s">
        <v>180</v>
      </c>
      <c r="J5" s="7" t="s">
        <v>181</v>
      </c>
      <c r="K5" s="7" t="s">
        <v>182</v>
      </c>
      <c r="L5" s="7" t="s">
        <v>22</v>
      </c>
      <c r="M5" s="7" t="s">
        <v>148</v>
      </c>
      <c r="N5" s="7" t="s">
        <v>183</v>
      </c>
      <c r="O5" s="7" t="s">
        <v>26</v>
      </c>
      <c r="P5" s="10" t="s">
        <v>30</v>
      </c>
      <c r="Q5" s="7" t="s">
        <v>31</v>
      </c>
      <c r="R5" s="11" t="s">
        <v>35</v>
      </c>
      <c r="S5" s="12"/>
      <c r="T5" s="13">
        <v>91568710</v>
      </c>
      <c r="U5" s="7" t="s">
        <v>473</v>
      </c>
      <c r="V5" s="19" t="s">
        <v>564</v>
      </c>
      <c r="W5" s="14"/>
      <c r="X5" s="15"/>
      <c r="Y5" s="15"/>
      <c r="Z5" s="15"/>
      <c r="AA5" s="15"/>
    </row>
    <row r="6" spans="1:27" s="16" customFormat="1" x14ac:dyDescent="0.25">
      <c r="A6" s="6">
        <v>45608</v>
      </c>
      <c r="B6" s="7" t="s">
        <v>20</v>
      </c>
      <c r="C6" s="7">
        <v>79792838</v>
      </c>
      <c r="D6" s="7" t="s">
        <v>48</v>
      </c>
      <c r="E6" s="8">
        <v>3118781380</v>
      </c>
      <c r="F6" s="8">
        <f t="shared" ref="F6" ca="1" si="2">YEAR(NOW())-YEAR(G6)</f>
        <v>47</v>
      </c>
      <c r="G6" s="9">
        <v>28369</v>
      </c>
      <c r="H6" s="7" t="s">
        <v>179</v>
      </c>
      <c r="I6" s="7" t="s">
        <v>180</v>
      </c>
      <c r="J6" s="7" t="s">
        <v>181</v>
      </c>
      <c r="K6" s="7" t="s">
        <v>182</v>
      </c>
      <c r="L6" s="7" t="s">
        <v>22</v>
      </c>
      <c r="M6" s="7" t="s">
        <v>148</v>
      </c>
      <c r="N6" s="7" t="s">
        <v>183</v>
      </c>
      <c r="O6" s="7" t="s">
        <v>26</v>
      </c>
      <c r="P6" s="10" t="s">
        <v>30</v>
      </c>
      <c r="Q6" s="7" t="s">
        <v>33</v>
      </c>
      <c r="R6" s="11" t="s">
        <v>35</v>
      </c>
      <c r="S6" s="12"/>
      <c r="T6" s="13">
        <v>91802826</v>
      </c>
      <c r="U6" s="7" t="s">
        <v>493</v>
      </c>
      <c r="V6" s="19" t="s">
        <v>564</v>
      </c>
      <c r="W6" s="14"/>
      <c r="X6" s="15"/>
      <c r="Y6" s="15"/>
      <c r="Z6" s="15"/>
      <c r="AA6" s="15"/>
    </row>
    <row r="7" spans="1:27" s="16" customFormat="1" x14ac:dyDescent="0.25">
      <c r="A7" s="6">
        <v>45602</v>
      </c>
      <c r="B7" s="7" t="s">
        <v>20</v>
      </c>
      <c r="C7" s="7">
        <v>32746613</v>
      </c>
      <c r="D7" s="7" t="s">
        <v>51</v>
      </c>
      <c r="E7" s="8">
        <v>3116789659</v>
      </c>
      <c r="F7" s="8">
        <f t="shared" ref="F7" ca="1" si="3">YEAR(NOW())-YEAR(G7)</f>
        <v>53</v>
      </c>
      <c r="G7" s="9">
        <v>26110</v>
      </c>
      <c r="H7" s="7" t="s">
        <v>191</v>
      </c>
      <c r="I7" s="7" t="s">
        <v>192</v>
      </c>
      <c r="J7" s="7" t="s">
        <v>193</v>
      </c>
      <c r="K7" s="7" t="s">
        <v>194</v>
      </c>
      <c r="L7" s="7" t="s">
        <v>22</v>
      </c>
      <c r="M7" s="7" t="s">
        <v>21</v>
      </c>
      <c r="N7" s="7" t="s">
        <v>28</v>
      </c>
      <c r="O7" s="7" t="s">
        <v>26</v>
      </c>
      <c r="P7" s="10" t="s">
        <v>195</v>
      </c>
      <c r="Q7" s="7" t="s">
        <v>33</v>
      </c>
      <c r="R7" s="11" t="s">
        <v>35</v>
      </c>
      <c r="S7" s="12"/>
      <c r="T7" s="13">
        <v>91622651</v>
      </c>
      <c r="U7" s="7" t="s">
        <v>476</v>
      </c>
      <c r="V7" s="20" t="s">
        <v>602</v>
      </c>
      <c r="W7" s="14"/>
      <c r="X7" s="15"/>
      <c r="Y7" s="15"/>
      <c r="Z7" s="15"/>
      <c r="AA7" s="15"/>
    </row>
    <row r="8" spans="1:27" s="16" customFormat="1" x14ac:dyDescent="0.25">
      <c r="A8" s="6">
        <v>45615</v>
      </c>
      <c r="B8" s="7" t="s">
        <v>20</v>
      </c>
      <c r="C8" s="7">
        <v>38233618</v>
      </c>
      <c r="D8" s="7" t="s">
        <v>95</v>
      </c>
      <c r="E8" s="8">
        <v>3133979731</v>
      </c>
      <c r="F8" s="8">
        <f ca="1">YEAR(NOW())-YEAR(G8)</f>
        <v>67</v>
      </c>
      <c r="G8" s="9">
        <v>21011</v>
      </c>
      <c r="H8" s="7" t="s">
        <v>352</v>
      </c>
      <c r="I8" s="7" t="s">
        <v>353</v>
      </c>
      <c r="J8" s="7" t="s">
        <v>354</v>
      </c>
      <c r="K8" s="7" t="s">
        <v>355</v>
      </c>
      <c r="L8" s="7" t="s">
        <v>22</v>
      </c>
      <c r="M8" s="7" t="s">
        <v>21</v>
      </c>
      <c r="N8" s="7" t="s">
        <v>27</v>
      </c>
      <c r="O8" s="7" t="s">
        <v>26</v>
      </c>
      <c r="P8" s="10" t="s">
        <v>356</v>
      </c>
      <c r="Q8" s="7" t="s">
        <v>33</v>
      </c>
      <c r="R8" s="11" t="s">
        <v>35</v>
      </c>
      <c r="S8" s="12"/>
      <c r="T8" s="13">
        <v>91892680</v>
      </c>
      <c r="U8" s="7" t="s">
        <v>523</v>
      </c>
      <c r="V8" s="20" t="s">
        <v>604</v>
      </c>
      <c r="W8" s="14"/>
      <c r="X8" s="15"/>
      <c r="Y8" s="15"/>
      <c r="Z8" s="15"/>
      <c r="AA8" s="15"/>
    </row>
    <row r="9" spans="1:27" s="16" customFormat="1" x14ac:dyDescent="0.25">
      <c r="A9" s="6">
        <v>45626</v>
      </c>
      <c r="B9" s="7" t="s">
        <v>20</v>
      </c>
      <c r="C9" s="7">
        <v>80122521</v>
      </c>
      <c r="D9" s="7" t="s">
        <v>126</v>
      </c>
      <c r="E9" s="8">
        <v>3209471576</v>
      </c>
      <c r="F9" s="8">
        <f ca="1">YEAR(NOW())-YEAR(G9)</f>
        <v>50</v>
      </c>
      <c r="G9" s="9">
        <v>27085</v>
      </c>
      <c r="H9" s="7" t="s">
        <v>457</v>
      </c>
      <c r="I9" s="7" t="s">
        <v>458</v>
      </c>
      <c r="J9" s="7" t="s">
        <v>459</v>
      </c>
      <c r="K9" s="7" t="s">
        <v>23</v>
      </c>
      <c r="L9" s="7" t="s">
        <v>22</v>
      </c>
      <c r="M9" s="7" t="s">
        <v>148</v>
      </c>
      <c r="N9" s="7" t="s">
        <v>212</v>
      </c>
      <c r="O9" s="7" t="s">
        <v>26</v>
      </c>
      <c r="P9" s="10" t="s">
        <v>460</v>
      </c>
      <c r="Q9" s="7" t="s">
        <v>31</v>
      </c>
      <c r="R9" s="11" t="s">
        <v>36</v>
      </c>
      <c r="S9" s="12"/>
      <c r="T9" s="13">
        <v>91720161</v>
      </c>
      <c r="U9" s="7" t="s">
        <v>557</v>
      </c>
      <c r="V9" s="7" t="s">
        <v>605</v>
      </c>
      <c r="W9" s="14"/>
      <c r="X9" s="15"/>
      <c r="Y9" s="15"/>
      <c r="Z9" s="15"/>
      <c r="AA9" s="15"/>
    </row>
    <row r="10" spans="1:27" s="16" customFormat="1" x14ac:dyDescent="0.25">
      <c r="A10" s="6">
        <v>45616</v>
      </c>
      <c r="B10" s="7" t="s">
        <v>20</v>
      </c>
      <c r="C10" s="7">
        <v>1014298977</v>
      </c>
      <c r="D10" s="7" t="s">
        <v>101</v>
      </c>
      <c r="E10" s="8">
        <v>3105328247</v>
      </c>
      <c r="F10" s="8">
        <f ca="1">YEAR(NOW())-YEAR(G10)</f>
        <v>26</v>
      </c>
      <c r="G10" s="9">
        <v>35991</v>
      </c>
      <c r="H10" s="7" t="s">
        <v>368</v>
      </c>
      <c r="I10" s="7" t="s">
        <v>369</v>
      </c>
      <c r="J10" s="7" t="s">
        <v>370</v>
      </c>
      <c r="K10" s="7" t="s">
        <v>23</v>
      </c>
      <c r="L10" s="7" t="s">
        <v>22</v>
      </c>
      <c r="M10" s="7" t="s">
        <v>21</v>
      </c>
      <c r="N10" s="7" t="s">
        <v>161</v>
      </c>
      <c r="O10" s="7" t="s">
        <v>26</v>
      </c>
      <c r="P10" s="10" t="s">
        <v>170</v>
      </c>
      <c r="Q10" s="7" t="s">
        <v>33</v>
      </c>
      <c r="R10" s="11" t="s">
        <v>35</v>
      </c>
      <c r="S10" s="12"/>
      <c r="T10" s="13">
        <v>91917211</v>
      </c>
      <c r="U10" s="7" t="s">
        <v>529</v>
      </c>
      <c r="V10" s="14" t="s">
        <v>612</v>
      </c>
      <c r="X10" s="15"/>
      <c r="Y10" s="15"/>
      <c r="Z10" s="15"/>
      <c r="AA1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NOVIEMBRE </vt:lpstr>
      <vt:lpstr>NOVEDADES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2024-07-11T13:48:22Z</dcterms:created>
  <dcterms:modified xsi:type="dcterms:W3CDTF">2024-12-11T13:42:37Z</dcterms:modified>
</cp:coreProperties>
</file>