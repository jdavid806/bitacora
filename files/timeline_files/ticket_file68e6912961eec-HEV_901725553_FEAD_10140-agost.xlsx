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dvance Derma\CTAS MEDICAS\8. AGOSTO\PAC\"/>
    </mc:Choice>
  </mc:AlternateContent>
  <xr:revisionPtr revIDLastSave="0" documentId="13_ncr:1_{EC0C6764-3D8F-40DB-AFBA-527417C8D9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sulta-1" sheetId="7" r:id="rId1"/>
    <sheet name="Usuarios" sheetId="11" r:id="rId2"/>
    <sheet name="Novedades" sheetId="10" r:id="rId3"/>
  </sheets>
  <definedNames>
    <definedName name="_xlnm._FilterDatabase" localSheetId="0" hidden="1">'Consulta-1'!$A$1:$N$24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0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" i="7"/>
  <c r="L24" i="7" l="1"/>
  <c r="K24" i="7"/>
  <c r="M24" i="7" l="1"/>
</calcChain>
</file>

<file path=xl/sharedStrings.xml><?xml version="1.0" encoding="utf-8"?>
<sst xmlns="http://schemas.openxmlformats.org/spreadsheetml/2006/main" count="245" uniqueCount="96">
  <si>
    <t>FECHA CONSULTA</t>
  </si>
  <si>
    <t>NOMBRE</t>
  </si>
  <si>
    <t>TIPO DE ID</t>
  </si>
  <si>
    <t>ID</t>
  </si>
  <si>
    <t>TIPO DE SERVICIO</t>
  </si>
  <si>
    <t>VALOR BRUTO</t>
  </si>
  <si>
    <t>COPAGO</t>
  </si>
  <si>
    <t>VALOR NETO</t>
  </si>
  <si>
    <t>NUMERO DE AUTORIZACION</t>
  </si>
  <si>
    <t>SEXO</t>
  </si>
  <si>
    <t>CC</t>
  </si>
  <si>
    <t>L708</t>
  </si>
  <si>
    <t>L308</t>
  </si>
  <si>
    <t>L700</t>
  </si>
  <si>
    <t>L649</t>
  </si>
  <si>
    <t>TI</t>
  </si>
  <si>
    <t>B07X</t>
  </si>
  <si>
    <t>L910</t>
  </si>
  <si>
    <t>CIE</t>
  </si>
  <si>
    <t>L905</t>
  </si>
  <si>
    <t>L909</t>
  </si>
  <si>
    <t>L718</t>
  </si>
  <si>
    <t>B081</t>
  </si>
  <si>
    <t>D234</t>
  </si>
  <si>
    <t>D233</t>
  </si>
  <si>
    <t>FACTURA MEDICAL</t>
  </si>
  <si>
    <t>M</t>
  </si>
  <si>
    <t>F</t>
  </si>
  <si>
    <t>L900</t>
  </si>
  <si>
    <t>CUPS</t>
  </si>
  <si>
    <t xml:space="preserve">FECHA DE NACIMIENTO </t>
  </si>
  <si>
    <t>KAROL VIVIANA GARCIA CHAVARRO</t>
  </si>
  <si>
    <t>SAMUEL JACOBO ROJAS SARMIENTO</t>
  </si>
  <si>
    <t>ARMANDO  GONZALEZ FETIVA</t>
  </si>
  <si>
    <t>MILEY  MONSALVE BLANCO</t>
  </si>
  <si>
    <t>CAMILA FERNANDA ROJAS RODRIGUEZ</t>
  </si>
  <si>
    <t>DIANA MILENA SOLANO ROJAS</t>
  </si>
  <si>
    <t>LAURA  MILENA YUCUMA SOLANO</t>
  </si>
  <si>
    <t>LEIDY NATHALY CARRERA PARDO</t>
  </si>
  <si>
    <t xml:space="preserve">MELISSA  HERERA  MONSALVE </t>
  </si>
  <si>
    <t>PAULA ANDREA RINCON MARLES</t>
  </si>
  <si>
    <t>EVAN SANTIAGO ROJAS SARMIENTO</t>
  </si>
  <si>
    <t>DIANA MARCELA ESPITIA BOHORQUEZ</t>
  </si>
  <si>
    <t>DIEGO ALEJANDRO DAVILA VELA</t>
  </si>
  <si>
    <t>ANDRES FELIPE FANDIÑO MENDOZA</t>
  </si>
  <si>
    <t>MARIA CELESTE VALDERRAMA DIAZ</t>
  </si>
  <si>
    <t>NATALIA  RAMIREZ GUTIERREZ</t>
  </si>
  <si>
    <t>VIVIANA PAOLA RONCANCIO MORENO</t>
  </si>
  <si>
    <t>HERMINIA  CARDENAS RODRIGUEZ</t>
  </si>
  <si>
    <t>DANIEL GUILLERMO CASTIBLANCO REY</t>
  </si>
  <si>
    <t>CONSULTA DERMATOLOGICA PLAN COMPLEMENTARIO 2025</t>
  </si>
  <si>
    <t>INSUMOS ADICIONALES PROCEDIMIENTOS DERMATOLOGICOS PAC</t>
  </si>
  <si>
    <t>B009</t>
  </si>
  <si>
    <t>173384-55400</t>
  </si>
  <si>
    <t>173384-55600</t>
  </si>
  <si>
    <t>173384-49300</t>
  </si>
  <si>
    <t>173384-55700</t>
  </si>
  <si>
    <t>173384-55900</t>
  </si>
  <si>
    <t>173384-55800</t>
  </si>
  <si>
    <t>173384-56000</t>
  </si>
  <si>
    <t>173384-56100</t>
  </si>
  <si>
    <t>173384-56200</t>
  </si>
  <si>
    <t>173384-56300</t>
  </si>
  <si>
    <t>173384-54000</t>
  </si>
  <si>
    <t>2836-20642102</t>
  </si>
  <si>
    <t>173384-56400</t>
  </si>
  <si>
    <t>2836-20999602</t>
  </si>
  <si>
    <t>78-98477102</t>
  </si>
  <si>
    <t>173384-52800</t>
  </si>
  <si>
    <t>FEAD9342</t>
  </si>
  <si>
    <t>FEAD9379</t>
  </si>
  <si>
    <t>FEAD9393</t>
  </si>
  <si>
    <t>FEAD9437</t>
  </si>
  <si>
    <t>FEAD9485</t>
  </si>
  <si>
    <t>FEAD9486</t>
  </si>
  <si>
    <t>FEAD9487</t>
  </si>
  <si>
    <t>FEAD9524</t>
  </si>
  <si>
    <t>FEAD9601</t>
  </si>
  <si>
    <t>FEAD9677</t>
  </si>
  <si>
    <t>FEAD9705</t>
  </si>
  <si>
    <t>FEAD9712</t>
  </si>
  <si>
    <t>FEAD9719</t>
  </si>
  <si>
    <t>FEAD9837</t>
  </si>
  <si>
    <t>FEAD9848</t>
  </si>
  <si>
    <t>FEAD9856</t>
  </si>
  <si>
    <t>FEAD9867</t>
  </si>
  <si>
    <t>FEAD9873</t>
  </si>
  <si>
    <t>FEAD9883</t>
  </si>
  <si>
    <t>FEAD9909</t>
  </si>
  <si>
    <t>CONTROL DERMATOLOGICO PLAN COMPLEMENTARIO 2025</t>
  </si>
  <si>
    <t>173384-57300</t>
  </si>
  <si>
    <t>173384-56500</t>
  </si>
  <si>
    <t>173384-56600</t>
  </si>
  <si>
    <t>173384-56700</t>
  </si>
  <si>
    <t>173384-55500</t>
  </si>
  <si>
    <t>173384-57400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</si>
</sst>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yyyy\-mm\-dd"/>
  </numFmts>
  <fonts count="8" x14ac:knownFonts="1">
    <font>
      <sz val="11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  <charset val="1"/>
    </font>
    <font>
      <sz val="9"/>
      <name val="Arial"/>
      <family val="2"/>
    </font>
    <font>
      <b/>
      <sz val="1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6" fillId="3" borderId="5" xfId="1" applyNumberFormat="1" applyFont="1" applyFill="1" applyBorder="1"/>
    <xf numFmtId="165" fontId="0" fillId="0" borderId="0" xfId="0" applyNumberFormat="1"/>
    <xf numFmtId="164" fontId="3" fillId="0" borderId="1" xfId="1" applyNumberFormat="1" applyFont="1" applyFill="1" applyBorder="1" applyAlignment="1">
      <alignment horizontal="left" vertical="center" wrapText="1"/>
    </xf>
  </cellXfs>
  <cellStyles count="4">
    <cellStyle name="Moneda" xfId="1" builtinId="4"/>
    <cellStyle name="Moneda 2" xfId="3" xr:uid="{7541BF68-4D95-4A9F-AA8F-0BABD81B0306}"/>
    <cellStyle name="Normal" xfId="0" builtinId="0"/>
    <cellStyle name="Normal 2" xfId="2" xr:uid="{9F98924D-1414-4F5D-8ECA-055ABFCF79B5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599A-662E-4394-B61A-9B9C83C97866}">
  <sheetPr>
    <pageSetUpPr fitToPage="1"/>
  </sheetPr>
  <dimension ref="A1:O24"/>
  <sheetViews>
    <sheetView tabSelected="1" topLeftCell="C1" zoomScale="90" zoomScaleNormal="90" workbookViewId="0">
      <pane ySplit="1" topLeftCell="A2" activePane="bottomLeft" state="frozen"/>
      <selection activeCell="G1" sqref="G1"/>
      <selection pane="bottomLeft" activeCell="N1" sqref="N1"/>
    </sheetView>
  </sheetViews>
  <sheetFormatPr baseColWidth="10" defaultColWidth="8.88671875" defaultRowHeight="14.4" x14ac:dyDescent="0.3"/>
  <cols>
    <col min="1" max="1" width="12.44140625" customWidth="1"/>
    <col min="2" max="2" width="9.109375" customWidth="1"/>
    <col min="3" max="3" width="10.77734375" bestFit="1" customWidth="1"/>
    <col min="4" max="4" width="37.44140625" bestFit="1" customWidth="1"/>
    <col min="5" max="5" width="12.44140625" customWidth="1"/>
    <col min="6" max="7" width="9.21875" customWidth="1"/>
    <col min="8" max="8" width="9.33203125" customWidth="1"/>
    <col min="9" max="9" width="69" bestFit="1" customWidth="1"/>
    <col min="10" max="10" width="18.6640625" bestFit="1" customWidth="1"/>
    <col min="11" max="11" width="13.6640625" style="11" bestFit="1" customWidth="1"/>
    <col min="12" max="12" width="13.33203125" style="11" bestFit="1" customWidth="1"/>
    <col min="13" max="13" width="13.6640625" style="11" bestFit="1" customWidth="1"/>
    <col min="14" max="14" width="11.44140625" customWidth="1"/>
    <col min="15" max="15" width="11.21875" bestFit="1" customWidth="1"/>
    <col min="16" max="16" width="9.109375" bestFit="1" customWidth="1"/>
    <col min="17" max="17" width="10.109375" bestFit="1" customWidth="1"/>
    <col min="18" max="18" width="9.109375" bestFit="1" customWidth="1"/>
  </cols>
  <sheetData>
    <row r="1" spans="1:15" s="1" customFormat="1" ht="24" x14ac:dyDescent="0.3">
      <c r="A1" s="2" t="s">
        <v>0</v>
      </c>
      <c r="B1" s="3" t="s">
        <v>2</v>
      </c>
      <c r="C1" s="3" t="s">
        <v>3</v>
      </c>
      <c r="D1" s="3" t="s">
        <v>1</v>
      </c>
      <c r="E1" s="2" t="s">
        <v>30</v>
      </c>
      <c r="F1" s="3" t="s">
        <v>9</v>
      </c>
      <c r="G1" s="3" t="s">
        <v>18</v>
      </c>
      <c r="H1" s="3" t="s">
        <v>29</v>
      </c>
      <c r="I1" s="3" t="s">
        <v>4</v>
      </c>
      <c r="J1" s="3" t="s">
        <v>8</v>
      </c>
      <c r="K1" s="8" t="s">
        <v>5</v>
      </c>
      <c r="L1" s="8" t="s">
        <v>6</v>
      </c>
      <c r="M1" s="9" t="s">
        <v>7</v>
      </c>
      <c r="N1" s="4" t="s">
        <v>25</v>
      </c>
    </row>
    <row r="2" spans="1:15" x14ac:dyDescent="0.3">
      <c r="A2" s="5">
        <v>45871</v>
      </c>
      <c r="B2" s="6" t="s">
        <v>10</v>
      </c>
      <c r="C2" s="6">
        <v>1075238835</v>
      </c>
      <c r="D2" s="7" t="s">
        <v>31</v>
      </c>
      <c r="E2" s="5">
        <v>32718</v>
      </c>
      <c r="F2" s="6" t="s">
        <v>27</v>
      </c>
      <c r="G2" s="6" t="s">
        <v>21</v>
      </c>
      <c r="H2" s="6">
        <v>890242</v>
      </c>
      <c r="I2" s="7" t="s">
        <v>50</v>
      </c>
      <c r="J2" s="7" t="s">
        <v>53</v>
      </c>
      <c r="K2" s="14">
        <v>88900</v>
      </c>
      <c r="L2" s="14">
        <v>24500</v>
      </c>
      <c r="M2" s="10">
        <f t="shared" ref="M2:M23" si="0">+K2-L2</f>
        <v>64400</v>
      </c>
      <c r="N2" s="6" t="s">
        <v>69</v>
      </c>
      <c r="O2" s="13"/>
    </row>
    <row r="3" spans="1:15" x14ac:dyDescent="0.3">
      <c r="A3" s="5">
        <v>45873</v>
      </c>
      <c r="B3" s="6" t="s">
        <v>10</v>
      </c>
      <c r="C3" s="6">
        <v>1021397834</v>
      </c>
      <c r="D3" s="7" t="s">
        <v>32</v>
      </c>
      <c r="E3" s="5">
        <v>39080</v>
      </c>
      <c r="F3" s="6" t="s">
        <v>26</v>
      </c>
      <c r="G3" s="6" t="s">
        <v>13</v>
      </c>
      <c r="H3" s="6">
        <v>890242</v>
      </c>
      <c r="I3" s="7" t="s">
        <v>50</v>
      </c>
      <c r="J3" s="7" t="s">
        <v>94</v>
      </c>
      <c r="K3" s="14">
        <v>88900</v>
      </c>
      <c r="L3" s="14">
        <v>24500</v>
      </c>
      <c r="M3" s="10">
        <f t="shared" si="0"/>
        <v>64400</v>
      </c>
      <c r="N3" s="6" t="s">
        <v>70</v>
      </c>
      <c r="O3" s="13"/>
    </row>
    <row r="4" spans="1:15" x14ac:dyDescent="0.3">
      <c r="A4" s="5">
        <v>45874</v>
      </c>
      <c r="B4" s="6" t="s">
        <v>10</v>
      </c>
      <c r="C4" s="6">
        <v>11338467</v>
      </c>
      <c r="D4" s="7" t="s">
        <v>33</v>
      </c>
      <c r="E4" s="5">
        <v>18860</v>
      </c>
      <c r="F4" s="6" t="s">
        <v>26</v>
      </c>
      <c r="G4" s="6" t="s">
        <v>24</v>
      </c>
      <c r="H4" s="6">
        <v>890242</v>
      </c>
      <c r="I4" s="7" t="s">
        <v>50</v>
      </c>
      <c r="J4" s="7" t="s">
        <v>54</v>
      </c>
      <c r="K4" s="14">
        <v>88900</v>
      </c>
      <c r="L4" s="14">
        <v>24500</v>
      </c>
      <c r="M4" s="10">
        <f t="shared" si="0"/>
        <v>64400</v>
      </c>
      <c r="N4" s="6" t="s">
        <v>71</v>
      </c>
      <c r="O4" s="13"/>
    </row>
    <row r="5" spans="1:15" x14ac:dyDescent="0.3">
      <c r="A5" s="5">
        <v>45875</v>
      </c>
      <c r="B5" s="6" t="s">
        <v>10</v>
      </c>
      <c r="C5" s="6">
        <v>1019028686</v>
      </c>
      <c r="D5" s="7" t="s">
        <v>34</v>
      </c>
      <c r="E5" s="5">
        <v>32297</v>
      </c>
      <c r="F5" s="6" t="s">
        <v>27</v>
      </c>
      <c r="G5" s="6" t="s">
        <v>14</v>
      </c>
      <c r="H5" s="6">
        <v>890242</v>
      </c>
      <c r="I5" s="7" t="s">
        <v>50</v>
      </c>
      <c r="J5" s="7" t="s">
        <v>55</v>
      </c>
      <c r="K5" s="14">
        <v>88900</v>
      </c>
      <c r="L5" s="14">
        <v>24500</v>
      </c>
      <c r="M5" s="10">
        <f t="shared" si="0"/>
        <v>64400</v>
      </c>
      <c r="N5" s="6" t="s">
        <v>72</v>
      </c>
      <c r="O5" s="13"/>
    </row>
    <row r="6" spans="1:15" x14ac:dyDescent="0.3">
      <c r="A6" s="5">
        <v>45878</v>
      </c>
      <c r="B6" s="6" t="s">
        <v>10</v>
      </c>
      <c r="C6" s="6">
        <v>35199905</v>
      </c>
      <c r="D6" s="7" t="s">
        <v>35</v>
      </c>
      <c r="E6" s="5">
        <v>30620</v>
      </c>
      <c r="F6" s="6" t="s">
        <v>27</v>
      </c>
      <c r="G6" s="6" t="s">
        <v>28</v>
      </c>
      <c r="H6" s="6">
        <v>890242</v>
      </c>
      <c r="I6" s="7" t="s">
        <v>50</v>
      </c>
      <c r="J6" s="7" t="s">
        <v>56</v>
      </c>
      <c r="K6" s="14">
        <v>88900</v>
      </c>
      <c r="L6" s="14">
        <v>24500</v>
      </c>
      <c r="M6" s="10">
        <f t="shared" si="0"/>
        <v>64400</v>
      </c>
      <c r="N6" s="6" t="s">
        <v>73</v>
      </c>
      <c r="O6" s="13"/>
    </row>
    <row r="7" spans="1:15" x14ac:dyDescent="0.3">
      <c r="A7" s="5">
        <v>45878</v>
      </c>
      <c r="B7" s="6" t="s">
        <v>10</v>
      </c>
      <c r="C7" s="6">
        <v>46372308</v>
      </c>
      <c r="D7" s="7" t="s">
        <v>36</v>
      </c>
      <c r="E7" s="5">
        <v>27647</v>
      </c>
      <c r="F7" s="6" t="s">
        <v>27</v>
      </c>
      <c r="G7" s="6" t="s">
        <v>21</v>
      </c>
      <c r="H7" s="6">
        <v>890242</v>
      </c>
      <c r="I7" s="7" t="s">
        <v>50</v>
      </c>
      <c r="J7" s="7" t="s">
        <v>57</v>
      </c>
      <c r="K7" s="14">
        <v>88900</v>
      </c>
      <c r="L7" s="14">
        <v>24500</v>
      </c>
      <c r="M7" s="10">
        <f t="shared" si="0"/>
        <v>64400</v>
      </c>
      <c r="N7" s="6" t="s">
        <v>74</v>
      </c>
      <c r="O7" s="13"/>
    </row>
    <row r="8" spans="1:15" x14ac:dyDescent="0.3">
      <c r="A8" s="5">
        <v>45878</v>
      </c>
      <c r="B8" s="6" t="s">
        <v>15</v>
      </c>
      <c r="C8" s="6">
        <v>1016596803</v>
      </c>
      <c r="D8" s="7" t="s">
        <v>37</v>
      </c>
      <c r="E8" s="5">
        <v>39532</v>
      </c>
      <c r="F8" s="6" t="s">
        <v>27</v>
      </c>
      <c r="G8" s="6" t="s">
        <v>13</v>
      </c>
      <c r="H8" s="6">
        <v>890242</v>
      </c>
      <c r="I8" s="7" t="s">
        <v>50</v>
      </c>
      <c r="J8" s="7" t="s">
        <v>58</v>
      </c>
      <c r="K8" s="14">
        <v>88900</v>
      </c>
      <c r="L8" s="14">
        <v>24500</v>
      </c>
      <c r="M8" s="10">
        <f t="shared" si="0"/>
        <v>64400</v>
      </c>
      <c r="N8" s="6" t="s">
        <v>75</v>
      </c>
      <c r="O8" s="13"/>
    </row>
    <row r="9" spans="1:15" x14ac:dyDescent="0.3">
      <c r="A9" s="5">
        <v>45881</v>
      </c>
      <c r="B9" s="6" t="s">
        <v>10</v>
      </c>
      <c r="C9" s="6">
        <v>1014228757</v>
      </c>
      <c r="D9" s="7" t="s">
        <v>38</v>
      </c>
      <c r="E9" s="5">
        <v>33547</v>
      </c>
      <c r="F9" s="6" t="s">
        <v>27</v>
      </c>
      <c r="G9" s="6" t="s">
        <v>17</v>
      </c>
      <c r="H9" s="6">
        <v>890242</v>
      </c>
      <c r="I9" s="7" t="s">
        <v>50</v>
      </c>
      <c r="J9" s="7" t="s">
        <v>59</v>
      </c>
      <c r="K9" s="14">
        <v>88900</v>
      </c>
      <c r="L9" s="14">
        <v>24500</v>
      </c>
      <c r="M9" s="10">
        <f t="shared" si="0"/>
        <v>64400</v>
      </c>
      <c r="N9" s="6" t="s">
        <v>76</v>
      </c>
      <c r="O9" s="13"/>
    </row>
    <row r="10" spans="1:15" x14ac:dyDescent="0.3">
      <c r="A10" s="5">
        <v>45883</v>
      </c>
      <c r="B10" s="6" t="s">
        <v>10</v>
      </c>
      <c r="C10" s="6">
        <v>1030625753</v>
      </c>
      <c r="D10" s="7" t="s">
        <v>39</v>
      </c>
      <c r="E10" s="5">
        <v>34123</v>
      </c>
      <c r="F10" s="6" t="s">
        <v>27</v>
      </c>
      <c r="G10" s="6" t="s">
        <v>19</v>
      </c>
      <c r="H10" s="6">
        <v>890242</v>
      </c>
      <c r="I10" s="7" t="s">
        <v>50</v>
      </c>
      <c r="J10" s="7" t="s">
        <v>60</v>
      </c>
      <c r="K10" s="14">
        <v>88900</v>
      </c>
      <c r="L10" s="14">
        <v>24500</v>
      </c>
      <c r="M10" s="10">
        <f t="shared" si="0"/>
        <v>64400</v>
      </c>
      <c r="N10" s="6" t="s">
        <v>77</v>
      </c>
      <c r="O10" s="13"/>
    </row>
    <row r="11" spans="1:15" x14ac:dyDescent="0.3">
      <c r="A11" s="5">
        <v>45889</v>
      </c>
      <c r="B11" s="6" t="s">
        <v>10</v>
      </c>
      <c r="C11" s="6">
        <v>1020756322</v>
      </c>
      <c r="D11" s="7" t="s">
        <v>40</v>
      </c>
      <c r="E11" s="5">
        <v>33141</v>
      </c>
      <c r="F11" s="6" t="s">
        <v>27</v>
      </c>
      <c r="G11" s="6" t="s">
        <v>23</v>
      </c>
      <c r="H11" s="6">
        <v>890242</v>
      </c>
      <c r="I11" s="7" t="s">
        <v>50</v>
      </c>
      <c r="J11" s="7" t="s">
        <v>61</v>
      </c>
      <c r="K11" s="14">
        <v>88900</v>
      </c>
      <c r="L11" s="14">
        <v>24500</v>
      </c>
      <c r="M11" s="10">
        <f t="shared" si="0"/>
        <v>64400</v>
      </c>
      <c r="N11" s="6" t="s">
        <v>78</v>
      </c>
      <c r="O11" s="13"/>
    </row>
    <row r="12" spans="1:15" x14ac:dyDescent="0.3">
      <c r="A12" s="5">
        <v>45890</v>
      </c>
      <c r="B12" s="6" t="s">
        <v>10</v>
      </c>
      <c r="C12" s="6">
        <v>1011089093</v>
      </c>
      <c r="D12" s="7" t="s">
        <v>41</v>
      </c>
      <c r="E12" s="5">
        <v>38656</v>
      </c>
      <c r="F12" s="6" t="s">
        <v>26</v>
      </c>
      <c r="G12" s="6" t="s">
        <v>14</v>
      </c>
      <c r="H12" s="6">
        <v>890242</v>
      </c>
      <c r="I12" s="7" t="s">
        <v>50</v>
      </c>
      <c r="J12" s="7" t="s">
        <v>90</v>
      </c>
      <c r="K12" s="14">
        <v>88900</v>
      </c>
      <c r="L12" s="14">
        <v>24500</v>
      </c>
      <c r="M12" s="10">
        <f t="shared" si="0"/>
        <v>64400</v>
      </c>
      <c r="N12" s="6" t="s">
        <v>79</v>
      </c>
      <c r="O12" s="13"/>
    </row>
    <row r="13" spans="1:15" x14ac:dyDescent="0.3">
      <c r="A13" s="5">
        <v>45890</v>
      </c>
      <c r="B13" s="6" t="s">
        <v>10</v>
      </c>
      <c r="C13" s="6">
        <v>1026263176</v>
      </c>
      <c r="D13" s="7" t="s">
        <v>42</v>
      </c>
      <c r="E13" s="5">
        <v>32499</v>
      </c>
      <c r="F13" s="6" t="s">
        <v>27</v>
      </c>
      <c r="G13" s="6" t="s">
        <v>20</v>
      </c>
      <c r="H13" s="6">
        <v>890242</v>
      </c>
      <c r="I13" s="7" t="s">
        <v>50</v>
      </c>
      <c r="J13" s="7" t="s">
        <v>62</v>
      </c>
      <c r="K13" s="14">
        <v>88900</v>
      </c>
      <c r="L13" s="14">
        <v>24500</v>
      </c>
      <c r="M13" s="10">
        <f t="shared" si="0"/>
        <v>64400</v>
      </c>
      <c r="N13" s="6" t="s">
        <v>80</v>
      </c>
      <c r="O13" s="13"/>
    </row>
    <row r="14" spans="1:15" x14ac:dyDescent="0.3">
      <c r="A14" s="5">
        <v>45891</v>
      </c>
      <c r="B14" s="6" t="s">
        <v>10</v>
      </c>
      <c r="C14" s="6">
        <v>1014282300</v>
      </c>
      <c r="D14" s="7" t="s">
        <v>43</v>
      </c>
      <c r="E14" s="5">
        <v>35374</v>
      </c>
      <c r="F14" s="6" t="s">
        <v>26</v>
      </c>
      <c r="G14" s="6" t="s">
        <v>17</v>
      </c>
      <c r="H14" s="6">
        <v>890242</v>
      </c>
      <c r="I14" s="7" t="s">
        <v>50</v>
      </c>
      <c r="J14" s="7" t="s">
        <v>63</v>
      </c>
      <c r="K14" s="14">
        <v>88900</v>
      </c>
      <c r="L14" s="14">
        <v>24500</v>
      </c>
      <c r="M14" s="10">
        <f t="shared" si="0"/>
        <v>64400</v>
      </c>
      <c r="N14" s="6" t="s">
        <v>81</v>
      </c>
      <c r="O14" s="13"/>
    </row>
    <row r="15" spans="1:15" x14ac:dyDescent="0.3">
      <c r="A15" s="5">
        <v>45891</v>
      </c>
      <c r="B15" s="6" t="s">
        <v>10</v>
      </c>
      <c r="C15" s="6">
        <v>1014282300</v>
      </c>
      <c r="D15" s="7" t="s">
        <v>43</v>
      </c>
      <c r="E15" s="5">
        <v>35374</v>
      </c>
      <c r="F15" s="6" t="s">
        <v>26</v>
      </c>
      <c r="G15" s="6" t="s">
        <v>17</v>
      </c>
      <c r="H15" s="6">
        <v>863601</v>
      </c>
      <c r="I15" s="7" t="s">
        <v>51</v>
      </c>
      <c r="J15" s="7" t="s">
        <v>64</v>
      </c>
      <c r="K15" s="14">
        <v>25400</v>
      </c>
      <c r="L15" s="14">
        <v>0</v>
      </c>
      <c r="M15" s="10">
        <f t="shared" si="0"/>
        <v>25400</v>
      </c>
      <c r="N15" s="6"/>
      <c r="O15" s="13"/>
    </row>
    <row r="16" spans="1:15" x14ac:dyDescent="0.3">
      <c r="A16" s="5">
        <v>45897</v>
      </c>
      <c r="B16" s="6" t="s">
        <v>10</v>
      </c>
      <c r="C16" s="6">
        <v>1014180059</v>
      </c>
      <c r="D16" s="7" t="s">
        <v>44</v>
      </c>
      <c r="E16" s="5">
        <v>31592</v>
      </c>
      <c r="F16" s="6" t="s">
        <v>26</v>
      </c>
      <c r="G16" s="6" t="s">
        <v>52</v>
      </c>
      <c r="H16" s="6">
        <v>890242</v>
      </c>
      <c r="I16" s="7" t="s">
        <v>50</v>
      </c>
      <c r="J16" s="7" t="s">
        <v>65</v>
      </c>
      <c r="K16" s="14">
        <v>88900</v>
      </c>
      <c r="L16" s="14">
        <v>24500</v>
      </c>
      <c r="M16" s="10">
        <f t="shared" si="0"/>
        <v>64400</v>
      </c>
      <c r="N16" s="6" t="s">
        <v>82</v>
      </c>
      <c r="O16" s="13"/>
    </row>
    <row r="17" spans="1:15" x14ac:dyDescent="0.3">
      <c r="A17" s="5">
        <v>45897</v>
      </c>
      <c r="B17" s="6" t="s">
        <v>10</v>
      </c>
      <c r="C17" s="6">
        <v>1014228757</v>
      </c>
      <c r="D17" s="7" t="s">
        <v>38</v>
      </c>
      <c r="E17" s="5">
        <v>33547</v>
      </c>
      <c r="F17" s="6" t="s">
        <v>27</v>
      </c>
      <c r="G17" s="6" t="s">
        <v>17</v>
      </c>
      <c r="H17" s="6">
        <v>890342</v>
      </c>
      <c r="I17" s="7" t="s">
        <v>89</v>
      </c>
      <c r="J17" s="7" t="s">
        <v>59</v>
      </c>
      <c r="K17" s="14">
        <v>88900</v>
      </c>
      <c r="L17" s="14">
        <v>24500</v>
      </c>
      <c r="M17" s="10">
        <f t="shared" si="0"/>
        <v>64400</v>
      </c>
      <c r="N17" s="6" t="s">
        <v>83</v>
      </c>
      <c r="O17" s="13"/>
    </row>
    <row r="18" spans="1:15" x14ac:dyDescent="0.3">
      <c r="A18" s="5">
        <v>45897</v>
      </c>
      <c r="B18" s="6" t="s">
        <v>10</v>
      </c>
      <c r="C18" s="6">
        <v>1014228757</v>
      </c>
      <c r="D18" s="7" t="s">
        <v>38</v>
      </c>
      <c r="E18" s="5">
        <v>33547</v>
      </c>
      <c r="F18" s="6" t="s">
        <v>27</v>
      </c>
      <c r="G18" s="6" t="s">
        <v>17</v>
      </c>
      <c r="H18" s="6">
        <v>863601</v>
      </c>
      <c r="I18" s="7" t="s">
        <v>51</v>
      </c>
      <c r="J18" s="7" t="s">
        <v>66</v>
      </c>
      <c r="K18" s="14">
        <v>25400</v>
      </c>
      <c r="L18" s="14">
        <v>0</v>
      </c>
      <c r="M18" s="10">
        <f t="shared" si="0"/>
        <v>25400</v>
      </c>
      <c r="N18" s="6"/>
      <c r="O18" s="13"/>
    </row>
    <row r="19" spans="1:15" x14ac:dyDescent="0.3">
      <c r="A19" s="5">
        <v>45897</v>
      </c>
      <c r="B19" s="6" t="s">
        <v>15</v>
      </c>
      <c r="C19" s="6">
        <v>1234438156</v>
      </c>
      <c r="D19" s="7" t="s">
        <v>45</v>
      </c>
      <c r="E19" s="5">
        <v>42562</v>
      </c>
      <c r="F19" s="6" t="s">
        <v>27</v>
      </c>
      <c r="G19" s="6" t="s">
        <v>22</v>
      </c>
      <c r="H19" s="6">
        <v>890242</v>
      </c>
      <c r="I19" s="7" t="s">
        <v>50</v>
      </c>
      <c r="J19" s="7" t="s">
        <v>95</v>
      </c>
      <c r="K19" s="14">
        <v>88900</v>
      </c>
      <c r="L19" s="14">
        <v>24500</v>
      </c>
      <c r="M19" s="10">
        <f t="shared" si="0"/>
        <v>64400</v>
      </c>
      <c r="N19" s="6" t="s">
        <v>84</v>
      </c>
      <c r="O19" s="13"/>
    </row>
    <row r="20" spans="1:15" x14ac:dyDescent="0.3">
      <c r="A20" s="5">
        <v>45897</v>
      </c>
      <c r="B20" s="6" t="s">
        <v>15</v>
      </c>
      <c r="C20" s="6">
        <v>1234438156</v>
      </c>
      <c r="D20" s="7" t="s">
        <v>45</v>
      </c>
      <c r="E20" s="5">
        <v>42562</v>
      </c>
      <c r="F20" s="6" t="s">
        <v>27</v>
      </c>
      <c r="G20" s="6" t="s">
        <v>22</v>
      </c>
      <c r="H20" s="6">
        <v>863601</v>
      </c>
      <c r="I20" s="7" t="s">
        <v>51</v>
      </c>
      <c r="J20" s="7" t="s">
        <v>67</v>
      </c>
      <c r="K20" s="14">
        <v>25400</v>
      </c>
      <c r="L20" s="14">
        <v>0</v>
      </c>
      <c r="M20" s="10">
        <f t="shared" si="0"/>
        <v>25400</v>
      </c>
      <c r="N20" s="6"/>
      <c r="O20" s="13"/>
    </row>
    <row r="21" spans="1:15" x14ac:dyDescent="0.3">
      <c r="A21" s="5">
        <v>45898</v>
      </c>
      <c r="B21" s="6" t="s">
        <v>10</v>
      </c>
      <c r="C21" s="6">
        <v>52885423</v>
      </c>
      <c r="D21" s="7" t="s">
        <v>47</v>
      </c>
      <c r="E21" s="5">
        <v>29983</v>
      </c>
      <c r="F21" s="6" t="s">
        <v>27</v>
      </c>
      <c r="G21" s="6" t="s">
        <v>12</v>
      </c>
      <c r="H21" s="6">
        <v>890242</v>
      </c>
      <c r="I21" s="7" t="s">
        <v>50</v>
      </c>
      <c r="J21" s="7" t="s">
        <v>91</v>
      </c>
      <c r="K21" s="14">
        <v>88900</v>
      </c>
      <c r="L21" s="14">
        <v>24500</v>
      </c>
      <c r="M21" s="10">
        <f t="shared" si="0"/>
        <v>64400</v>
      </c>
      <c r="N21" s="6" t="s">
        <v>86</v>
      </c>
      <c r="O21" s="13"/>
    </row>
    <row r="22" spans="1:15" x14ac:dyDescent="0.3">
      <c r="A22" s="5">
        <v>45898</v>
      </c>
      <c r="B22" s="6" t="s">
        <v>10</v>
      </c>
      <c r="C22" s="6">
        <v>51569941</v>
      </c>
      <c r="D22" s="7" t="s">
        <v>48</v>
      </c>
      <c r="E22" s="5">
        <v>21545</v>
      </c>
      <c r="F22" s="6" t="s">
        <v>27</v>
      </c>
      <c r="G22" s="6" t="s">
        <v>12</v>
      </c>
      <c r="H22" s="6">
        <v>890242</v>
      </c>
      <c r="I22" s="7" t="s">
        <v>50</v>
      </c>
      <c r="J22" s="7" t="s">
        <v>92</v>
      </c>
      <c r="K22" s="14">
        <v>88900</v>
      </c>
      <c r="L22" s="14">
        <v>24500</v>
      </c>
      <c r="M22" s="10">
        <f t="shared" si="0"/>
        <v>64400</v>
      </c>
      <c r="N22" s="6" t="s">
        <v>87</v>
      </c>
      <c r="O22" s="13"/>
    </row>
    <row r="23" spans="1:15" ht="15" thickBot="1" x14ac:dyDescent="0.35">
      <c r="A23" s="5">
        <v>45899</v>
      </c>
      <c r="B23" s="6" t="s">
        <v>10</v>
      </c>
      <c r="C23" s="6">
        <v>1094899513</v>
      </c>
      <c r="D23" s="7" t="s">
        <v>49</v>
      </c>
      <c r="E23" s="5">
        <v>32399</v>
      </c>
      <c r="F23" s="6" t="s">
        <v>26</v>
      </c>
      <c r="G23" s="6" t="s">
        <v>16</v>
      </c>
      <c r="H23" s="6">
        <v>890242</v>
      </c>
      <c r="I23" s="7" t="s">
        <v>50</v>
      </c>
      <c r="J23" s="7" t="s">
        <v>93</v>
      </c>
      <c r="K23" s="14">
        <v>88900</v>
      </c>
      <c r="L23" s="14">
        <v>24500</v>
      </c>
      <c r="M23" s="10">
        <f t="shared" si="0"/>
        <v>64400</v>
      </c>
      <c r="N23" s="6" t="s">
        <v>88</v>
      </c>
      <c r="O23" s="13"/>
    </row>
    <row r="24" spans="1:15" ht="15" thickBot="1" x14ac:dyDescent="0.35">
      <c r="K24" s="12">
        <f>SUM(K1:K23)</f>
        <v>1765300</v>
      </c>
      <c r="L24" s="12">
        <f>SUM(L1:L23)</f>
        <v>465500</v>
      </c>
      <c r="M24" s="12">
        <f>SUM(M1:M23)</f>
        <v>1299800</v>
      </c>
    </row>
  </sheetData>
  <autoFilter ref="A1:N24" xr:uid="{7BBA599A-662E-4394-B61A-9B9C83C97866}"/>
  <conditionalFormatting sqref="J1">
    <cfRule type="duplicateValues" dxfId="6" priority="25"/>
  </conditionalFormatting>
  <conditionalFormatting sqref="J1:J23">
    <cfRule type="containsBlanks" priority="4">
      <formula>LEN(TRIM(J1))=0</formula>
    </cfRule>
  </conditionalFormatting>
  <conditionalFormatting sqref="J2:J7 J9:J23">
    <cfRule type="duplicateValues" dxfId="5" priority="361"/>
  </conditionalFormatting>
  <conditionalFormatting sqref="J8">
    <cfRule type="duplicateValues" dxfId="4" priority="3"/>
  </conditionalFormatting>
  <conditionalFormatting sqref="N1">
    <cfRule type="duplicateValues" dxfId="3" priority="27"/>
  </conditionalFormatting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6CD5-8267-4F3E-9F47-0B81E7AEC99D}">
  <dimension ref="A1:E19"/>
  <sheetViews>
    <sheetView workbookViewId="0">
      <selection activeCell="A2" sqref="A2"/>
    </sheetView>
  </sheetViews>
  <sheetFormatPr baseColWidth="10" defaultRowHeight="14.4" x14ac:dyDescent="0.3"/>
  <cols>
    <col min="1" max="1" width="9.109375" customWidth="1"/>
    <col min="2" max="2" width="10.77734375" bestFit="1" customWidth="1"/>
    <col min="3" max="3" width="37.44140625" bestFit="1" customWidth="1"/>
    <col min="4" max="4" width="12.44140625" customWidth="1"/>
    <col min="5" max="5" width="9.21875" customWidth="1"/>
  </cols>
  <sheetData>
    <row r="1" spans="1:5" ht="24" x14ac:dyDescent="0.3">
      <c r="A1" s="3" t="s">
        <v>2</v>
      </c>
      <c r="B1" s="3" t="s">
        <v>3</v>
      </c>
      <c r="C1" s="3" t="s">
        <v>1</v>
      </c>
      <c r="D1" s="2" t="s">
        <v>30</v>
      </c>
      <c r="E1" s="3" t="s">
        <v>9</v>
      </c>
    </row>
    <row r="2" spans="1:5" x14ac:dyDescent="0.3">
      <c r="A2" s="6" t="s">
        <v>10</v>
      </c>
      <c r="B2" s="6">
        <v>1075238835</v>
      </c>
      <c r="C2" s="7" t="s">
        <v>31</v>
      </c>
      <c r="D2" s="5">
        <v>32718</v>
      </c>
      <c r="E2" s="6" t="s">
        <v>27</v>
      </c>
    </row>
    <row r="3" spans="1:5" x14ac:dyDescent="0.3">
      <c r="A3" s="6" t="s">
        <v>10</v>
      </c>
      <c r="B3" s="6">
        <v>1021397834</v>
      </c>
      <c r="C3" s="7" t="s">
        <v>32</v>
      </c>
      <c r="D3" s="5">
        <v>39080</v>
      </c>
      <c r="E3" s="6" t="s">
        <v>26</v>
      </c>
    </row>
    <row r="4" spans="1:5" x14ac:dyDescent="0.3">
      <c r="A4" s="6" t="s">
        <v>10</v>
      </c>
      <c r="B4" s="6">
        <v>11338467</v>
      </c>
      <c r="C4" s="7" t="s">
        <v>33</v>
      </c>
      <c r="D4" s="5">
        <v>18860</v>
      </c>
      <c r="E4" s="6" t="s">
        <v>26</v>
      </c>
    </row>
    <row r="5" spans="1:5" x14ac:dyDescent="0.3">
      <c r="A5" s="6" t="s">
        <v>10</v>
      </c>
      <c r="B5" s="6">
        <v>1019028686</v>
      </c>
      <c r="C5" s="7" t="s">
        <v>34</v>
      </c>
      <c r="D5" s="5">
        <v>32297</v>
      </c>
      <c r="E5" s="6" t="s">
        <v>27</v>
      </c>
    </row>
    <row r="6" spans="1:5" x14ac:dyDescent="0.3">
      <c r="A6" s="6" t="s">
        <v>10</v>
      </c>
      <c r="B6" s="6">
        <v>35199905</v>
      </c>
      <c r="C6" s="7" t="s">
        <v>35</v>
      </c>
      <c r="D6" s="5">
        <v>30620</v>
      </c>
      <c r="E6" s="6" t="s">
        <v>27</v>
      </c>
    </row>
    <row r="7" spans="1:5" x14ac:dyDescent="0.3">
      <c r="A7" s="6" t="s">
        <v>10</v>
      </c>
      <c r="B7" s="6">
        <v>46372308</v>
      </c>
      <c r="C7" s="7" t="s">
        <v>36</v>
      </c>
      <c r="D7" s="5">
        <v>27647</v>
      </c>
      <c r="E7" s="6" t="s">
        <v>27</v>
      </c>
    </row>
    <row r="8" spans="1:5" x14ac:dyDescent="0.3">
      <c r="A8" s="6" t="s">
        <v>15</v>
      </c>
      <c r="B8" s="6">
        <v>1016596803</v>
      </c>
      <c r="C8" s="7" t="s">
        <v>37</v>
      </c>
      <c r="D8" s="5">
        <v>39532</v>
      </c>
      <c r="E8" s="6" t="s">
        <v>27</v>
      </c>
    </row>
    <row r="9" spans="1:5" x14ac:dyDescent="0.3">
      <c r="A9" s="6" t="s">
        <v>10</v>
      </c>
      <c r="B9" s="6">
        <v>1014228757</v>
      </c>
      <c r="C9" s="7" t="s">
        <v>38</v>
      </c>
      <c r="D9" s="5">
        <v>33547</v>
      </c>
      <c r="E9" s="6" t="s">
        <v>27</v>
      </c>
    </row>
    <row r="10" spans="1:5" x14ac:dyDescent="0.3">
      <c r="A10" s="6" t="s">
        <v>10</v>
      </c>
      <c r="B10" s="6">
        <v>1030625753</v>
      </c>
      <c r="C10" s="7" t="s">
        <v>39</v>
      </c>
      <c r="D10" s="5">
        <v>34123</v>
      </c>
      <c r="E10" s="6" t="s">
        <v>27</v>
      </c>
    </row>
    <row r="11" spans="1:5" x14ac:dyDescent="0.3">
      <c r="A11" s="6" t="s">
        <v>10</v>
      </c>
      <c r="B11" s="6">
        <v>1020756322</v>
      </c>
      <c r="C11" s="7" t="s">
        <v>40</v>
      </c>
      <c r="D11" s="5">
        <v>33141</v>
      </c>
      <c r="E11" s="6" t="s">
        <v>27</v>
      </c>
    </row>
    <row r="12" spans="1:5" x14ac:dyDescent="0.3">
      <c r="A12" s="6" t="s">
        <v>10</v>
      </c>
      <c r="B12" s="6">
        <v>1011089093</v>
      </c>
      <c r="C12" s="7" t="s">
        <v>41</v>
      </c>
      <c r="D12" s="5">
        <v>38656</v>
      </c>
      <c r="E12" s="6" t="s">
        <v>26</v>
      </c>
    </row>
    <row r="13" spans="1:5" x14ac:dyDescent="0.3">
      <c r="A13" s="6" t="s">
        <v>10</v>
      </c>
      <c r="B13" s="6">
        <v>1026263176</v>
      </c>
      <c r="C13" s="7" t="s">
        <v>42</v>
      </c>
      <c r="D13" s="5">
        <v>32499</v>
      </c>
      <c r="E13" s="6" t="s">
        <v>27</v>
      </c>
    </row>
    <row r="14" spans="1:5" x14ac:dyDescent="0.3">
      <c r="A14" s="6" t="s">
        <v>10</v>
      </c>
      <c r="B14" s="6">
        <v>1014282300</v>
      </c>
      <c r="C14" s="7" t="s">
        <v>43</v>
      </c>
      <c r="D14" s="5">
        <v>35374</v>
      </c>
      <c r="E14" s="6" t="s">
        <v>26</v>
      </c>
    </row>
    <row r="15" spans="1:5" x14ac:dyDescent="0.3">
      <c r="A15" s="6" t="s">
        <v>10</v>
      </c>
      <c r="B15" s="6">
        <v>1014180059</v>
      </c>
      <c r="C15" s="7" t="s">
        <v>44</v>
      </c>
      <c r="D15" s="5">
        <v>31592</v>
      </c>
      <c r="E15" s="6" t="s">
        <v>26</v>
      </c>
    </row>
    <row r="16" spans="1:5" x14ac:dyDescent="0.3">
      <c r="A16" s="6" t="s">
        <v>15</v>
      </c>
      <c r="B16" s="6">
        <v>1234438156</v>
      </c>
      <c r="C16" s="7" t="s">
        <v>45</v>
      </c>
      <c r="D16" s="5">
        <v>42562</v>
      </c>
      <c r="E16" s="6" t="s">
        <v>27</v>
      </c>
    </row>
    <row r="17" spans="1:5" x14ac:dyDescent="0.3">
      <c r="A17" s="6" t="s">
        <v>10</v>
      </c>
      <c r="B17" s="6">
        <v>52885423</v>
      </c>
      <c r="C17" s="7" t="s">
        <v>47</v>
      </c>
      <c r="D17" s="5">
        <v>29983</v>
      </c>
      <c r="E17" s="6" t="s">
        <v>27</v>
      </c>
    </row>
    <row r="18" spans="1:5" x14ac:dyDescent="0.3">
      <c r="A18" s="6" t="s">
        <v>10</v>
      </c>
      <c r="B18" s="6">
        <v>51569941</v>
      </c>
      <c r="C18" s="7" t="s">
        <v>48</v>
      </c>
      <c r="D18" s="5">
        <v>21545</v>
      </c>
      <c r="E18" s="6" t="s">
        <v>27</v>
      </c>
    </row>
    <row r="19" spans="1:5" x14ac:dyDescent="0.3">
      <c r="A19" s="6" t="s">
        <v>10</v>
      </c>
      <c r="B19" s="6">
        <v>1094899513</v>
      </c>
      <c r="C19" s="7" t="s">
        <v>49</v>
      </c>
      <c r="D19" s="5">
        <v>32399</v>
      </c>
      <c r="E19" s="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B95F-27D5-410A-857A-A13177C93191}">
  <dimension ref="A1:O2"/>
  <sheetViews>
    <sheetView workbookViewId="0">
      <selection sqref="A1:XFD1"/>
    </sheetView>
  </sheetViews>
  <sheetFormatPr baseColWidth="10" defaultColWidth="8.88671875" defaultRowHeight="14.4" x14ac:dyDescent="0.3"/>
  <cols>
    <col min="1" max="1" width="12.44140625" customWidth="1"/>
    <col min="2" max="2" width="9.109375" customWidth="1"/>
    <col min="3" max="3" width="10.77734375" bestFit="1" customWidth="1"/>
    <col min="4" max="4" width="37.44140625" bestFit="1" customWidth="1"/>
    <col min="5" max="5" width="12.44140625" customWidth="1"/>
    <col min="6" max="7" width="9.21875" customWidth="1"/>
    <col min="8" max="8" width="9.33203125" customWidth="1"/>
    <col min="9" max="9" width="69" bestFit="1" customWidth="1"/>
    <col min="10" max="10" width="18.6640625" bestFit="1" customWidth="1"/>
    <col min="11" max="11" width="13.6640625" bestFit="1" customWidth="1"/>
    <col min="12" max="12" width="13.33203125" bestFit="1" customWidth="1"/>
    <col min="13" max="13" width="13.6640625" bestFit="1" customWidth="1"/>
    <col min="14" max="14" width="11.44140625" customWidth="1"/>
    <col min="15" max="15" width="11.21875" bestFit="1" customWidth="1"/>
    <col min="16" max="16" width="9.109375" bestFit="1" customWidth="1"/>
    <col min="17" max="17" width="10.109375" bestFit="1" customWidth="1"/>
    <col min="18" max="18" width="9.109375" bestFit="1" customWidth="1"/>
  </cols>
  <sheetData>
    <row r="1" spans="1:15" s="1" customFormat="1" ht="24" x14ac:dyDescent="0.3">
      <c r="A1" s="2" t="s">
        <v>0</v>
      </c>
      <c r="B1" s="3" t="s">
        <v>2</v>
      </c>
      <c r="C1" s="3" t="s">
        <v>3</v>
      </c>
      <c r="D1" s="3" t="s">
        <v>1</v>
      </c>
      <c r="E1" s="2" t="s">
        <v>30</v>
      </c>
      <c r="F1" s="3" t="s">
        <v>9</v>
      </c>
      <c r="G1" s="3" t="s">
        <v>18</v>
      </c>
      <c r="H1" s="3" t="s">
        <v>29</v>
      </c>
      <c r="I1" s="3" t="s">
        <v>4</v>
      </c>
      <c r="J1" s="3" t="s">
        <v>8</v>
      </c>
      <c r="K1" s="8" t="s">
        <v>5</v>
      </c>
      <c r="L1" s="8" t="s">
        <v>6</v>
      </c>
      <c r="M1" s="9" t="s">
        <v>7</v>
      </c>
      <c r="N1" s="4" t="s">
        <v>25</v>
      </c>
    </row>
    <row r="2" spans="1:15" x14ac:dyDescent="0.3">
      <c r="A2" s="5">
        <v>45898</v>
      </c>
      <c r="B2" s="6" t="s">
        <v>10</v>
      </c>
      <c r="C2" s="6">
        <v>1000708477</v>
      </c>
      <c r="D2" s="7" t="s">
        <v>46</v>
      </c>
      <c r="E2" s="5">
        <v>37685</v>
      </c>
      <c r="F2" s="6" t="s">
        <v>27</v>
      </c>
      <c r="G2" s="6" t="s">
        <v>11</v>
      </c>
      <c r="H2" s="6">
        <v>890242</v>
      </c>
      <c r="I2" s="7" t="s">
        <v>50</v>
      </c>
      <c r="J2" s="7" t="s">
        <v>68</v>
      </c>
      <c r="K2" s="14">
        <v>88900</v>
      </c>
      <c r="L2" s="14">
        <v>24500</v>
      </c>
      <c r="M2" s="10">
        <f>+K2-L2</f>
        <v>64400</v>
      </c>
      <c r="N2" s="6" t="s">
        <v>85</v>
      </c>
      <c r="O2" s="13"/>
    </row>
  </sheetData>
  <conditionalFormatting sqref="J1">
    <cfRule type="duplicateValues" dxfId="2" priority="2"/>
  </conditionalFormatting>
  <conditionalFormatting sqref="J1:J2">
    <cfRule type="containsBlanks" priority="1">
      <formula>LEN(TRIM(J1))=0</formula>
    </cfRule>
  </conditionalFormatting>
  <conditionalFormatting sqref="J2">
    <cfRule type="duplicateValues" dxfId="1" priority="5"/>
  </conditionalFormatting>
  <conditionalFormatting sqref="N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Consulta-1</vt:lpstr>
      <vt:lpstr>Usuarios</vt:lpstr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Jhorjan Manuel Sanchez Barrios</dc:creator>
  <dc:description/>
  <cp:lastModifiedBy>Jonny Delgado Calderon</cp:lastModifiedBy>
  <cp:revision>1</cp:revision>
  <cp:lastPrinted>2025-08-13T20:27:53Z</cp:lastPrinted>
  <dcterms:created xsi:type="dcterms:W3CDTF">2024-07-10T16:12:56Z</dcterms:created>
  <dcterms:modified xsi:type="dcterms:W3CDTF">2025-09-11T01:43:26Z</dcterms:modified>
  <dc:language>es-CO</dc:language>
</cp:coreProperties>
</file>