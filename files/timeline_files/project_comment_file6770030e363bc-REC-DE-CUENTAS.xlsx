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JADC\SURA - POLIZA\0. RECUPERADO\"/>
    </mc:Choice>
  </mc:AlternateContent>
  <xr:revisionPtr revIDLastSave="0" documentId="13_ncr:1_{3B47B39F-0FF7-446B-A253-7F4E94BD73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ST" sheetId="2" r:id="rId1"/>
  </sheets>
  <definedNames>
    <definedName name="_xlnm._FilterDatabase" localSheetId="0" hidden="1">PST!$A$1:$U$73</definedName>
    <definedName name="fech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2" i="2"/>
  <c r="T73" i="2"/>
  <c r="O73" i="2"/>
  <c r="M22" i="2" l="1"/>
  <c r="M7" i="2" l="1"/>
  <c r="M6" i="2"/>
  <c r="M5" i="2"/>
  <c r="M4" i="2"/>
  <c r="M3" i="2"/>
  <c r="M2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8" i="2"/>
</calcChain>
</file>

<file path=xl/sharedStrings.xml><?xml version="1.0" encoding="utf-8"?>
<sst xmlns="http://schemas.openxmlformats.org/spreadsheetml/2006/main" count="718" uniqueCount="319">
  <si>
    <t>Fecha</t>
  </si>
  <si>
    <t>Tipo de documento</t>
  </si>
  <si>
    <t>Número de identificación</t>
  </si>
  <si>
    <t>Primer apellido</t>
  </si>
  <si>
    <t>Segundo Apellido</t>
  </si>
  <si>
    <t>Primer nombre</t>
  </si>
  <si>
    <t>Segundo nombre</t>
  </si>
  <si>
    <t>Nacionalidad</t>
  </si>
  <si>
    <t>Tipo de aseguradora</t>
  </si>
  <si>
    <t>CIE10</t>
  </si>
  <si>
    <t>Tipo de consulta o procedimiento</t>
  </si>
  <si>
    <t>Profesional</t>
  </si>
  <si>
    <t>Número de autorización</t>
  </si>
  <si>
    <t xml:space="preserve">Número de factura </t>
  </si>
  <si>
    <t>CC</t>
  </si>
  <si>
    <t>L719</t>
  </si>
  <si>
    <t>TI</t>
  </si>
  <si>
    <t>GAITAN</t>
  </si>
  <si>
    <t>MARIA</t>
  </si>
  <si>
    <t>HERNANDEZ</t>
  </si>
  <si>
    <t>QUINTERO</t>
  </si>
  <si>
    <t>DIEGO</t>
  </si>
  <si>
    <t>L82X</t>
  </si>
  <si>
    <t>L700</t>
  </si>
  <si>
    <t>L219</t>
  </si>
  <si>
    <t>L708</t>
  </si>
  <si>
    <t>RC</t>
  </si>
  <si>
    <t>LEON</t>
  </si>
  <si>
    <t>PAULA</t>
  </si>
  <si>
    <t>DIAZ</t>
  </si>
  <si>
    <t>MARTINEZ</t>
  </si>
  <si>
    <t>SANTIAGO</t>
  </si>
  <si>
    <t>L208</t>
  </si>
  <si>
    <t>MARCELA</t>
  </si>
  <si>
    <t>RAMOS</t>
  </si>
  <si>
    <t>LOPEZ</t>
  </si>
  <si>
    <t>DAZA</t>
  </si>
  <si>
    <t>ALEJANDRA</t>
  </si>
  <si>
    <t>ANA</t>
  </si>
  <si>
    <t>CRISTINA</t>
  </si>
  <si>
    <t>RUIZ</t>
  </si>
  <si>
    <t>TORRES</t>
  </si>
  <si>
    <t>KAREN</t>
  </si>
  <si>
    <t>ELENA</t>
  </si>
  <si>
    <t>ALEXANDER</t>
  </si>
  <si>
    <t>Laura Castilla</t>
  </si>
  <si>
    <t>CUPS</t>
  </si>
  <si>
    <t xml:space="preserve">ALEXIS </t>
  </si>
  <si>
    <t>CORZO</t>
  </si>
  <si>
    <t>LEAL</t>
  </si>
  <si>
    <t>FEAD 1208</t>
  </si>
  <si>
    <t>JENNIFER</t>
  </si>
  <si>
    <t>ANDREA</t>
  </si>
  <si>
    <t>ALVARADO</t>
  </si>
  <si>
    <t>MUÑOZ</t>
  </si>
  <si>
    <t xml:space="preserve">COLOMBIANO </t>
  </si>
  <si>
    <t>FEAD 1854</t>
  </si>
  <si>
    <t>FEAD 1855</t>
  </si>
  <si>
    <t>NICOLLE</t>
  </si>
  <si>
    <t>DANIELA</t>
  </si>
  <si>
    <t>LATORRE</t>
  </si>
  <si>
    <t>POSADA</t>
  </si>
  <si>
    <t>COOPAGO</t>
  </si>
  <si>
    <t>JUAN</t>
  </si>
  <si>
    <t>CAMILO</t>
  </si>
  <si>
    <t>RAMIREZ</t>
  </si>
  <si>
    <t>DURAN</t>
  </si>
  <si>
    <t>FEAD 1856</t>
  </si>
  <si>
    <t>HEIDY</t>
  </si>
  <si>
    <t>YORLENI</t>
  </si>
  <si>
    <t>MORA</t>
  </si>
  <si>
    <t>FEAD 1510</t>
  </si>
  <si>
    <t>ANDRES</t>
  </si>
  <si>
    <t>FELIPE</t>
  </si>
  <si>
    <t>GOMEZ</t>
  </si>
  <si>
    <t>AMAYA</t>
  </si>
  <si>
    <t>FEAD 1611</t>
  </si>
  <si>
    <t>FEAD 2243</t>
  </si>
  <si>
    <t>SANDRA</t>
  </si>
  <si>
    <t>MILENA</t>
  </si>
  <si>
    <t>CASTILLO</t>
  </si>
  <si>
    <t>CARPINTERO</t>
  </si>
  <si>
    <t>DAVID</t>
  </si>
  <si>
    <t>LIZETH</t>
  </si>
  <si>
    <t>GARCIA</t>
  </si>
  <si>
    <t>ALICIA</t>
  </si>
  <si>
    <t>MARROQUIN</t>
  </si>
  <si>
    <t>GARZON</t>
  </si>
  <si>
    <t>FEAD 2302</t>
  </si>
  <si>
    <t>RIAÑO</t>
  </si>
  <si>
    <t>JESSICA</t>
  </si>
  <si>
    <t>OSPINA</t>
  </si>
  <si>
    <t>FEAD 3112</t>
  </si>
  <si>
    <t>ROJAS</t>
  </si>
  <si>
    <t xml:space="preserve">Poliza salud para todos </t>
  </si>
  <si>
    <t>FEAD 1695</t>
  </si>
  <si>
    <t>FEAD 1696</t>
  </si>
  <si>
    <t>FEAD 1544</t>
  </si>
  <si>
    <t>FEAD 1593</t>
  </si>
  <si>
    <t>FEAD 1857</t>
  </si>
  <si>
    <t>FEAD 2023</t>
  </si>
  <si>
    <t>FEAD 2043</t>
  </si>
  <si>
    <t>FEAD 2059</t>
  </si>
  <si>
    <t>FEAD 2130</t>
  </si>
  <si>
    <t>FEAD 2168</t>
  </si>
  <si>
    <t>FEAD 2176</t>
  </si>
  <si>
    <t>FEAD 2207</t>
  </si>
  <si>
    <t>FEAD 2217</t>
  </si>
  <si>
    <t>FEAD 2234</t>
  </si>
  <si>
    <t>FEAD 2240</t>
  </si>
  <si>
    <t>FEAD 2263</t>
  </si>
  <si>
    <t>FEAD 2272</t>
  </si>
  <si>
    <t>FEAD 2597</t>
  </si>
  <si>
    <t>FEAD 2498</t>
  </si>
  <si>
    <t>FEAD 2569</t>
  </si>
  <si>
    <t>FEAD 2640</t>
  </si>
  <si>
    <t>FEAD 2649</t>
  </si>
  <si>
    <t>FEAD 2665</t>
  </si>
  <si>
    <t>FEAD 2367</t>
  </si>
  <si>
    <t>FEAD 2368</t>
  </si>
  <si>
    <t>FEAD 2369</t>
  </si>
  <si>
    <t>FEAD 2371</t>
  </si>
  <si>
    <t>FEAD 2392</t>
  </si>
  <si>
    <t>FEAD 2406</t>
  </si>
  <si>
    <t>FEAD 2419</t>
  </si>
  <si>
    <t>FEAD 2445</t>
  </si>
  <si>
    <t>FEAD 2487</t>
  </si>
  <si>
    <t>FEAD 2956</t>
  </si>
  <si>
    <t>FEAD 3102</t>
  </si>
  <si>
    <t>FEAD 3165</t>
  </si>
  <si>
    <t>FEAD 3697</t>
  </si>
  <si>
    <t>FEAD 3699</t>
  </si>
  <si>
    <t>FEAD 3700</t>
  </si>
  <si>
    <t>FEAD 3701</t>
  </si>
  <si>
    <t>FEAD 3702</t>
  </si>
  <si>
    <t>FEAD 3704</t>
  </si>
  <si>
    <t>FEAD 3705</t>
  </si>
  <si>
    <t>FEAD 3738</t>
  </si>
  <si>
    <t>FEAD 3739</t>
  </si>
  <si>
    <t>FEAD 3740</t>
  </si>
  <si>
    <t>FEAD 3741</t>
  </si>
  <si>
    <t>FEAD 3742</t>
  </si>
  <si>
    <t>FEAD 3830</t>
  </si>
  <si>
    <t>FEAD 4146</t>
  </si>
  <si>
    <t>FEAD 4152</t>
  </si>
  <si>
    <t>FEAD 4177</t>
  </si>
  <si>
    <t>FEAD 4454</t>
  </si>
  <si>
    <t>FEAD 4455</t>
  </si>
  <si>
    <t>FEAD 4467</t>
  </si>
  <si>
    <t>FEAD 4475</t>
  </si>
  <si>
    <t>FEAD 4498</t>
  </si>
  <si>
    <t>FEAD 4499</t>
  </si>
  <si>
    <t>FEAD 4503</t>
  </si>
  <si>
    <t>FEAD 4505</t>
  </si>
  <si>
    <t>FEAD 4514</t>
  </si>
  <si>
    <t>FEAD 4548</t>
  </si>
  <si>
    <t>FEAD 4554</t>
  </si>
  <si>
    <t>JEANNETTE</t>
  </si>
  <si>
    <t>ELVIRA</t>
  </si>
  <si>
    <t>RODRIGUEZ</t>
  </si>
  <si>
    <t>JULIAN</t>
  </si>
  <si>
    <t>MAURICIO</t>
  </si>
  <si>
    <t>CARO</t>
  </si>
  <si>
    <t>NATALIA</t>
  </si>
  <si>
    <t>NICOLAS</t>
  </si>
  <si>
    <t>ANTONIO</t>
  </si>
  <si>
    <t>SANCHEZ</t>
  </si>
  <si>
    <t>BAUTISTA</t>
  </si>
  <si>
    <t>CATALINA</t>
  </si>
  <si>
    <t>ARIAS</t>
  </si>
  <si>
    <t>GONZALEZ</t>
  </si>
  <si>
    <t>DIANA</t>
  </si>
  <si>
    <t>SILVA</t>
  </si>
  <si>
    <t>JORGE</t>
  </si>
  <si>
    <t>LUISA</t>
  </si>
  <si>
    <t>FERNANDA</t>
  </si>
  <si>
    <t>CASTAÑEDA</t>
  </si>
  <si>
    <t>CEDEÑO</t>
  </si>
  <si>
    <t>YEPES</t>
  </si>
  <si>
    <t>URREA</t>
  </si>
  <si>
    <t>LARA</t>
  </si>
  <si>
    <t>RICARDO</t>
  </si>
  <si>
    <t>EMILIA</t>
  </si>
  <si>
    <t>AVENDAÑO</t>
  </si>
  <si>
    <t>GUZMAN</t>
  </si>
  <si>
    <t>KARIME</t>
  </si>
  <si>
    <t>CURE</t>
  </si>
  <si>
    <t>REQUENA</t>
  </si>
  <si>
    <t>ESTEBAN</t>
  </si>
  <si>
    <t>VARGAS</t>
  </si>
  <si>
    <t>FRANCY</t>
  </si>
  <si>
    <t>VELASCO</t>
  </si>
  <si>
    <t>LILIANA</t>
  </si>
  <si>
    <t>ORTEGON</t>
  </si>
  <si>
    <t>CORTAZAR</t>
  </si>
  <si>
    <t>LUCIANA</t>
  </si>
  <si>
    <t>SALINAS</t>
  </si>
  <si>
    <t>AYALA</t>
  </si>
  <si>
    <t>ARLETH</t>
  </si>
  <si>
    <t>GALEANA</t>
  </si>
  <si>
    <t>DUARTES</t>
  </si>
  <si>
    <t>DELGADO</t>
  </si>
  <si>
    <t>ROCIO</t>
  </si>
  <si>
    <t>CUBILLOS</t>
  </si>
  <si>
    <t>MARTHA</t>
  </si>
  <si>
    <t>JOHANA</t>
  </si>
  <si>
    <t>GUILLEN</t>
  </si>
  <si>
    <t>PEÑUELA</t>
  </si>
  <si>
    <t>JOHN</t>
  </si>
  <si>
    <t>DEL</t>
  </si>
  <si>
    <t>PILAR</t>
  </si>
  <si>
    <t>PINZON</t>
  </si>
  <si>
    <t>PINILLA</t>
  </si>
  <si>
    <t>ORTIZ</t>
  </si>
  <si>
    <t>VALDERRAMA</t>
  </si>
  <si>
    <t>SALOME</t>
  </si>
  <si>
    <t>MONTOYA</t>
  </si>
  <si>
    <t>BOLIVAR</t>
  </si>
  <si>
    <t>LUCY</t>
  </si>
  <si>
    <t>CARREÑO</t>
  </si>
  <si>
    <t>ADRIANA</t>
  </si>
  <si>
    <t>PATRICIA</t>
  </si>
  <si>
    <t>CUERVO</t>
  </si>
  <si>
    <t>THOMAS</t>
  </si>
  <si>
    <t>DANIEL</t>
  </si>
  <si>
    <t>JIMENEZ</t>
  </si>
  <si>
    <t>SOTO</t>
  </si>
  <si>
    <t>LUISELLA</t>
  </si>
  <si>
    <t>SANTANA</t>
  </si>
  <si>
    <t>WILLIAM</t>
  </si>
  <si>
    <t>MIGUEL</t>
  </si>
  <si>
    <t>LUIS</t>
  </si>
  <si>
    <t>BARRERA</t>
  </si>
  <si>
    <t>CORTES</t>
  </si>
  <si>
    <t>GLORIA</t>
  </si>
  <si>
    <t>ESPERANZA</t>
  </si>
  <si>
    <t>ARISMENDI</t>
  </si>
  <si>
    <t>WILMER</t>
  </si>
  <si>
    <t>CHAVES</t>
  </si>
  <si>
    <t>FRANCO</t>
  </si>
  <si>
    <t>RAINIER</t>
  </si>
  <si>
    <t>ALBERTO</t>
  </si>
  <si>
    <t>GRIMALDI</t>
  </si>
  <si>
    <t>NAVARRO</t>
  </si>
  <si>
    <t>JHONATAN</t>
  </si>
  <si>
    <t>RENTERIA</t>
  </si>
  <si>
    <t>CESAR</t>
  </si>
  <si>
    <t>SERNA</t>
  </si>
  <si>
    <t>CECILIA</t>
  </si>
  <si>
    <t>ISABEL</t>
  </si>
  <si>
    <t>TRESPALACIOS</t>
  </si>
  <si>
    <t>POLONIA</t>
  </si>
  <si>
    <t>TOVAR</t>
  </si>
  <si>
    <t>EDNA</t>
  </si>
  <si>
    <t>MARGARITA</t>
  </si>
  <si>
    <t>ISABELLA</t>
  </si>
  <si>
    <t>FERNANDEZ</t>
  </si>
  <si>
    <t>SANTA</t>
  </si>
  <si>
    <t>CINDY</t>
  </si>
  <si>
    <t>CALDERON</t>
  </si>
  <si>
    <t>PATIÑO</t>
  </si>
  <si>
    <t>PRIETO</t>
  </si>
  <si>
    <t>SOLER</t>
  </si>
  <si>
    <t>CUESTAS</t>
  </si>
  <si>
    <t>STEFANNIE</t>
  </si>
  <si>
    <t>VANEGAS</t>
  </si>
  <si>
    <t>PAZ</t>
  </si>
  <si>
    <t>MORENO</t>
  </si>
  <si>
    <t>MARIN</t>
  </si>
  <si>
    <t>GRANDA</t>
  </si>
  <si>
    <t>GUIOVANNI</t>
  </si>
  <si>
    <t>ARTURO</t>
  </si>
  <si>
    <t>ZAMBRANO</t>
  </si>
  <si>
    <t>RUSSY</t>
  </si>
  <si>
    <t>LUBIANA</t>
  </si>
  <si>
    <t>ORTEGA</t>
  </si>
  <si>
    <t>ELIZABETH</t>
  </si>
  <si>
    <t>HERRERA</t>
  </si>
  <si>
    <t>GINNA</t>
  </si>
  <si>
    <t>PAOLA</t>
  </si>
  <si>
    <t>BUITRAGO</t>
  </si>
  <si>
    <t>MELO</t>
  </si>
  <si>
    <t>CARDOZO</t>
  </si>
  <si>
    <t>PINEDA</t>
  </si>
  <si>
    <t>SOFIA</t>
  </si>
  <si>
    <t>VARAGAS</t>
  </si>
  <si>
    <t>ACOSTA</t>
  </si>
  <si>
    <t>SARA</t>
  </si>
  <si>
    <t>PAREJA</t>
  </si>
  <si>
    <t>YINA</t>
  </si>
  <si>
    <t>FINO</t>
  </si>
  <si>
    <t>GUEVARA</t>
  </si>
  <si>
    <t>LIDA</t>
  </si>
  <si>
    <t>EMILCE</t>
  </si>
  <si>
    <t>PAEZ</t>
  </si>
  <si>
    <t>VALERIA</t>
  </si>
  <si>
    <t>BETANCOURT</t>
  </si>
  <si>
    <t>CERON</t>
  </si>
  <si>
    <t>FARID</t>
  </si>
  <si>
    <t>ALEXY</t>
  </si>
  <si>
    <t>YADIRA</t>
  </si>
  <si>
    <t>FLAUTERO</t>
  </si>
  <si>
    <t>CE</t>
  </si>
  <si>
    <t>NC</t>
  </si>
  <si>
    <t>Número de factura I</t>
  </si>
  <si>
    <t>C443</t>
  </si>
  <si>
    <t>L819</t>
  </si>
  <si>
    <t>C447</t>
  </si>
  <si>
    <t>L814</t>
  </si>
  <si>
    <t>L209</t>
  </si>
  <si>
    <t>L308</t>
  </si>
  <si>
    <t>L853</t>
  </si>
  <si>
    <t>L650</t>
  </si>
  <si>
    <t>L409</t>
  </si>
  <si>
    <t>B354</t>
  </si>
  <si>
    <t>D236</t>
  </si>
  <si>
    <t>L501</t>
  </si>
  <si>
    <t>Valor a cobrar Factura FEAD 5083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</si>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</sst>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d/mm/yyyy"/>
    <numFmt numFmtId="166" formatCode="_-&quot;$&quot;\ * #,##0_-;\-&quot;$&quot;\ * #,##0_-;_-&quot;$&quot;\ * &quot;-&quot;??_-;_-@_-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1" fillId="0" borderId="2"/>
    <xf numFmtId="44" fontId="1" fillId="0" borderId="2" applyFont="0" applyFill="0" applyBorder="0" applyAlignment="0" applyProtection="0"/>
  </cellStyleXfs>
  <cellXfs count="31">
    <xf numFmtId="0" fontId="0" fillId="0" borderId="0" xfId="0" applyFont="1" applyAlignment="1"/>
    <xf numFmtId="14" fontId="4" fillId="4" borderId="1" xfId="0" applyNumberFormat="1" applyFont="1" applyFill="1" applyBorder="1" applyAlignment="1">
      <alignment vertical="center"/>
    </xf>
    <xf numFmtId="0" fontId="0" fillId="5" borderId="0" xfId="0" applyFont="1" applyFill="1" applyAlignment="1"/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2" fontId="3" fillId="3" borderId="3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166" fontId="4" fillId="0" borderId="3" xfId="1" applyNumberFormat="1" applyFont="1" applyFill="1" applyBorder="1" applyAlignment="1">
      <alignment vertical="center"/>
    </xf>
    <xf numFmtId="166" fontId="2" fillId="2" borderId="3" xfId="1" applyNumberFormat="1" applyFont="1" applyFill="1" applyBorder="1" applyAlignment="1">
      <alignment horizontal="center" vertical="center" wrapText="1"/>
    </xf>
    <xf numFmtId="166" fontId="0" fillId="0" borderId="0" xfId="1" applyNumberFormat="1" applyFont="1" applyAlignment="1"/>
    <xf numFmtId="166" fontId="0" fillId="0" borderId="0" xfId="0" applyNumberFormat="1" applyFont="1" applyAlignment="1"/>
    <xf numFmtId="164" fontId="4" fillId="0" borderId="3" xfId="0" applyNumberFormat="1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14" fontId="4" fillId="0" borderId="3" xfId="0" applyNumberFormat="1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right" vertical="center"/>
    </xf>
    <xf numFmtId="166" fontId="4" fillId="0" borderId="2" xfId="1" applyNumberFormat="1" applyFont="1" applyFill="1" applyBorder="1" applyAlignment="1">
      <alignment vertical="center"/>
    </xf>
    <xf numFmtId="164" fontId="4" fillId="7" borderId="3" xfId="0" applyNumberFormat="1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14" fontId="4" fillId="7" borderId="3" xfId="0" applyNumberFormat="1" applyFont="1" applyFill="1" applyBorder="1" applyAlignment="1">
      <alignment vertical="center"/>
    </xf>
    <xf numFmtId="0" fontId="4" fillId="7" borderId="3" xfId="0" applyFont="1" applyFill="1" applyBorder="1" applyAlignment="1">
      <alignment horizontal="center" vertical="center" wrapText="1"/>
    </xf>
    <xf numFmtId="166" fontId="4" fillId="7" borderId="3" xfId="1" applyNumberFormat="1" applyFont="1" applyFill="1" applyBorder="1" applyAlignment="1">
      <alignment vertical="center"/>
    </xf>
    <xf numFmtId="0" fontId="1" fillId="7" borderId="3" xfId="0" applyFont="1" applyFill="1" applyBorder="1" applyAlignment="1">
      <alignment horizontal="right"/>
    </xf>
    <xf numFmtId="166" fontId="4" fillId="7" borderId="1" xfId="1" applyNumberFormat="1" applyFont="1" applyFill="1" applyBorder="1" applyAlignment="1">
      <alignment vertical="center"/>
    </xf>
    <xf numFmtId="166" fontId="4" fillId="4" borderId="4" xfId="1" applyNumberFormat="1" applyFont="1" applyFill="1" applyBorder="1" applyAlignment="1">
      <alignment vertical="center"/>
    </xf>
    <xf numFmtId="166" fontId="0" fillId="0" borderId="2" xfId="1" applyNumberFormat="1" applyFont="1" applyBorder="1" applyAlignment="1"/>
    <xf numFmtId="0" fontId="0" fillId="0" borderId="2" xfId="0" applyFont="1" applyBorder="1" applyAlignment="1"/>
    <xf numFmtId="166" fontId="0" fillId="7" borderId="3" xfId="1" applyNumberFormat="1" applyFont="1" applyFill="1" applyBorder="1" applyAlignment="1"/>
    <xf numFmtId="166" fontId="0" fillId="6" borderId="3" xfId="0" applyNumberFormat="1" applyFont="1" applyFill="1" applyBorder="1" applyAlignment="1"/>
  </cellXfs>
  <cellStyles count="4">
    <cellStyle name="Moneda" xfId="1" builtinId="4"/>
    <cellStyle name="Moneda 2" xfId="3" xr:uid="{5B46932E-3371-4811-89E7-E91BD5F4E132}"/>
    <cellStyle name="Normal" xfId="0" builtinId="0"/>
    <cellStyle name="Normal 2" xfId="2" xr:uid="{B08712FC-AD42-4128-A531-83F89A9CFDE4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8A53-AC7E-4C38-BFC3-DB8B2AE5068D}">
  <sheetPr>
    <pageSetUpPr fitToPage="1"/>
  </sheetPr>
  <dimension ref="A1:V75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14.42578125" defaultRowHeight="15" x14ac:dyDescent="0.25"/>
  <cols>
    <col min="1" max="1" width="11.42578125" customWidth="1"/>
    <col min="2" max="2" width="11.5703125" customWidth="1"/>
    <col min="3" max="3" width="13.28515625" customWidth="1"/>
    <col min="4" max="4" width="12.85546875" bestFit="1" customWidth="1"/>
    <col min="5" max="5" width="13.28515625" bestFit="1" customWidth="1"/>
    <col min="6" max="6" width="12.5703125" bestFit="1" customWidth="1"/>
    <col min="7" max="7" width="13.28515625" bestFit="1" customWidth="1"/>
    <col min="8" max="8" width="29" customWidth="1"/>
    <col min="9" max="9" width="15" customWidth="1"/>
    <col min="10" max="10" width="21.85546875" customWidth="1"/>
    <col min="11" max="12" width="10.28515625" customWidth="1"/>
    <col min="13" max="13" width="53.85546875" customWidth="1"/>
    <col min="14" max="14" width="15.85546875" customWidth="1"/>
    <col min="15" max="15" width="17.7109375" customWidth="1"/>
    <col min="16" max="17" width="16.85546875" customWidth="1"/>
    <col min="18" max="18" width="15.5703125" hidden="1" customWidth="1"/>
    <col min="19" max="19" width="8.140625" hidden="1" customWidth="1"/>
    <col min="20" max="20" width="17.42578125" customWidth="1"/>
    <col min="21" max="21" width="13.140625" style="9" customWidth="1"/>
    <col min="22" max="22" width="10.7109375" customWidth="1"/>
  </cols>
  <sheetData>
    <row r="1" spans="1:22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318</v>
      </c>
      <c r="I1" s="3" t="s">
        <v>7</v>
      </c>
      <c r="J1" s="3" t="s">
        <v>8</v>
      </c>
      <c r="K1" s="3" t="s">
        <v>9</v>
      </c>
      <c r="L1" s="3" t="s">
        <v>46</v>
      </c>
      <c r="M1" s="3" t="s">
        <v>10</v>
      </c>
      <c r="N1" s="4" t="s">
        <v>11</v>
      </c>
      <c r="O1" s="5" t="s">
        <v>317</v>
      </c>
      <c r="P1" s="6" t="s">
        <v>12</v>
      </c>
      <c r="Q1" s="6" t="s">
        <v>13</v>
      </c>
      <c r="R1" s="6" t="s">
        <v>304</v>
      </c>
      <c r="S1" s="6" t="s">
        <v>303</v>
      </c>
      <c r="T1" s="8" t="s">
        <v>62</v>
      </c>
    </row>
    <row r="2" spans="1:22" s="2" customFormat="1" x14ac:dyDescent="0.25">
      <c r="A2" s="11">
        <v>45404</v>
      </c>
      <c r="B2" s="12" t="s">
        <v>14</v>
      </c>
      <c r="C2" s="12">
        <v>1032463909</v>
      </c>
      <c r="D2" s="12" t="s">
        <v>48</v>
      </c>
      <c r="E2" s="12" t="s">
        <v>49</v>
      </c>
      <c r="F2" s="12" t="s">
        <v>21</v>
      </c>
      <c r="G2" s="12" t="s">
        <v>47</v>
      </c>
      <c r="H2" s="12" t="str">
        <f>+CONCATENATE(F2," ",G2," ",D2," ",E2)</f>
        <v>DIEGO ALEXIS  CORZO LEAL</v>
      </c>
      <c r="I2" s="12" t="s">
        <v>55</v>
      </c>
      <c r="J2" s="13" t="s">
        <v>94</v>
      </c>
      <c r="K2" s="14" t="s">
        <v>305</v>
      </c>
      <c r="L2" s="14">
        <v>890242</v>
      </c>
      <c r="M2" s="12" t="str">
        <f t="shared" ref="M2:M7" si="0">+IF(L2=890242,"CONSULTA PRIMERA VEZ DERMATOLOGIA","CONSULTA CONTROL DERMATOLOGIA")</f>
        <v>CONSULTA PRIMERA VEZ DERMATOLOGIA</v>
      </c>
      <c r="N2" s="13" t="s">
        <v>45</v>
      </c>
      <c r="O2" s="7">
        <v>61500</v>
      </c>
      <c r="P2" s="15">
        <v>92627365</v>
      </c>
      <c r="Q2" s="15">
        <v>4993</v>
      </c>
      <c r="R2" s="16" t="s">
        <v>50</v>
      </c>
      <c r="S2" s="17">
        <v>123</v>
      </c>
      <c r="T2" s="7">
        <v>23000</v>
      </c>
      <c r="U2" s="26"/>
      <c r="V2" s="1"/>
    </row>
    <row r="3" spans="1:22" s="2" customFormat="1" x14ac:dyDescent="0.25">
      <c r="A3" s="11">
        <v>45443</v>
      </c>
      <c r="B3" s="12" t="s">
        <v>14</v>
      </c>
      <c r="C3" s="12">
        <v>1015416361</v>
      </c>
      <c r="D3" s="12" t="s">
        <v>53</v>
      </c>
      <c r="E3" s="12" t="s">
        <v>54</v>
      </c>
      <c r="F3" s="12" t="s">
        <v>51</v>
      </c>
      <c r="G3" s="12" t="s">
        <v>52</v>
      </c>
      <c r="H3" s="12" t="str">
        <f t="shared" ref="H3:H66" si="1">+CONCATENATE(F3," ",G3," ",D3," ",E3)</f>
        <v>JENNIFER ANDREA ALVARADO MUÑOZ</v>
      </c>
      <c r="I3" s="12" t="s">
        <v>55</v>
      </c>
      <c r="J3" s="13" t="s">
        <v>94</v>
      </c>
      <c r="K3" s="14" t="s">
        <v>306</v>
      </c>
      <c r="L3" s="14">
        <v>890242</v>
      </c>
      <c r="M3" s="12" t="str">
        <f t="shared" si="0"/>
        <v>CONSULTA PRIMERA VEZ DERMATOLOGIA</v>
      </c>
      <c r="N3" s="13" t="s">
        <v>45</v>
      </c>
      <c r="O3" s="7">
        <v>61500</v>
      </c>
      <c r="P3" s="15">
        <v>92627383</v>
      </c>
      <c r="Q3" s="15">
        <v>4994</v>
      </c>
      <c r="R3" s="16" t="s">
        <v>56</v>
      </c>
      <c r="S3" s="17">
        <v>124</v>
      </c>
      <c r="T3" s="7">
        <v>23000</v>
      </c>
      <c r="U3" s="26"/>
      <c r="V3" s="1"/>
    </row>
    <row r="4" spans="1:22" s="2" customFormat="1" x14ac:dyDescent="0.25">
      <c r="A4" s="11">
        <v>45443</v>
      </c>
      <c r="B4" s="12" t="s">
        <v>14</v>
      </c>
      <c r="C4" s="12">
        <v>1016102680</v>
      </c>
      <c r="D4" s="12" t="s">
        <v>60</v>
      </c>
      <c r="E4" s="12" t="s">
        <v>61</v>
      </c>
      <c r="F4" s="12" t="s">
        <v>58</v>
      </c>
      <c r="G4" s="12" t="s">
        <v>59</v>
      </c>
      <c r="H4" s="12" t="str">
        <f t="shared" si="1"/>
        <v>NICOLLE DANIELA LATORRE POSADA</v>
      </c>
      <c r="I4" s="12" t="s">
        <v>55</v>
      </c>
      <c r="J4" s="13" t="s">
        <v>94</v>
      </c>
      <c r="K4" s="14" t="s">
        <v>307</v>
      </c>
      <c r="L4" s="14">
        <v>890242</v>
      </c>
      <c r="M4" s="12" t="str">
        <f t="shared" si="0"/>
        <v>CONSULTA PRIMERA VEZ DERMATOLOGIA</v>
      </c>
      <c r="N4" s="13" t="s">
        <v>45</v>
      </c>
      <c r="O4" s="7">
        <v>61500</v>
      </c>
      <c r="P4" s="15">
        <v>92627445</v>
      </c>
      <c r="Q4" s="15">
        <v>4995</v>
      </c>
      <c r="R4" s="16" t="s">
        <v>57</v>
      </c>
      <c r="S4" s="17">
        <v>125</v>
      </c>
      <c r="T4" s="7">
        <v>23000</v>
      </c>
      <c r="U4" s="26"/>
      <c r="V4" s="1"/>
    </row>
    <row r="5" spans="1:22" s="2" customFormat="1" x14ac:dyDescent="0.25">
      <c r="A5" s="11">
        <v>45443</v>
      </c>
      <c r="B5" s="12" t="s">
        <v>14</v>
      </c>
      <c r="C5" s="12">
        <v>1005465106</v>
      </c>
      <c r="D5" s="12" t="s">
        <v>65</v>
      </c>
      <c r="E5" s="12" t="s">
        <v>66</v>
      </c>
      <c r="F5" s="12" t="s">
        <v>63</v>
      </c>
      <c r="G5" s="12" t="s">
        <v>64</v>
      </c>
      <c r="H5" s="12" t="str">
        <f t="shared" si="1"/>
        <v>JUAN CAMILO RAMIREZ DURAN</v>
      </c>
      <c r="I5" s="12" t="s">
        <v>55</v>
      </c>
      <c r="J5" s="13" t="s">
        <v>94</v>
      </c>
      <c r="K5" s="14" t="s">
        <v>308</v>
      </c>
      <c r="L5" s="14">
        <v>890242</v>
      </c>
      <c r="M5" s="12" t="str">
        <f t="shared" si="0"/>
        <v>CONSULTA PRIMERA VEZ DERMATOLOGIA</v>
      </c>
      <c r="N5" s="13" t="s">
        <v>45</v>
      </c>
      <c r="O5" s="7">
        <v>61500</v>
      </c>
      <c r="P5" s="15">
        <v>92634269</v>
      </c>
      <c r="Q5" s="15">
        <v>5070</v>
      </c>
      <c r="R5" s="16" t="s">
        <v>67</v>
      </c>
      <c r="S5" s="17">
        <v>126</v>
      </c>
      <c r="T5" s="7">
        <v>23000</v>
      </c>
      <c r="U5" s="26"/>
      <c r="V5" s="1"/>
    </row>
    <row r="6" spans="1:22" s="2" customFormat="1" x14ac:dyDescent="0.25">
      <c r="A6" s="11">
        <v>45422</v>
      </c>
      <c r="B6" s="12" t="s">
        <v>14</v>
      </c>
      <c r="C6" s="12">
        <v>53097969</v>
      </c>
      <c r="D6" s="12" t="s">
        <v>70</v>
      </c>
      <c r="E6" s="12" t="s">
        <v>40</v>
      </c>
      <c r="F6" s="12" t="s">
        <v>68</v>
      </c>
      <c r="G6" s="12" t="s">
        <v>69</v>
      </c>
      <c r="H6" s="12" t="str">
        <f t="shared" si="1"/>
        <v>HEIDY YORLENI MORA RUIZ</v>
      </c>
      <c r="I6" s="12" t="s">
        <v>55</v>
      </c>
      <c r="J6" s="13" t="s">
        <v>94</v>
      </c>
      <c r="K6" s="14" t="s">
        <v>309</v>
      </c>
      <c r="L6" s="14">
        <v>890242</v>
      </c>
      <c r="M6" s="12" t="str">
        <f t="shared" si="0"/>
        <v>CONSULTA PRIMERA VEZ DERMATOLOGIA</v>
      </c>
      <c r="N6" s="13" t="s">
        <v>45</v>
      </c>
      <c r="O6" s="7">
        <v>61500</v>
      </c>
      <c r="P6" s="15">
        <v>92632182</v>
      </c>
      <c r="Q6" s="15">
        <v>4996</v>
      </c>
      <c r="R6" s="16" t="s">
        <v>71</v>
      </c>
      <c r="S6" s="17">
        <v>127</v>
      </c>
      <c r="T6" s="7">
        <v>23000</v>
      </c>
      <c r="U6" s="26"/>
      <c r="V6" s="1"/>
    </row>
    <row r="7" spans="1:22" s="2" customFormat="1" x14ac:dyDescent="0.25">
      <c r="A7" s="11">
        <v>45429</v>
      </c>
      <c r="B7" s="12" t="s">
        <v>14</v>
      </c>
      <c r="C7" s="12">
        <v>80873498</v>
      </c>
      <c r="D7" s="12" t="s">
        <v>74</v>
      </c>
      <c r="E7" s="12" t="s">
        <v>75</v>
      </c>
      <c r="F7" s="12" t="s">
        <v>72</v>
      </c>
      <c r="G7" s="12" t="s">
        <v>73</v>
      </c>
      <c r="H7" s="12" t="str">
        <f t="shared" si="1"/>
        <v>ANDRES FELIPE GOMEZ AMAYA</v>
      </c>
      <c r="I7" s="12" t="s">
        <v>55</v>
      </c>
      <c r="J7" s="13" t="s">
        <v>94</v>
      </c>
      <c r="K7" s="14" t="s">
        <v>305</v>
      </c>
      <c r="L7" s="14">
        <v>890242</v>
      </c>
      <c r="M7" s="12" t="str">
        <f t="shared" si="0"/>
        <v>CONSULTA PRIMERA VEZ DERMATOLOGIA</v>
      </c>
      <c r="N7" s="13" t="s">
        <v>45</v>
      </c>
      <c r="O7" s="7">
        <v>61500</v>
      </c>
      <c r="P7" s="15">
        <v>92634331</v>
      </c>
      <c r="Q7" s="15">
        <v>4997</v>
      </c>
      <c r="R7" s="16" t="s">
        <v>76</v>
      </c>
      <c r="S7" s="17">
        <v>128</v>
      </c>
      <c r="T7" s="7">
        <v>23000</v>
      </c>
      <c r="U7" s="26"/>
      <c r="V7" s="1"/>
    </row>
    <row r="8" spans="1:22" s="2" customFormat="1" x14ac:dyDescent="0.25">
      <c r="A8" s="11">
        <v>45469</v>
      </c>
      <c r="B8" s="12" t="s">
        <v>14</v>
      </c>
      <c r="C8" s="12">
        <v>52494308</v>
      </c>
      <c r="D8" s="12" t="s">
        <v>80</v>
      </c>
      <c r="E8" s="12" t="s">
        <v>81</v>
      </c>
      <c r="F8" s="12" t="s">
        <v>78</v>
      </c>
      <c r="G8" s="12" t="s">
        <v>79</v>
      </c>
      <c r="H8" s="12" t="str">
        <f t="shared" si="1"/>
        <v>SANDRA MILENA CASTILLO CARPINTERO</v>
      </c>
      <c r="I8" s="12" t="s">
        <v>55</v>
      </c>
      <c r="J8" s="13" t="s">
        <v>94</v>
      </c>
      <c r="K8" s="14" t="s">
        <v>310</v>
      </c>
      <c r="L8" s="14">
        <v>890242</v>
      </c>
      <c r="M8" s="12" t="str">
        <f t="shared" ref="M8:M48" si="2">+IF(L8=890242,"CONSULTA PRIMERA VEZ DERMATOLOGIA","CONSULTA CONTROL DERMATOLOGIA")</f>
        <v>CONSULTA PRIMERA VEZ DERMATOLOGIA</v>
      </c>
      <c r="N8" s="13" t="s">
        <v>45</v>
      </c>
      <c r="O8" s="7">
        <v>61500</v>
      </c>
      <c r="P8" s="15">
        <v>92632275</v>
      </c>
      <c r="Q8" s="15">
        <v>4998</v>
      </c>
      <c r="R8" s="16" t="s">
        <v>77</v>
      </c>
      <c r="S8" s="17">
        <v>129</v>
      </c>
      <c r="T8" s="7">
        <v>23000</v>
      </c>
      <c r="U8" s="26"/>
      <c r="V8" s="1"/>
    </row>
    <row r="9" spans="1:22" s="2" customFormat="1" x14ac:dyDescent="0.25">
      <c r="A9" s="11">
        <v>45475</v>
      </c>
      <c r="B9" s="12" t="s">
        <v>26</v>
      </c>
      <c r="C9" s="12">
        <v>1014999904</v>
      </c>
      <c r="D9" s="12" t="s">
        <v>86</v>
      </c>
      <c r="E9" s="12" t="s">
        <v>87</v>
      </c>
      <c r="F9" s="12" t="s">
        <v>85</v>
      </c>
      <c r="G9" s="12"/>
      <c r="H9" s="12" t="str">
        <f t="shared" si="1"/>
        <v>ALICIA  MARROQUIN GARZON</v>
      </c>
      <c r="I9" s="12" t="s">
        <v>55</v>
      </c>
      <c r="J9" s="13" t="s">
        <v>94</v>
      </c>
      <c r="K9" s="14" t="s">
        <v>15</v>
      </c>
      <c r="L9" s="14">
        <v>890242</v>
      </c>
      <c r="M9" s="12" t="str">
        <f t="shared" si="2"/>
        <v>CONSULTA PRIMERA VEZ DERMATOLOGIA</v>
      </c>
      <c r="N9" s="13" t="s">
        <v>45</v>
      </c>
      <c r="O9" s="7">
        <v>61500</v>
      </c>
      <c r="P9" s="15">
        <v>92634412</v>
      </c>
      <c r="Q9" s="15">
        <v>4999</v>
      </c>
      <c r="R9" s="16" t="s">
        <v>88</v>
      </c>
      <c r="S9" s="17">
        <v>130</v>
      </c>
      <c r="T9" s="7">
        <v>23000</v>
      </c>
      <c r="U9" s="26"/>
      <c r="V9" s="1"/>
    </row>
    <row r="10" spans="1:22" s="2" customFormat="1" x14ac:dyDescent="0.25">
      <c r="A10" s="11">
        <v>45524</v>
      </c>
      <c r="B10" s="12" t="s">
        <v>14</v>
      </c>
      <c r="C10" s="12">
        <v>1020718291</v>
      </c>
      <c r="D10" s="12" t="s">
        <v>91</v>
      </c>
      <c r="E10" s="12" t="s">
        <v>41</v>
      </c>
      <c r="F10" s="12" t="s">
        <v>90</v>
      </c>
      <c r="G10" s="12" t="s">
        <v>52</v>
      </c>
      <c r="H10" s="12" t="str">
        <f t="shared" si="1"/>
        <v>JESSICA ANDREA OSPINA TORRES</v>
      </c>
      <c r="I10" s="12" t="s">
        <v>55</v>
      </c>
      <c r="J10" s="13" t="s">
        <v>94</v>
      </c>
      <c r="K10" s="14" t="s">
        <v>311</v>
      </c>
      <c r="L10" s="14">
        <v>890242</v>
      </c>
      <c r="M10" s="12" t="str">
        <f t="shared" si="2"/>
        <v>CONSULTA PRIMERA VEZ DERMATOLOGIA</v>
      </c>
      <c r="N10" s="13" t="s">
        <v>45</v>
      </c>
      <c r="O10" s="7">
        <v>61500</v>
      </c>
      <c r="P10" s="15">
        <v>91042990</v>
      </c>
      <c r="Q10" s="15">
        <v>5000</v>
      </c>
      <c r="R10" s="16" t="s">
        <v>92</v>
      </c>
      <c r="S10" s="17">
        <v>131</v>
      </c>
      <c r="T10" s="7">
        <v>23000</v>
      </c>
      <c r="U10" s="26"/>
      <c r="V10" s="1"/>
    </row>
    <row r="11" spans="1:22" x14ac:dyDescent="0.25">
      <c r="A11" s="11">
        <v>45433</v>
      </c>
      <c r="B11" s="12" t="s">
        <v>14</v>
      </c>
      <c r="C11" s="12">
        <v>39562412</v>
      </c>
      <c r="D11" s="12" t="s">
        <v>84</v>
      </c>
      <c r="E11" s="12" t="s">
        <v>27</v>
      </c>
      <c r="F11" s="12" t="s">
        <v>157</v>
      </c>
      <c r="G11" s="12" t="s">
        <v>158</v>
      </c>
      <c r="H11" s="12" t="str">
        <f t="shared" si="1"/>
        <v>JEANNETTE ELVIRA GARCIA LEON</v>
      </c>
      <c r="I11" s="12" t="s">
        <v>55</v>
      </c>
      <c r="J11" s="13" t="s">
        <v>94</v>
      </c>
      <c r="K11" s="14" t="s">
        <v>312</v>
      </c>
      <c r="L11" s="14">
        <v>890242</v>
      </c>
      <c r="M11" s="12" t="str">
        <f t="shared" si="2"/>
        <v>CONSULTA PRIMERA VEZ DERMATOLOGIA</v>
      </c>
      <c r="N11" s="13" t="s">
        <v>45</v>
      </c>
      <c r="O11" s="7">
        <v>61500</v>
      </c>
      <c r="P11" s="15">
        <v>92634494</v>
      </c>
      <c r="Q11" s="15">
        <v>5001</v>
      </c>
      <c r="R11" s="16" t="s">
        <v>95</v>
      </c>
      <c r="S11" s="17">
        <v>132</v>
      </c>
      <c r="T11" s="7">
        <v>23000</v>
      </c>
      <c r="U11" s="27"/>
    </row>
    <row r="12" spans="1:22" x14ac:dyDescent="0.25">
      <c r="A12" s="11">
        <v>45433</v>
      </c>
      <c r="B12" s="12" t="s">
        <v>14</v>
      </c>
      <c r="C12" s="12">
        <v>1020798040</v>
      </c>
      <c r="D12" s="12" t="s">
        <v>159</v>
      </c>
      <c r="E12" s="12" t="s">
        <v>84</v>
      </c>
      <c r="F12" s="12" t="s">
        <v>59</v>
      </c>
      <c r="G12" s="12"/>
      <c r="H12" s="12" t="str">
        <f t="shared" si="1"/>
        <v>DANIELA  RODRIGUEZ GARCIA</v>
      </c>
      <c r="I12" s="12" t="s">
        <v>55</v>
      </c>
      <c r="J12" s="13" t="s">
        <v>94</v>
      </c>
      <c r="K12" s="14" t="s">
        <v>25</v>
      </c>
      <c r="L12" s="14">
        <v>890242</v>
      </c>
      <c r="M12" s="12" t="str">
        <f t="shared" si="2"/>
        <v>CONSULTA PRIMERA VEZ DERMATOLOGIA</v>
      </c>
      <c r="N12" s="13" t="s">
        <v>45</v>
      </c>
      <c r="O12" s="7">
        <v>61500</v>
      </c>
      <c r="P12" s="15">
        <v>92632580</v>
      </c>
      <c r="Q12" s="15">
        <v>5002</v>
      </c>
      <c r="R12" s="16" t="s">
        <v>96</v>
      </c>
      <c r="S12" s="17">
        <v>133</v>
      </c>
      <c r="T12" s="7">
        <v>23000</v>
      </c>
      <c r="U12" s="27"/>
    </row>
    <row r="13" spans="1:22" x14ac:dyDescent="0.25">
      <c r="A13" s="19">
        <v>45426</v>
      </c>
      <c r="B13" s="20" t="s">
        <v>14</v>
      </c>
      <c r="C13" s="20">
        <v>1018464522</v>
      </c>
      <c r="D13" s="20" t="s">
        <v>93</v>
      </c>
      <c r="E13" s="20" t="s">
        <v>162</v>
      </c>
      <c r="F13" s="20" t="s">
        <v>160</v>
      </c>
      <c r="G13" s="20" t="s">
        <v>161</v>
      </c>
      <c r="H13" s="20" t="str">
        <f t="shared" si="1"/>
        <v>JULIAN MAURICIO ROJAS CARO</v>
      </c>
      <c r="I13" s="20" t="s">
        <v>55</v>
      </c>
      <c r="J13" s="21" t="s">
        <v>94</v>
      </c>
      <c r="K13" s="22" t="s">
        <v>313</v>
      </c>
      <c r="L13" s="22">
        <v>890242</v>
      </c>
      <c r="M13" s="20" t="str">
        <f t="shared" si="2"/>
        <v>CONSULTA PRIMERA VEZ DERMATOLOGIA</v>
      </c>
      <c r="N13" s="21" t="s">
        <v>45</v>
      </c>
      <c r="O13" s="23">
        <v>80000</v>
      </c>
      <c r="P13" s="24">
        <v>92632629</v>
      </c>
      <c r="Q13" s="24">
        <v>5213</v>
      </c>
      <c r="R13" s="16" t="s">
        <v>97</v>
      </c>
      <c r="S13" s="17">
        <v>134</v>
      </c>
      <c r="T13" s="23">
        <v>23000</v>
      </c>
      <c r="U13" s="27"/>
    </row>
    <row r="14" spans="1:22" x14ac:dyDescent="0.25">
      <c r="A14" s="11">
        <v>45428</v>
      </c>
      <c r="B14" s="12" t="s">
        <v>14</v>
      </c>
      <c r="C14" s="12">
        <v>1014739316</v>
      </c>
      <c r="D14" s="12" t="s">
        <v>166</v>
      </c>
      <c r="E14" s="12" t="s">
        <v>167</v>
      </c>
      <c r="F14" s="12" t="s">
        <v>164</v>
      </c>
      <c r="G14" s="12" t="s">
        <v>165</v>
      </c>
      <c r="H14" s="12" t="str">
        <f t="shared" si="1"/>
        <v>NICOLAS ANTONIO SANCHEZ BAUTISTA</v>
      </c>
      <c r="I14" s="12" t="s">
        <v>55</v>
      </c>
      <c r="J14" s="13" t="s">
        <v>94</v>
      </c>
      <c r="K14" s="14" t="s">
        <v>24</v>
      </c>
      <c r="L14" s="14">
        <v>890242</v>
      </c>
      <c r="M14" s="12" t="str">
        <f t="shared" si="2"/>
        <v>CONSULTA PRIMERA VEZ DERMATOLOGIA</v>
      </c>
      <c r="N14" s="13" t="s">
        <v>45</v>
      </c>
      <c r="O14" s="7">
        <v>61500</v>
      </c>
      <c r="P14" s="15">
        <v>92634809</v>
      </c>
      <c r="Q14" s="15">
        <v>5005</v>
      </c>
      <c r="R14" s="16" t="s">
        <v>98</v>
      </c>
      <c r="S14" s="17">
        <v>135</v>
      </c>
      <c r="T14" s="7">
        <v>23000</v>
      </c>
      <c r="U14" s="27"/>
    </row>
    <row r="15" spans="1:22" x14ac:dyDescent="0.25">
      <c r="A15" s="11">
        <v>45443</v>
      </c>
      <c r="B15" s="12" t="s">
        <v>14</v>
      </c>
      <c r="C15" s="12">
        <v>1030699044</v>
      </c>
      <c r="D15" s="12" t="s">
        <v>65</v>
      </c>
      <c r="E15" s="12" t="s">
        <v>66</v>
      </c>
      <c r="F15" s="12" t="s">
        <v>173</v>
      </c>
      <c r="G15" s="12" t="s">
        <v>72</v>
      </c>
      <c r="H15" s="12" t="str">
        <f t="shared" si="1"/>
        <v>JORGE ANDRES RAMIREZ DURAN</v>
      </c>
      <c r="I15" s="12" t="s">
        <v>55</v>
      </c>
      <c r="J15" s="13" t="s">
        <v>94</v>
      </c>
      <c r="K15" s="14" t="s">
        <v>314</v>
      </c>
      <c r="L15" s="14">
        <v>890242</v>
      </c>
      <c r="M15" s="12" t="str">
        <f t="shared" si="2"/>
        <v>CONSULTA PRIMERA VEZ DERMATOLOGIA</v>
      </c>
      <c r="N15" s="13" t="s">
        <v>45</v>
      </c>
      <c r="O15" s="7">
        <v>61500</v>
      </c>
      <c r="P15" s="15">
        <v>92632947</v>
      </c>
      <c r="Q15" s="15">
        <v>5006</v>
      </c>
      <c r="R15" s="16" t="s">
        <v>99</v>
      </c>
      <c r="S15" s="17">
        <v>136</v>
      </c>
      <c r="T15" s="7">
        <v>23000</v>
      </c>
      <c r="U15" s="27"/>
    </row>
    <row r="16" spans="1:22" x14ac:dyDescent="0.25">
      <c r="A16" s="11">
        <v>45457</v>
      </c>
      <c r="B16" s="12" t="s">
        <v>14</v>
      </c>
      <c r="C16" s="12">
        <v>1014289618</v>
      </c>
      <c r="D16" s="12" t="s">
        <v>30</v>
      </c>
      <c r="E16" s="12" t="s">
        <v>176</v>
      </c>
      <c r="F16" s="12" t="s">
        <v>174</v>
      </c>
      <c r="G16" s="12" t="s">
        <v>175</v>
      </c>
      <c r="H16" s="12" t="str">
        <f t="shared" si="1"/>
        <v>LUISA FERNANDA MARTINEZ CASTAÑEDA</v>
      </c>
      <c r="I16" s="12" t="s">
        <v>55</v>
      </c>
      <c r="J16" s="13" t="s">
        <v>94</v>
      </c>
      <c r="K16" s="14" t="s">
        <v>23</v>
      </c>
      <c r="L16" s="14">
        <v>890242</v>
      </c>
      <c r="M16" s="12" t="str">
        <f t="shared" si="2"/>
        <v>CONSULTA PRIMERA VEZ DERMATOLOGIA</v>
      </c>
      <c r="N16" s="13" t="s">
        <v>45</v>
      </c>
      <c r="O16" s="7">
        <v>57300</v>
      </c>
      <c r="P16" s="15">
        <v>92633010</v>
      </c>
      <c r="Q16" s="15">
        <v>5007</v>
      </c>
      <c r="R16" s="16" t="s">
        <v>100</v>
      </c>
      <c r="S16" s="17">
        <v>137</v>
      </c>
      <c r="T16" s="7">
        <v>45700</v>
      </c>
      <c r="U16" s="27"/>
    </row>
    <row r="17" spans="1:21" x14ac:dyDescent="0.25">
      <c r="A17" s="11">
        <v>45457</v>
      </c>
      <c r="B17" s="12" t="s">
        <v>14</v>
      </c>
      <c r="C17" s="12">
        <v>1088305191</v>
      </c>
      <c r="D17" s="12" t="s">
        <v>177</v>
      </c>
      <c r="E17" s="12" t="s">
        <v>178</v>
      </c>
      <c r="F17" s="12" t="s">
        <v>168</v>
      </c>
      <c r="G17" s="12"/>
      <c r="H17" s="12" t="str">
        <f t="shared" si="1"/>
        <v>CATALINA  CEDEÑO YEPES</v>
      </c>
      <c r="I17" s="12" t="s">
        <v>55</v>
      </c>
      <c r="J17" s="13" t="s">
        <v>94</v>
      </c>
      <c r="K17" s="14" t="s">
        <v>315</v>
      </c>
      <c r="L17" s="14">
        <v>890242</v>
      </c>
      <c r="M17" s="12" t="str">
        <f t="shared" si="2"/>
        <v>CONSULTA PRIMERA VEZ DERMATOLOGIA</v>
      </c>
      <c r="N17" s="13" t="s">
        <v>45</v>
      </c>
      <c r="O17" s="7">
        <v>61500</v>
      </c>
      <c r="P17" s="15">
        <v>92635153</v>
      </c>
      <c r="Q17" s="15">
        <v>5008</v>
      </c>
      <c r="R17" s="16" t="s">
        <v>101</v>
      </c>
      <c r="S17" s="17">
        <v>138</v>
      </c>
      <c r="T17" s="7">
        <v>23000</v>
      </c>
      <c r="U17" s="27"/>
    </row>
    <row r="18" spans="1:21" x14ac:dyDescent="0.25">
      <c r="A18" s="11">
        <v>45458</v>
      </c>
      <c r="B18" s="12" t="s">
        <v>14</v>
      </c>
      <c r="C18" s="12">
        <v>1032471767</v>
      </c>
      <c r="D18" s="12" t="s">
        <v>65</v>
      </c>
      <c r="E18" s="12" t="s">
        <v>170</v>
      </c>
      <c r="F18" s="12" t="s">
        <v>163</v>
      </c>
      <c r="G18" s="12"/>
      <c r="H18" s="12" t="str">
        <f t="shared" si="1"/>
        <v>NATALIA  RAMIREZ GONZALEZ</v>
      </c>
      <c r="I18" s="12" t="s">
        <v>55</v>
      </c>
      <c r="J18" s="13" t="s">
        <v>94</v>
      </c>
      <c r="K18" s="14" t="s">
        <v>312</v>
      </c>
      <c r="L18" s="14">
        <v>890242</v>
      </c>
      <c r="M18" s="12" t="str">
        <f t="shared" si="2"/>
        <v>CONSULTA PRIMERA VEZ DERMATOLOGIA</v>
      </c>
      <c r="N18" s="13" t="s">
        <v>45</v>
      </c>
      <c r="O18" s="7">
        <v>61500</v>
      </c>
      <c r="P18" s="15">
        <v>92635963</v>
      </c>
      <c r="Q18" s="15">
        <v>5009</v>
      </c>
      <c r="R18" s="16" t="s">
        <v>102</v>
      </c>
      <c r="S18" s="17">
        <v>139</v>
      </c>
      <c r="T18" s="7">
        <v>23000</v>
      </c>
      <c r="U18" s="27"/>
    </row>
    <row r="19" spans="1:21" x14ac:dyDescent="0.25">
      <c r="A19" s="11">
        <v>45463</v>
      </c>
      <c r="B19" s="12" t="s">
        <v>16</v>
      </c>
      <c r="C19" s="12">
        <v>1019844283</v>
      </c>
      <c r="D19" s="12" t="s">
        <v>179</v>
      </c>
      <c r="E19" s="12" t="s">
        <v>180</v>
      </c>
      <c r="F19" s="12" t="s">
        <v>63</v>
      </c>
      <c r="G19" s="12" t="s">
        <v>72</v>
      </c>
      <c r="H19" s="12" t="str">
        <f t="shared" si="1"/>
        <v>JUAN ANDRES URREA LARA</v>
      </c>
      <c r="I19" s="12" t="s">
        <v>55</v>
      </c>
      <c r="J19" s="13" t="s">
        <v>94</v>
      </c>
      <c r="K19" s="14" t="s">
        <v>22</v>
      </c>
      <c r="L19" s="14">
        <v>890242</v>
      </c>
      <c r="M19" s="12" t="str">
        <f t="shared" si="2"/>
        <v>CONSULTA PRIMERA VEZ DERMATOLOGIA</v>
      </c>
      <c r="N19" s="13" t="s">
        <v>45</v>
      </c>
      <c r="O19" s="7">
        <v>36800</v>
      </c>
      <c r="P19" s="15">
        <v>92633928</v>
      </c>
      <c r="Q19" s="15">
        <v>5010</v>
      </c>
      <c r="R19" s="16" t="s">
        <v>103</v>
      </c>
      <c r="S19" s="17">
        <v>140</v>
      </c>
      <c r="T19" s="7">
        <v>46200</v>
      </c>
      <c r="U19" s="27"/>
    </row>
    <row r="20" spans="1:21" x14ac:dyDescent="0.25">
      <c r="A20" s="11">
        <v>45465</v>
      </c>
      <c r="B20" s="12" t="s">
        <v>26</v>
      </c>
      <c r="C20" s="12">
        <v>1016967206</v>
      </c>
      <c r="D20" s="12" t="s">
        <v>183</v>
      </c>
      <c r="E20" s="12" t="s">
        <v>184</v>
      </c>
      <c r="F20" s="12" t="s">
        <v>182</v>
      </c>
      <c r="G20" s="12"/>
      <c r="H20" s="12" t="str">
        <f t="shared" si="1"/>
        <v>EMILIA  AVENDAÑO GUZMAN</v>
      </c>
      <c r="I20" s="12" t="s">
        <v>55</v>
      </c>
      <c r="J20" s="13" t="s">
        <v>94</v>
      </c>
      <c r="K20" s="14" t="s">
        <v>305</v>
      </c>
      <c r="L20" s="14">
        <v>890242</v>
      </c>
      <c r="M20" s="12" t="str">
        <f t="shared" si="2"/>
        <v>CONSULTA PRIMERA VEZ DERMATOLOGIA</v>
      </c>
      <c r="N20" s="13" t="s">
        <v>45</v>
      </c>
      <c r="O20" s="7">
        <v>61500</v>
      </c>
      <c r="P20" s="15">
        <v>92636097</v>
      </c>
      <c r="Q20" s="15">
        <v>5011</v>
      </c>
      <c r="R20" s="16" t="s">
        <v>104</v>
      </c>
      <c r="S20" s="17">
        <v>141</v>
      </c>
      <c r="T20" s="7">
        <v>23000</v>
      </c>
      <c r="U20" s="27"/>
    </row>
    <row r="21" spans="1:21" x14ac:dyDescent="0.25">
      <c r="A21" s="11">
        <v>45465</v>
      </c>
      <c r="B21" s="12" t="s">
        <v>14</v>
      </c>
      <c r="C21" s="12">
        <v>1098621422</v>
      </c>
      <c r="D21" s="12" t="s">
        <v>186</v>
      </c>
      <c r="E21" s="12" t="s">
        <v>187</v>
      </c>
      <c r="F21" s="12" t="s">
        <v>185</v>
      </c>
      <c r="G21" s="12"/>
      <c r="H21" s="12" t="str">
        <f t="shared" si="1"/>
        <v>KARIME  CURE REQUENA</v>
      </c>
      <c r="I21" s="12" t="s">
        <v>55</v>
      </c>
      <c r="J21" s="13" t="s">
        <v>94</v>
      </c>
      <c r="K21" s="14" t="s">
        <v>308</v>
      </c>
      <c r="L21" s="14">
        <v>890242</v>
      </c>
      <c r="M21" s="12" t="str">
        <f t="shared" si="2"/>
        <v>CONSULTA PRIMERA VEZ DERMATOLOGIA</v>
      </c>
      <c r="N21" s="13" t="s">
        <v>45</v>
      </c>
      <c r="O21" s="7">
        <v>36800</v>
      </c>
      <c r="P21" s="15">
        <v>92636141</v>
      </c>
      <c r="Q21" s="15">
        <v>5012</v>
      </c>
      <c r="R21" s="16" t="s">
        <v>105</v>
      </c>
      <c r="S21" s="17">
        <v>142</v>
      </c>
      <c r="T21" s="7">
        <v>46200</v>
      </c>
      <c r="U21" s="27"/>
    </row>
    <row r="22" spans="1:21" x14ac:dyDescent="0.25">
      <c r="A22" s="11">
        <v>45468</v>
      </c>
      <c r="B22" s="12" t="s">
        <v>14</v>
      </c>
      <c r="C22" s="12">
        <v>1032483922</v>
      </c>
      <c r="D22" s="12" t="s">
        <v>74</v>
      </c>
      <c r="E22" s="12" t="s">
        <v>189</v>
      </c>
      <c r="F22" s="12" t="s">
        <v>18</v>
      </c>
      <c r="G22" s="12" t="s">
        <v>28</v>
      </c>
      <c r="H22" s="12" t="str">
        <f t="shared" si="1"/>
        <v>MARIA PAULA GOMEZ VARGAS</v>
      </c>
      <c r="I22" s="12" t="s">
        <v>55</v>
      </c>
      <c r="J22" s="13" t="s">
        <v>94</v>
      </c>
      <c r="K22" s="14" t="s">
        <v>316</v>
      </c>
      <c r="L22" s="14">
        <v>890242</v>
      </c>
      <c r="M22" s="12" t="str">
        <f t="shared" si="2"/>
        <v>CONSULTA PRIMERA VEZ DERMATOLOGIA</v>
      </c>
      <c r="N22" s="13" t="s">
        <v>45</v>
      </c>
      <c r="O22" s="7">
        <v>57300</v>
      </c>
      <c r="P22" s="15">
        <v>92636303</v>
      </c>
      <c r="Q22" s="15">
        <v>5013</v>
      </c>
      <c r="R22" s="16" t="s">
        <v>106</v>
      </c>
      <c r="S22" s="17">
        <v>143</v>
      </c>
      <c r="T22" s="7">
        <v>45700</v>
      </c>
      <c r="U22" s="27"/>
    </row>
    <row r="23" spans="1:21" x14ac:dyDescent="0.25">
      <c r="A23" s="11">
        <v>45468</v>
      </c>
      <c r="B23" s="12" t="s">
        <v>14</v>
      </c>
      <c r="C23" s="12">
        <v>52855144</v>
      </c>
      <c r="D23" s="12" t="s">
        <v>191</v>
      </c>
      <c r="E23" s="12" t="s">
        <v>84</v>
      </c>
      <c r="F23" s="12" t="s">
        <v>190</v>
      </c>
      <c r="G23" s="12" t="s">
        <v>43</v>
      </c>
      <c r="H23" s="12" t="str">
        <f t="shared" si="1"/>
        <v>FRANCY ELENA VELASCO GARCIA</v>
      </c>
      <c r="I23" s="12" t="s">
        <v>55</v>
      </c>
      <c r="J23" s="13" t="s">
        <v>94</v>
      </c>
      <c r="K23" s="14" t="s">
        <v>32</v>
      </c>
      <c r="L23" s="14">
        <v>890242</v>
      </c>
      <c r="M23" s="12" t="str">
        <f t="shared" si="2"/>
        <v>CONSULTA PRIMERA VEZ DERMATOLOGIA</v>
      </c>
      <c r="N23" s="13" t="s">
        <v>45</v>
      </c>
      <c r="O23" s="7">
        <v>61500</v>
      </c>
      <c r="P23" s="15">
        <v>92639129</v>
      </c>
      <c r="Q23" s="15">
        <v>5014</v>
      </c>
      <c r="R23" s="16" t="s">
        <v>107</v>
      </c>
      <c r="S23" s="17">
        <v>144</v>
      </c>
      <c r="T23" s="7">
        <v>23000</v>
      </c>
      <c r="U23" s="27"/>
    </row>
    <row r="24" spans="1:21" x14ac:dyDescent="0.25">
      <c r="A24" s="11">
        <v>45469</v>
      </c>
      <c r="B24" s="12" t="s">
        <v>14</v>
      </c>
      <c r="C24" s="12">
        <v>53106886</v>
      </c>
      <c r="D24" s="12" t="s">
        <v>29</v>
      </c>
      <c r="E24" s="12" t="s">
        <v>41</v>
      </c>
      <c r="F24" s="12" t="s">
        <v>192</v>
      </c>
      <c r="G24" s="12" t="s">
        <v>52</v>
      </c>
      <c r="H24" s="12" t="str">
        <f t="shared" si="1"/>
        <v>LILIANA ANDREA DIAZ TORRES</v>
      </c>
      <c r="I24" s="12" t="s">
        <v>55</v>
      </c>
      <c r="J24" s="13" t="s">
        <v>94</v>
      </c>
      <c r="K24" s="14" t="s">
        <v>305</v>
      </c>
      <c r="L24" s="14">
        <v>890242</v>
      </c>
      <c r="M24" s="12" t="str">
        <f t="shared" si="2"/>
        <v>CONSULTA PRIMERA VEZ DERMATOLOGIA</v>
      </c>
      <c r="N24" s="13" t="s">
        <v>45</v>
      </c>
      <c r="O24" s="7">
        <v>61500</v>
      </c>
      <c r="P24" s="15">
        <v>92636363</v>
      </c>
      <c r="Q24" s="15">
        <v>5015</v>
      </c>
      <c r="R24" s="16" t="s">
        <v>108</v>
      </c>
      <c r="S24" s="17">
        <v>145</v>
      </c>
      <c r="T24" s="7">
        <v>23000</v>
      </c>
      <c r="U24" s="27"/>
    </row>
    <row r="25" spans="1:21" x14ac:dyDescent="0.25">
      <c r="A25" s="19">
        <v>45469</v>
      </c>
      <c r="B25" s="20" t="s">
        <v>14</v>
      </c>
      <c r="C25" s="20">
        <v>1018496351</v>
      </c>
      <c r="D25" s="20" t="s">
        <v>193</v>
      </c>
      <c r="E25" s="20" t="s">
        <v>194</v>
      </c>
      <c r="F25" s="20" t="s">
        <v>163</v>
      </c>
      <c r="G25" s="20" t="s">
        <v>202</v>
      </c>
      <c r="H25" s="20" t="str">
        <f t="shared" si="1"/>
        <v>NATALIA ROCIO ORTEGON CORTAZAR</v>
      </c>
      <c r="I25" s="20" t="s">
        <v>55</v>
      </c>
      <c r="J25" s="21" t="s">
        <v>94</v>
      </c>
      <c r="K25" s="22" t="s">
        <v>306</v>
      </c>
      <c r="L25" s="22">
        <v>890242</v>
      </c>
      <c r="M25" s="20" t="str">
        <f t="shared" si="2"/>
        <v>CONSULTA PRIMERA VEZ DERMATOLOGIA</v>
      </c>
      <c r="N25" s="21" t="s">
        <v>45</v>
      </c>
      <c r="O25" s="23">
        <v>58100</v>
      </c>
      <c r="P25" s="24">
        <v>92636388</v>
      </c>
      <c r="Q25" s="24">
        <v>5214</v>
      </c>
      <c r="R25" s="25" t="s">
        <v>109</v>
      </c>
      <c r="S25" s="9">
        <v>146</v>
      </c>
      <c r="T25" s="29">
        <v>44900</v>
      </c>
      <c r="U25" s="28"/>
    </row>
    <row r="26" spans="1:21" x14ac:dyDescent="0.25">
      <c r="A26" s="11">
        <v>45471</v>
      </c>
      <c r="B26" s="12" t="s">
        <v>16</v>
      </c>
      <c r="C26" s="12">
        <v>1011211703</v>
      </c>
      <c r="D26" s="12" t="s">
        <v>89</v>
      </c>
      <c r="E26" s="12" t="s">
        <v>196</v>
      </c>
      <c r="F26" s="12" t="s">
        <v>195</v>
      </c>
      <c r="G26" s="12"/>
      <c r="H26" s="12" t="str">
        <f t="shared" si="1"/>
        <v>LUCIANA  RIAÑO SALINAS</v>
      </c>
      <c r="I26" s="12" t="s">
        <v>55</v>
      </c>
      <c r="J26" s="13" t="s">
        <v>94</v>
      </c>
      <c r="K26" s="14" t="s">
        <v>307</v>
      </c>
      <c r="L26" s="14">
        <v>890242</v>
      </c>
      <c r="M26" s="12" t="str">
        <f t="shared" si="2"/>
        <v>CONSULTA PRIMERA VEZ DERMATOLOGIA</v>
      </c>
      <c r="N26" s="13" t="s">
        <v>45</v>
      </c>
      <c r="O26" s="7">
        <v>61500</v>
      </c>
      <c r="P26" s="15">
        <v>92636441</v>
      </c>
      <c r="Q26" s="15">
        <v>5017</v>
      </c>
      <c r="R26" s="16" t="s">
        <v>110</v>
      </c>
      <c r="S26" s="17">
        <v>147</v>
      </c>
      <c r="T26" s="7">
        <v>23000</v>
      </c>
      <c r="U26" s="27"/>
    </row>
    <row r="27" spans="1:21" x14ac:dyDescent="0.25">
      <c r="A27" s="11">
        <v>45471</v>
      </c>
      <c r="B27" s="12" t="s">
        <v>14</v>
      </c>
      <c r="C27" s="12">
        <v>1136880703</v>
      </c>
      <c r="D27" s="12" t="s">
        <v>170</v>
      </c>
      <c r="E27" s="12" t="s">
        <v>197</v>
      </c>
      <c r="F27" s="12" t="s">
        <v>18</v>
      </c>
      <c r="G27" s="12" t="s">
        <v>37</v>
      </c>
      <c r="H27" s="12" t="str">
        <f t="shared" si="1"/>
        <v>MARIA ALEJANDRA GONZALEZ AYALA</v>
      </c>
      <c r="I27" s="12" t="s">
        <v>55</v>
      </c>
      <c r="J27" s="13" t="s">
        <v>94</v>
      </c>
      <c r="K27" s="14" t="s">
        <v>308</v>
      </c>
      <c r="L27" s="14">
        <v>890342</v>
      </c>
      <c r="M27" s="12" t="str">
        <f t="shared" si="2"/>
        <v>CONSULTA CONTROL DERMATOLOGIA</v>
      </c>
      <c r="N27" s="13" t="s">
        <v>45</v>
      </c>
      <c r="O27" s="7">
        <v>9000</v>
      </c>
      <c r="P27" s="15">
        <v>92639225</v>
      </c>
      <c r="Q27" s="15">
        <v>5020</v>
      </c>
      <c r="R27" s="16" t="s">
        <v>111</v>
      </c>
      <c r="S27" s="17">
        <v>148</v>
      </c>
      <c r="T27" s="7">
        <v>45700</v>
      </c>
      <c r="U27" s="27"/>
    </row>
    <row r="28" spans="1:21" x14ac:dyDescent="0.25">
      <c r="A28" s="11">
        <v>45495</v>
      </c>
      <c r="B28" s="12" t="s">
        <v>14</v>
      </c>
      <c r="C28" s="12">
        <v>1022384962</v>
      </c>
      <c r="D28" s="12" t="s">
        <v>169</v>
      </c>
      <c r="E28" s="12" t="s">
        <v>36</v>
      </c>
      <c r="F28" s="12" t="s">
        <v>59</v>
      </c>
      <c r="G28" s="12" t="s">
        <v>37</v>
      </c>
      <c r="H28" s="12" t="str">
        <f t="shared" si="1"/>
        <v>DANIELA ALEJANDRA ARIAS DAZA</v>
      </c>
      <c r="I28" s="12" t="s">
        <v>55</v>
      </c>
      <c r="J28" s="13" t="s">
        <v>94</v>
      </c>
      <c r="K28" s="14" t="s">
        <v>309</v>
      </c>
      <c r="L28" s="14">
        <v>890242</v>
      </c>
      <c r="M28" s="12" t="str">
        <f t="shared" si="2"/>
        <v>CONSULTA PRIMERA VEZ DERMATOLOGIA</v>
      </c>
      <c r="N28" s="13" t="s">
        <v>45</v>
      </c>
      <c r="O28" s="7">
        <v>61500</v>
      </c>
      <c r="P28" s="15">
        <v>92636536</v>
      </c>
      <c r="Q28" s="15">
        <v>5021</v>
      </c>
      <c r="R28" s="16" t="s">
        <v>112</v>
      </c>
      <c r="S28" s="17">
        <v>149</v>
      </c>
      <c r="T28" s="7">
        <v>23000</v>
      </c>
      <c r="U28" s="27"/>
    </row>
    <row r="29" spans="1:21" x14ac:dyDescent="0.25">
      <c r="A29" s="11">
        <v>45488</v>
      </c>
      <c r="B29" s="12" t="s">
        <v>14</v>
      </c>
      <c r="C29" s="12">
        <v>49607548</v>
      </c>
      <c r="D29" s="12" t="s">
        <v>200</v>
      </c>
      <c r="E29" s="12" t="s">
        <v>201</v>
      </c>
      <c r="F29" s="12" t="s">
        <v>198</v>
      </c>
      <c r="G29" s="12" t="s">
        <v>199</v>
      </c>
      <c r="H29" s="12" t="str">
        <f t="shared" si="1"/>
        <v>ARLETH GALEANA DUARTES DELGADO</v>
      </c>
      <c r="I29" s="12" t="s">
        <v>55</v>
      </c>
      <c r="J29" s="13" t="s">
        <v>94</v>
      </c>
      <c r="K29" s="14" t="s">
        <v>305</v>
      </c>
      <c r="L29" s="14">
        <v>890242</v>
      </c>
      <c r="M29" s="12" t="str">
        <f t="shared" si="2"/>
        <v>CONSULTA PRIMERA VEZ DERMATOLOGIA</v>
      </c>
      <c r="N29" s="13" t="s">
        <v>45</v>
      </c>
      <c r="O29" s="7">
        <v>61500</v>
      </c>
      <c r="P29" s="15">
        <v>92639256</v>
      </c>
      <c r="Q29" s="15">
        <v>5023</v>
      </c>
      <c r="R29" s="16" t="s">
        <v>113</v>
      </c>
      <c r="S29" s="17">
        <v>150</v>
      </c>
      <c r="T29" s="7">
        <v>23000</v>
      </c>
      <c r="U29" s="27"/>
    </row>
    <row r="30" spans="1:21" x14ac:dyDescent="0.25">
      <c r="A30" s="11">
        <v>45491</v>
      </c>
      <c r="B30" s="12" t="s">
        <v>14</v>
      </c>
      <c r="C30" s="12">
        <v>53049498</v>
      </c>
      <c r="D30" s="12" t="s">
        <v>206</v>
      </c>
      <c r="E30" s="12" t="s">
        <v>207</v>
      </c>
      <c r="F30" s="12" t="s">
        <v>204</v>
      </c>
      <c r="G30" s="12" t="s">
        <v>205</v>
      </c>
      <c r="H30" s="12" t="str">
        <f t="shared" si="1"/>
        <v>MARTHA JOHANA GUILLEN PEÑUELA</v>
      </c>
      <c r="I30" s="12" t="s">
        <v>55</v>
      </c>
      <c r="J30" s="13" t="s">
        <v>94</v>
      </c>
      <c r="K30" s="14" t="s">
        <v>310</v>
      </c>
      <c r="L30" s="14">
        <v>890242</v>
      </c>
      <c r="M30" s="12" t="str">
        <f t="shared" si="2"/>
        <v>CONSULTA PRIMERA VEZ DERMATOLOGIA</v>
      </c>
      <c r="N30" s="13" t="s">
        <v>45</v>
      </c>
      <c r="O30" s="7">
        <v>36800</v>
      </c>
      <c r="P30" s="15">
        <v>92636621</v>
      </c>
      <c r="Q30" s="15">
        <v>5024</v>
      </c>
      <c r="R30" s="16" t="s">
        <v>114</v>
      </c>
      <c r="S30" s="17">
        <v>151</v>
      </c>
      <c r="T30" s="7">
        <v>46200</v>
      </c>
      <c r="U30" s="27"/>
    </row>
    <row r="31" spans="1:21" x14ac:dyDescent="0.25">
      <c r="A31" s="11">
        <v>45496</v>
      </c>
      <c r="B31" s="12" t="s">
        <v>14</v>
      </c>
      <c r="C31" s="12">
        <v>1016061352</v>
      </c>
      <c r="D31" s="12" t="s">
        <v>210</v>
      </c>
      <c r="E31" s="12" t="s">
        <v>211</v>
      </c>
      <c r="F31" s="12" t="s">
        <v>42</v>
      </c>
      <c r="G31" s="12" t="s">
        <v>209</v>
      </c>
      <c r="H31" s="12" t="str">
        <f t="shared" si="1"/>
        <v>KAREN DEL PILAR PINZON</v>
      </c>
      <c r="I31" s="12" t="s">
        <v>55</v>
      </c>
      <c r="J31" s="13" t="s">
        <v>94</v>
      </c>
      <c r="K31" s="14" t="s">
        <v>15</v>
      </c>
      <c r="L31" s="14">
        <v>890242</v>
      </c>
      <c r="M31" s="12" t="str">
        <f t="shared" si="2"/>
        <v>CONSULTA PRIMERA VEZ DERMATOLOGIA</v>
      </c>
      <c r="N31" s="13" t="s">
        <v>45</v>
      </c>
      <c r="O31" s="7">
        <v>61500</v>
      </c>
      <c r="P31" s="15">
        <v>92639309</v>
      </c>
      <c r="Q31" s="15">
        <v>5027</v>
      </c>
      <c r="R31" s="16" t="s">
        <v>115</v>
      </c>
      <c r="S31" s="17">
        <v>152</v>
      </c>
      <c r="T31" s="7">
        <v>23000</v>
      </c>
      <c r="U31" s="27"/>
    </row>
    <row r="32" spans="1:21" x14ac:dyDescent="0.25">
      <c r="A32" s="11">
        <v>45496</v>
      </c>
      <c r="B32" s="12" t="s">
        <v>16</v>
      </c>
      <c r="C32" s="12">
        <v>1019997455</v>
      </c>
      <c r="D32" s="12" t="s">
        <v>212</v>
      </c>
      <c r="E32" s="12" t="s">
        <v>213</v>
      </c>
      <c r="F32" s="12" t="s">
        <v>72</v>
      </c>
      <c r="G32" s="12" t="s">
        <v>82</v>
      </c>
      <c r="H32" s="12" t="str">
        <f t="shared" si="1"/>
        <v>ANDRES DAVID PINILLA ORTIZ</v>
      </c>
      <c r="I32" s="12" t="s">
        <v>55</v>
      </c>
      <c r="J32" s="13" t="s">
        <v>94</v>
      </c>
      <c r="K32" s="14" t="s">
        <v>311</v>
      </c>
      <c r="L32" s="14">
        <v>890242</v>
      </c>
      <c r="M32" s="12" t="str">
        <f t="shared" si="2"/>
        <v>CONSULTA PRIMERA VEZ DERMATOLOGIA</v>
      </c>
      <c r="N32" s="13" t="s">
        <v>45</v>
      </c>
      <c r="O32" s="7">
        <v>61500</v>
      </c>
      <c r="P32" s="15">
        <v>92636742</v>
      </c>
      <c r="Q32" s="15">
        <v>5071</v>
      </c>
      <c r="R32" s="16" t="s">
        <v>116</v>
      </c>
      <c r="S32" s="17">
        <v>153</v>
      </c>
      <c r="T32" s="7">
        <v>23000</v>
      </c>
      <c r="U32" s="27"/>
    </row>
    <row r="33" spans="1:21" x14ac:dyDescent="0.25">
      <c r="A33" s="11">
        <v>45497</v>
      </c>
      <c r="B33" s="12" t="s">
        <v>14</v>
      </c>
      <c r="C33" s="12">
        <v>1010961130</v>
      </c>
      <c r="D33" s="12" t="s">
        <v>19</v>
      </c>
      <c r="E33" s="12" t="s">
        <v>214</v>
      </c>
      <c r="F33" s="12" t="s">
        <v>18</v>
      </c>
      <c r="G33" s="12" t="s">
        <v>37</v>
      </c>
      <c r="H33" s="12" t="str">
        <f t="shared" si="1"/>
        <v>MARIA ALEJANDRA HERNANDEZ VALDERRAMA</v>
      </c>
      <c r="I33" s="12" t="s">
        <v>55</v>
      </c>
      <c r="J33" s="13" t="s">
        <v>94</v>
      </c>
      <c r="K33" s="14" t="s">
        <v>312</v>
      </c>
      <c r="L33" s="14">
        <v>890242</v>
      </c>
      <c r="M33" s="12" t="str">
        <f t="shared" si="2"/>
        <v>CONSULTA PRIMERA VEZ DERMATOLOGIA</v>
      </c>
      <c r="N33" s="13" t="s">
        <v>45</v>
      </c>
      <c r="O33" s="7">
        <v>61500</v>
      </c>
      <c r="P33" s="15">
        <v>92639360</v>
      </c>
      <c r="Q33" s="15">
        <v>5072</v>
      </c>
      <c r="R33" s="16" t="s">
        <v>117</v>
      </c>
      <c r="S33" s="17">
        <v>154</v>
      </c>
      <c r="T33" s="7">
        <v>23000</v>
      </c>
      <c r="U33" s="27"/>
    </row>
    <row r="34" spans="1:21" x14ac:dyDescent="0.25">
      <c r="A34" s="11">
        <v>45479</v>
      </c>
      <c r="B34" s="12" t="s">
        <v>16</v>
      </c>
      <c r="C34" s="12">
        <v>1025325994</v>
      </c>
      <c r="D34" s="12" t="s">
        <v>216</v>
      </c>
      <c r="E34" s="12" t="s">
        <v>217</v>
      </c>
      <c r="F34" s="12" t="s">
        <v>215</v>
      </c>
      <c r="G34" s="12"/>
      <c r="H34" s="12" t="str">
        <f t="shared" si="1"/>
        <v>SALOME  MONTOYA BOLIVAR</v>
      </c>
      <c r="I34" s="12" t="s">
        <v>55</v>
      </c>
      <c r="J34" s="13" t="s">
        <v>94</v>
      </c>
      <c r="K34" s="14" t="s">
        <v>25</v>
      </c>
      <c r="L34" s="14">
        <v>890242</v>
      </c>
      <c r="M34" s="12" t="str">
        <f t="shared" si="2"/>
        <v>CONSULTA PRIMERA VEZ DERMATOLOGIA</v>
      </c>
      <c r="N34" s="13" t="s">
        <v>45</v>
      </c>
      <c r="O34" s="7">
        <v>61500</v>
      </c>
      <c r="P34" s="15">
        <v>92640138</v>
      </c>
      <c r="Q34" s="15">
        <v>5029</v>
      </c>
      <c r="R34" s="16" t="s">
        <v>118</v>
      </c>
      <c r="S34" s="17">
        <v>155</v>
      </c>
      <c r="T34" s="7">
        <v>23000</v>
      </c>
      <c r="U34" s="27"/>
    </row>
    <row r="35" spans="1:21" x14ac:dyDescent="0.25">
      <c r="A35" s="11">
        <v>45479</v>
      </c>
      <c r="B35" s="12" t="s">
        <v>16</v>
      </c>
      <c r="C35" s="12">
        <v>1025325993</v>
      </c>
      <c r="D35" s="12" t="s">
        <v>216</v>
      </c>
      <c r="E35" s="12" t="s">
        <v>217</v>
      </c>
      <c r="F35" s="12" t="s">
        <v>195</v>
      </c>
      <c r="G35" s="12"/>
      <c r="H35" s="12" t="str">
        <f t="shared" si="1"/>
        <v>LUCIANA  MONTOYA BOLIVAR</v>
      </c>
      <c r="I35" s="12" t="s">
        <v>55</v>
      </c>
      <c r="J35" s="13" t="s">
        <v>94</v>
      </c>
      <c r="K35" s="14" t="s">
        <v>313</v>
      </c>
      <c r="L35" s="14">
        <v>890242</v>
      </c>
      <c r="M35" s="12" t="str">
        <f t="shared" si="2"/>
        <v>CONSULTA PRIMERA VEZ DERMATOLOGIA</v>
      </c>
      <c r="N35" s="13" t="s">
        <v>45</v>
      </c>
      <c r="O35" s="7">
        <v>61500</v>
      </c>
      <c r="P35" s="15">
        <v>92638227</v>
      </c>
      <c r="Q35" s="15">
        <v>5030</v>
      </c>
      <c r="R35" s="16" t="s">
        <v>119</v>
      </c>
      <c r="S35" s="17">
        <v>156</v>
      </c>
      <c r="T35" s="7">
        <v>23000</v>
      </c>
      <c r="U35" s="27"/>
    </row>
    <row r="36" spans="1:21" x14ac:dyDescent="0.25">
      <c r="A36" s="11">
        <v>45479</v>
      </c>
      <c r="B36" s="12" t="s">
        <v>14</v>
      </c>
      <c r="C36" s="12">
        <v>52330839</v>
      </c>
      <c r="D36" s="12" t="s">
        <v>219</v>
      </c>
      <c r="E36" s="12" t="s">
        <v>301</v>
      </c>
      <c r="F36" s="12" t="s">
        <v>218</v>
      </c>
      <c r="G36" s="12" t="s">
        <v>79</v>
      </c>
      <c r="H36" s="12" t="str">
        <f t="shared" si="1"/>
        <v>LUCY MILENA CARREÑO FLAUTERO</v>
      </c>
      <c r="I36" s="12" t="s">
        <v>55</v>
      </c>
      <c r="J36" s="13" t="s">
        <v>94</v>
      </c>
      <c r="K36" s="14" t="s">
        <v>24</v>
      </c>
      <c r="L36" s="14">
        <v>890342</v>
      </c>
      <c r="M36" s="12" t="str">
        <f t="shared" si="2"/>
        <v>CONSULTA CONTROL DERMATOLOGIA</v>
      </c>
      <c r="N36" s="13" t="s">
        <v>45</v>
      </c>
      <c r="O36" s="7">
        <v>13100</v>
      </c>
      <c r="P36" s="15">
        <v>92640569</v>
      </c>
      <c r="Q36" s="15">
        <v>5032</v>
      </c>
      <c r="R36" s="16" t="s">
        <v>120</v>
      </c>
      <c r="S36" s="17">
        <v>157</v>
      </c>
      <c r="T36" s="7">
        <v>23000</v>
      </c>
      <c r="U36" s="27"/>
    </row>
    <row r="37" spans="1:21" x14ac:dyDescent="0.25">
      <c r="A37" s="11">
        <v>45479</v>
      </c>
      <c r="B37" s="12" t="s">
        <v>14</v>
      </c>
      <c r="C37" s="12">
        <v>43867673</v>
      </c>
      <c r="D37" s="12" t="s">
        <v>35</v>
      </c>
      <c r="E37" s="12" t="s">
        <v>222</v>
      </c>
      <c r="F37" s="12" t="s">
        <v>220</v>
      </c>
      <c r="G37" s="12" t="s">
        <v>221</v>
      </c>
      <c r="H37" s="12" t="str">
        <f t="shared" si="1"/>
        <v>ADRIANA PATRICIA LOPEZ CUERVO</v>
      </c>
      <c r="I37" s="12" t="s">
        <v>55</v>
      </c>
      <c r="J37" s="13" t="s">
        <v>94</v>
      </c>
      <c r="K37" s="14" t="s">
        <v>314</v>
      </c>
      <c r="L37" s="14">
        <v>890242</v>
      </c>
      <c r="M37" s="12" t="str">
        <f t="shared" si="2"/>
        <v>CONSULTA PRIMERA VEZ DERMATOLOGIA</v>
      </c>
      <c r="N37" s="13" t="s">
        <v>45</v>
      </c>
      <c r="O37" s="7">
        <v>61500</v>
      </c>
      <c r="P37" s="15">
        <v>92640626</v>
      </c>
      <c r="Q37" s="15">
        <v>5033</v>
      </c>
      <c r="R37" s="16" t="s">
        <v>121</v>
      </c>
      <c r="S37" s="17">
        <v>158</v>
      </c>
      <c r="T37" s="7">
        <v>23000</v>
      </c>
      <c r="U37" s="27"/>
    </row>
    <row r="38" spans="1:21" x14ac:dyDescent="0.25">
      <c r="A38" s="11">
        <v>45481</v>
      </c>
      <c r="B38" s="12" t="s">
        <v>16</v>
      </c>
      <c r="C38" s="12">
        <v>1031814364</v>
      </c>
      <c r="D38" s="12" t="s">
        <v>225</v>
      </c>
      <c r="E38" s="12" t="s">
        <v>226</v>
      </c>
      <c r="F38" s="12" t="s">
        <v>223</v>
      </c>
      <c r="G38" s="12" t="s">
        <v>224</v>
      </c>
      <c r="H38" s="12" t="str">
        <f t="shared" si="1"/>
        <v>THOMAS DANIEL JIMENEZ SOTO</v>
      </c>
      <c r="I38" s="12" t="s">
        <v>55</v>
      </c>
      <c r="J38" s="13" t="s">
        <v>94</v>
      </c>
      <c r="K38" s="14" t="s">
        <v>23</v>
      </c>
      <c r="L38" s="14">
        <v>890342</v>
      </c>
      <c r="M38" s="12" t="str">
        <f t="shared" si="2"/>
        <v>CONSULTA CONTROL DERMATOLOGIA</v>
      </c>
      <c r="N38" s="13" t="s">
        <v>45</v>
      </c>
      <c r="O38" s="7">
        <v>13100</v>
      </c>
      <c r="P38" s="15">
        <v>92638379</v>
      </c>
      <c r="Q38" s="15">
        <v>5035</v>
      </c>
      <c r="R38" s="16" t="s">
        <v>122</v>
      </c>
      <c r="S38" s="17">
        <v>159</v>
      </c>
      <c r="T38" s="7">
        <v>23000</v>
      </c>
      <c r="U38" s="27"/>
    </row>
    <row r="39" spans="1:21" x14ac:dyDescent="0.25">
      <c r="A39" s="19">
        <v>45482</v>
      </c>
      <c r="B39" s="20" t="s">
        <v>302</v>
      </c>
      <c r="C39" s="20">
        <v>722566</v>
      </c>
      <c r="D39" s="20" t="s">
        <v>228</v>
      </c>
      <c r="E39" s="20" t="s">
        <v>29</v>
      </c>
      <c r="F39" s="20" t="s">
        <v>227</v>
      </c>
      <c r="G39" s="20"/>
      <c r="H39" s="20" t="str">
        <f t="shared" si="1"/>
        <v>LUISELLA  SANTANA DIAZ</v>
      </c>
      <c r="I39" s="20" t="s">
        <v>55</v>
      </c>
      <c r="J39" s="21" t="s">
        <v>94</v>
      </c>
      <c r="K39" s="22" t="s">
        <v>315</v>
      </c>
      <c r="L39" s="22">
        <v>890242</v>
      </c>
      <c r="M39" s="20" t="str">
        <f t="shared" si="2"/>
        <v>CONSULTA PRIMERA VEZ DERMATOLOGIA</v>
      </c>
      <c r="N39" s="21" t="s">
        <v>45</v>
      </c>
      <c r="O39" s="23">
        <v>58100</v>
      </c>
      <c r="P39" s="24">
        <v>92640664</v>
      </c>
      <c r="Q39" s="24">
        <v>5215</v>
      </c>
      <c r="R39" t="s">
        <v>123</v>
      </c>
      <c r="S39">
        <v>160</v>
      </c>
      <c r="T39" s="29">
        <v>44900</v>
      </c>
      <c r="U39" s="28"/>
    </row>
    <row r="40" spans="1:21" x14ac:dyDescent="0.25">
      <c r="A40" s="11">
        <v>45483</v>
      </c>
      <c r="B40" s="12" t="s">
        <v>14</v>
      </c>
      <c r="C40" s="12">
        <v>1010162490</v>
      </c>
      <c r="D40" s="12" t="s">
        <v>74</v>
      </c>
      <c r="E40" s="12" t="s">
        <v>80</v>
      </c>
      <c r="F40" s="12" t="s">
        <v>208</v>
      </c>
      <c r="G40" s="12" t="s">
        <v>229</v>
      </c>
      <c r="H40" s="12" t="str">
        <f t="shared" si="1"/>
        <v>JOHN WILLIAM GOMEZ CASTILLO</v>
      </c>
      <c r="I40" s="12" t="s">
        <v>55</v>
      </c>
      <c r="J40" s="13" t="s">
        <v>94</v>
      </c>
      <c r="K40" s="14" t="s">
        <v>312</v>
      </c>
      <c r="L40" s="14">
        <v>890242</v>
      </c>
      <c r="M40" s="12" t="str">
        <f t="shared" si="2"/>
        <v>CONSULTA PRIMERA VEZ DERMATOLOGIA</v>
      </c>
      <c r="N40" s="13" t="s">
        <v>45</v>
      </c>
      <c r="O40" s="7">
        <v>57300</v>
      </c>
      <c r="P40" s="15">
        <v>92638453</v>
      </c>
      <c r="Q40" s="15">
        <v>5037</v>
      </c>
      <c r="R40" s="16" t="s">
        <v>124</v>
      </c>
      <c r="S40" s="17">
        <v>161</v>
      </c>
      <c r="T40" s="7">
        <v>45700</v>
      </c>
      <c r="U40" s="27"/>
    </row>
    <row r="41" spans="1:21" x14ac:dyDescent="0.25">
      <c r="A41" s="11">
        <v>45484</v>
      </c>
      <c r="B41" s="12" t="s">
        <v>16</v>
      </c>
      <c r="C41" s="12">
        <v>1011098620</v>
      </c>
      <c r="D41" s="12" t="s">
        <v>232</v>
      </c>
      <c r="E41" s="12" t="s">
        <v>233</v>
      </c>
      <c r="F41" s="12" t="s">
        <v>231</v>
      </c>
      <c r="G41" s="12" t="s">
        <v>188</v>
      </c>
      <c r="H41" s="12" t="str">
        <f t="shared" si="1"/>
        <v>LUIS ESTEBAN BARRERA CORTES</v>
      </c>
      <c r="I41" s="12" t="s">
        <v>55</v>
      </c>
      <c r="J41" s="13" t="s">
        <v>94</v>
      </c>
      <c r="K41" s="14" t="s">
        <v>22</v>
      </c>
      <c r="L41" s="14">
        <v>890242</v>
      </c>
      <c r="M41" s="12" t="str">
        <f t="shared" si="2"/>
        <v>CONSULTA PRIMERA VEZ DERMATOLOGIA</v>
      </c>
      <c r="N41" s="13" t="s">
        <v>45</v>
      </c>
      <c r="O41" s="7">
        <v>61500</v>
      </c>
      <c r="P41" s="15">
        <v>90083981</v>
      </c>
      <c r="Q41" s="15">
        <v>5038</v>
      </c>
      <c r="R41" s="16" t="s">
        <v>125</v>
      </c>
      <c r="S41" s="17">
        <v>162</v>
      </c>
      <c r="T41" s="7">
        <v>23000</v>
      </c>
      <c r="U41" s="27"/>
    </row>
    <row r="42" spans="1:21" x14ac:dyDescent="0.25">
      <c r="A42" s="11">
        <v>45486</v>
      </c>
      <c r="B42" s="12" t="s">
        <v>14</v>
      </c>
      <c r="C42" s="12">
        <v>52479565</v>
      </c>
      <c r="D42" s="12" t="s">
        <v>17</v>
      </c>
      <c r="E42" s="12" t="s">
        <v>236</v>
      </c>
      <c r="F42" s="12" t="s">
        <v>234</v>
      </c>
      <c r="G42" s="12" t="s">
        <v>235</v>
      </c>
      <c r="H42" s="12" t="str">
        <f t="shared" si="1"/>
        <v>GLORIA ESPERANZA GAITAN ARISMENDI</v>
      </c>
      <c r="I42" s="12" t="s">
        <v>55</v>
      </c>
      <c r="J42" s="13" t="s">
        <v>94</v>
      </c>
      <c r="K42" s="14" t="s">
        <v>305</v>
      </c>
      <c r="L42" s="14">
        <v>890242</v>
      </c>
      <c r="M42" s="12" t="str">
        <f t="shared" si="2"/>
        <v>CONSULTA PRIMERA VEZ DERMATOLOGIA</v>
      </c>
      <c r="N42" s="13" t="s">
        <v>45</v>
      </c>
      <c r="O42" s="7">
        <v>61500</v>
      </c>
      <c r="P42" s="15">
        <v>92640903</v>
      </c>
      <c r="Q42" s="15">
        <v>5039</v>
      </c>
      <c r="R42" s="16" t="s">
        <v>126</v>
      </c>
      <c r="S42" s="17">
        <v>163</v>
      </c>
      <c r="T42" s="7">
        <v>23000</v>
      </c>
      <c r="U42" s="27"/>
    </row>
    <row r="43" spans="1:21" x14ac:dyDescent="0.25">
      <c r="A43" s="11">
        <v>45514</v>
      </c>
      <c r="B43" s="12" t="s">
        <v>14</v>
      </c>
      <c r="C43" s="12">
        <v>79536238</v>
      </c>
      <c r="D43" s="12" t="s">
        <v>238</v>
      </c>
      <c r="E43" s="12" t="s">
        <v>239</v>
      </c>
      <c r="F43" s="12" t="s">
        <v>237</v>
      </c>
      <c r="G43" s="12" t="s">
        <v>231</v>
      </c>
      <c r="H43" s="12" t="str">
        <f t="shared" si="1"/>
        <v>WILMER LUIS CHAVES FRANCO</v>
      </c>
      <c r="I43" s="12" t="s">
        <v>55</v>
      </c>
      <c r="J43" s="13" t="s">
        <v>94</v>
      </c>
      <c r="K43" s="14" t="s">
        <v>308</v>
      </c>
      <c r="L43" s="14">
        <v>890242</v>
      </c>
      <c r="M43" s="12" t="str">
        <f t="shared" si="2"/>
        <v>CONSULTA PRIMERA VEZ DERMATOLOGIA</v>
      </c>
      <c r="N43" s="13" t="s">
        <v>45</v>
      </c>
      <c r="O43" s="7">
        <v>61500</v>
      </c>
      <c r="P43" s="15">
        <v>91074653</v>
      </c>
      <c r="Q43" s="15">
        <v>5040</v>
      </c>
      <c r="R43" s="16" t="s">
        <v>127</v>
      </c>
      <c r="S43" s="17">
        <v>164</v>
      </c>
      <c r="T43" s="7">
        <v>23000</v>
      </c>
      <c r="U43" s="27"/>
    </row>
    <row r="44" spans="1:21" x14ac:dyDescent="0.25">
      <c r="A44" s="11">
        <v>45524</v>
      </c>
      <c r="B44" s="12" t="s">
        <v>14</v>
      </c>
      <c r="C44" s="12">
        <v>88279672</v>
      </c>
      <c r="D44" s="12" t="s">
        <v>242</v>
      </c>
      <c r="E44" s="12" t="s">
        <v>243</v>
      </c>
      <c r="F44" s="12" t="s">
        <v>240</v>
      </c>
      <c r="G44" s="12" t="s">
        <v>241</v>
      </c>
      <c r="H44" s="12" t="str">
        <f t="shared" si="1"/>
        <v>RAINIER ALBERTO GRIMALDI NAVARRO</v>
      </c>
      <c r="I44" s="12" t="s">
        <v>55</v>
      </c>
      <c r="J44" s="13" t="s">
        <v>94</v>
      </c>
      <c r="K44" s="14" t="s">
        <v>316</v>
      </c>
      <c r="L44" s="14">
        <v>890242</v>
      </c>
      <c r="M44" s="12" t="str">
        <f t="shared" si="2"/>
        <v>CONSULTA PRIMERA VEZ DERMATOLOGIA</v>
      </c>
      <c r="N44" s="13" t="s">
        <v>45</v>
      </c>
      <c r="O44" s="7">
        <v>61500</v>
      </c>
      <c r="P44" s="15">
        <v>92641119</v>
      </c>
      <c r="Q44" s="15">
        <v>5041</v>
      </c>
      <c r="R44" s="16" t="s">
        <v>128</v>
      </c>
      <c r="S44" s="17">
        <v>165</v>
      </c>
      <c r="T44" s="7">
        <v>23000</v>
      </c>
      <c r="U44" s="27"/>
    </row>
    <row r="45" spans="1:21" x14ac:dyDescent="0.25">
      <c r="A45" s="11">
        <v>45527</v>
      </c>
      <c r="B45" s="12" t="s">
        <v>16</v>
      </c>
      <c r="C45" s="12">
        <v>1023906577</v>
      </c>
      <c r="D45" s="12" t="s">
        <v>245</v>
      </c>
      <c r="E45" s="12" t="s">
        <v>159</v>
      </c>
      <c r="F45" s="12" t="s">
        <v>244</v>
      </c>
      <c r="G45" s="12" t="s">
        <v>73</v>
      </c>
      <c r="H45" s="12" t="str">
        <f t="shared" si="1"/>
        <v>JHONATAN FELIPE RENTERIA RODRIGUEZ</v>
      </c>
      <c r="I45" s="12" t="s">
        <v>55</v>
      </c>
      <c r="J45" s="13" t="s">
        <v>94</v>
      </c>
      <c r="K45" s="14" t="s">
        <v>32</v>
      </c>
      <c r="L45" s="14">
        <v>890242</v>
      </c>
      <c r="M45" s="12" t="str">
        <f t="shared" si="2"/>
        <v>CONSULTA PRIMERA VEZ DERMATOLOGIA</v>
      </c>
      <c r="N45" s="13" t="s">
        <v>45</v>
      </c>
      <c r="O45" s="7">
        <v>61500</v>
      </c>
      <c r="P45" s="15">
        <v>92641174</v>
      </c>
      <c r="Q45" s="15">
        <v>5042</v>
      </c>
      <c r="R45" s="16" t="s">
        <v>129</v>
      </c>
      <c r="S45" s="17">
        <v>166</v>
      </c>
      <c r="T45" s="7">
        <v>23000</v>
      </c>
      <c r="U45" s="27"/>
    </row>
    <row r="46" spans="1:21" x14ac:dyDescent="0.25">
      <c r="A46" s="11">
        <v>45567</v>
      </c>
      <c r="B46" s="12" t="s">
        <v>14</v>
      </c>
      <c r="C46" s="12">
        <v>1053828323</v>
      </c>
      <c r="D46" s="12" t="s">
        <v>247</v>
      </c>
      <c r="E46" s="12" t="s">
        <v>178</v>
      </c>
      <c r="F46" s="12" t="s">
        <v>246</v>
      </c>
      <c r="G46" s="12" t="s">
        <v>161</v>
      </c>
      <c r="H46" s="12" t="str">
        <f t="shared" si="1"/>
        <v>CESAR MAURICIO SERNA YEPES</v>
      </c>
      <c r="I46" s="12" t="s">
        <v>55</v>
      </c>
      <c r="J46" s="13" t="s">
        <v>94</v>
      </c>
      <c r="K46" s="14" t="s">
        <v>305</v>
      </c>
      <c r="L46" s="14">
        <v>890242</v>
      </c>
      <c r="M46" s="12" t="str">
        <f t="shared" si="2"/>
        <v>CONSULTA PRIMERA VEZ DERMATOLOGIA</v>
      </c>
      <c r="N46" s="13" t="s">
        <v>45</v>
      </c>
      <c r="O46" s="7">
        <v>61500</v>
      </c>
      <c r="P46" s="15">
        <v>90927926</v>
      </c>
      <c r="Q46" s="15">
        <v>5043</v>
      </c>
      <c r="R46" s="16" t="s">
        <v>130</v>
      </c>
      <c r="S46" s="17">
        <v>167</v>
      </c>
      <c r="T46" s="7">
        <v>23000</v>
      </c>
      <c r="U46" s="27"/>
    </row>
    <row r="47" spans="1:21" x14ac:dyDescent="0.25">
      <c r="A47" s="11">
        <v>45567</v>
      </c>
      <c r="B47" s="12" t="s">
        <v>14</v>
      </c>
      <c r="C47" s="12">
        <v>1013597335</v>
      </c>
      <c r="D47" s="12" t="s">
        <v>41</v>
      </c>
      <c r="E47" s="12" t="s">
        <v>34</v>
      </c>
      <c r="F47" s="12" t="s">
        <v>208</v>
      </c>
      <c r="G47" s="12" t="s">
        <v>44</v>
      </c>
      <c r="H47" s="12" t="str">
        <f t="shared" si="1"/>
        <v>JOHN ALEXANDER TORRES RAMOS</v>
      </c>
      <c r="I47" s="12" t="s">
        <v>55</v>
      </c>
      <c r="J47" s="13" t="s">
        <v>94</v>
      </c>
      <c r="K47" s="14" t="s">
        <v>306</v>
      </c>
      <c r="L47" s="14">
        <v>890242</v>
      </c>
      <c r="M47" s="12" t="str">
        <f t="shared" si="2"/>
        <v>CONSULTA PRIMERA VEZ DERMATOLOGIA</v>
      </c>
      <c r="N47" s="13" t="s">
        <v>45</v>
      </c>
      <c r="O47" s="7">
        <v>61500</v>
      </c>
      <c r="P47" s="15">
        <v>90921431</v>
      </c>
      <c r="Q47" s="15">
        <v>5073</v>
      </c>
      <c r="R47" s="16" t="s">
        <v>131</v>
      </c>
      <c r="S47" s="17">
        <v>168</v>
      </c>
      <c r="T47" s="7">
        <v>23000</v>
      </c>
      <c r="U47" s="27"/>
    </row>
    <row r="48" spans="1:21" x14ac:dyDescent="0.25">
      <c r="A48" s="11">
        <v>45567</v>
      </c>
      <c r="B48" s="12" t="s">
        <v>14</v>
      </c>
      <c r="C48" s="12">
        <v>51843998</v>
      </c>
      <c r="D48" s="12" t="s">
        <v>225</v>
      </c>
      <c r="E48" s="12" t="s">
        <v>250</v>
      </c>
      <c r="F48" s="12" t="s">
        <v>248</v>
      </c>
      <c r="G48" s="12" t="s">
        <v>249</v>
      </c>
      <c r="H48" s="12" t="str">
        <f t="shared" si="1"/>
        <v>CECILIA ISABEL JIMENEZ TRESPALACIOS</v>
      </c>
      <c r="I48" s="12" t="s">
        <v>55</v>
      </c>
      <c r="J48" s="13" t="s">
        <v>94</v>
      </c>
      <c r="K48" s="14" t="s">
        <v>307</v>
      </c>
      <c r="L48" s="14">
        <v>890242</v>
      </c>
      <c r="M48" s="12" t="str">
        <f t="shared" si="2"/>
        <v>CONSULTA PRIMERA VEZ DERMATOLOGIA</v>
      </c>
      <c r="N48" s="13" t="s">
        <v>45</v>
      </c>
      <c r="O48" s="7">
        <v>61500</v>
      </c>
      <c r="P48" s="15">
        <v>90917750</v>
      </c>
      <c r="Q48" s="15">
        <v>5045</v>
      </c>
      <c r="R48" s="16" t="s">
        <v>132</v>
      </c>
      <c r="S48" s="17">
        <v>168</v>
      </c>
      <c r="T48" s="7">
        <v>23000</v>
      </c>
      <c r="U48" s="27"/>
    </row>
    <row r="49" spans="1:21" x14ac:dyDescent="0.25">
      <c r="A49" s="11">
        <v>45567</v>
      </c>
      <c r="B49" s="12" t="s">
        <v>14</v>
      </c>
      <c r="C49" s="12">
        <v>1080290052</v>
      </c>
      <c r="D49" s="12" t="s">
        <v>253</v>
      </c>
      <c r="E49" s="12" t="s">
        <v>254</v>
      </c>
      <c r="F49" s="12" t="s">
        <v>251</v>
      </c>
      <c r="G49" s="12" t="s">
        <v>252</v>
      </c>
      <c r="H49" s="12" t="str">
        <f t="shared" si="1"/>
        <v>POLONIA TOVAR EDNA MARGARITA</v>
      </c>
      <c r="I49" s="12" t="s">
        <v>55</v>
      </c>
      <c r="J49" s="13" t="s">
        <v>94</v>
      </c>
      <c r="K49" s="14" t="s">
        <v>308</v>
      </c>
      <c r="L49" s="14">
        <v>890242</v>
      </c>
      <c r="M49" s="12" t="str">
        <f t="shared" ref="M49:M72" si="3">+IF(L49=890242,"CONSULTA PRIMERA VEZ DERMATOLOGIA","CONSULTA CONTROL DERMATOLOGIA")</f>
        <v>CONSULTA PRIMERA VEZ DERMATOLOGIA</v>
      </c>
      <c r="N49" s="13" t="s">
        <v>45</v>
      </c>
      <c r="O49" s="7">
        <v>61500</v>
      </c>
      <c r="P49" s="15">
        <v>90917835</v>
      </c>
      <c r="Q49" s="15">
        <v>5046</v>
      </c>
      <c r="R49" s="16" t="s">
        <v>133</v>
      </c>
      <c r="S49" s="17">
        <v>170</v>
      </c>
      <c r="T49" s="7">
        <v>23000</v>
      </c>
      <c r="U49" s="27"/>
    </row>
    <row r="50" spans="1:21" x14ac:dyDescent="0.25">
      <c r="A50" s="11">
        <v>45567</v>
      </c>
      <c r="B50" s="12" t="s">
        <v>14</v>
      </c>
      <c r="C50" s="12">
        <v>35466201</v>
      </c>
      <c r="D50" s="12" t="s">
        <v>256</v>
      </c>
      <c r="E50" s="12" t="s">
        <v>257</v>
      </c>
      <c r="F50" s="12" t="s">
        <v>255</v>
      </c>
      <c r="G50" s="12" t="s">
        <v>220</v>
      </c>
      <c r="H50" s="12" t="str">
        <f t="shared" si="1"/>
        <v>ISABELLA ADRIANA FERNANDEZ SANTA</v>
      </c>
      <c r="I50" s="12" t="s">
        <v>55</v>
      </c>
      <c r="J50" s="13" t="s">
        <v>94</v>
      </c>
      <c r="K50" s="14" t="s">
        <v>309</v>
      </c>
      <c r="L50" s="14">
        <v>890242</v>
      </c>
      <c r="M50" s="12" t="str">
        <f t="shared" si="3"/>
        <v>CONSULTA PRIMERA VEZ DERMATOLOGIA</v>
      </c>
      <c r="N50" s="13" t="s">
        <v>45</v>
      </c>
      <c r="O50" s="7">
        <v>61500</v>
      </c>
      <c r="P50" s="15">
        <v>90921842</v>
      </c>
      <c r="Q50" s="15">
        <v>5047</v>
      </c>
      <c r="R50" s="16" t="s">
        <v>134</v>
      </c>
      <c r="S50" s="17">
        <v>171</v>
      </c>
      <c r="T50" s="7">
        <v>23000</v>
      </c>
      <c r="U50" s="27"/>
    </row>
    <row r="51" spans="1:21" x14ac:dyDescent="0.25">
      <c r="A51" s="11">
        <v>45567</v>
      </c>
      <c r="B51" s="12" t="s">
        <v>14</v>
      </c>
      <c r="C51" s="12">
        <v>1026277840</v>
      </c>
      <c r="D51" s="12" t="s">
        <v>259</v>
      </c>
      <c r="E51" s="12" t="s">
        <v>260</v>
      </c>
      <c r="F51" s="12" t="s">
        <v>258</v>
      </c>
      <c r="G51" s="12" t="s">
        <v>163</v>
      </c>
      <c r="H51" s="12" t="str">
        <f t="shared" si="1"/>
        <v>CINDY NATALIA CALDERON PATIÑO</v>
      </c>
      <c r="I51" s="12" t="s">
        <v>55</v>
      </c>
      <c r="J51" s="13" t="s">
        <v>94</v>
      </c>
      <c r="K51" s="14" t="s">
        <v>305</v>
      </c>
      <c r="L51" s="14">
        <v>890242</v>
      </c>
      <c r="M51" s="12" t="str">
        <f t="shared" si="3"/>
        <v>CONSULTA PRIMERA VEZ DERMATOLOGIA</v>
      </c>
      <c r="N51" s="13" t="s">
        <v>45</v>
      </c>
      <c r="O51" s="7">
        <v>61500</v>
      </c>
      <c r="P51" s="15">
        <v>90921196</v>
      </c>
      <c r="Q51" s="15">
        <v>5048</v>
      </c>
      <c r="R51" s="16" t="s">
        <v>135</v>
      </c>
      <c r="S51" s="17">
        <v>172</v>
      </c>
      <c r="T51" s="7">
        <v>23000</v>
      </c>
      <c r="U51" s="27"/>
    </row>
    <row r="52" spans="1:21" x14ac:dyDescent="0.25">
      <c r="A52" s="11">
        <v>45567</v>
      </c>
      <c r="B52" s="12" t="s">
        <v>14</v>
      </c>
      <c r="C52" s="12">
        <v>1075677885</v>
      </c>
      <c r="D52" s="12" t="s">
        <v>261</v>
      </c>
      <c r="E52" s="12" t="s">
        <v>262</v>
      </c>
      <c r="F52" s="12" t="s">
        <v>18</v>
      </c>
      <c r="G52" s="12" t="s">
        <v>28</v>
      </c>
      <c r="H52" s="12" t="str">
        <f t="shared" si="1"/>
        <v>MARIA PAULA PRIETO SOLER</v>
      </c>
      <c r="I52" s="12" t="s">
        <v>55</v>
      </c>
      <c r="J52" s="13" t="s">
        <v>94</v>
      </c>
      <c r="K52" s="14" t="s">
        <v>310</v>
      </c>
      <c r="L52" s="14">
        <v>890242</v>
      </c>
      <c r="M52" s="12" t="str">
        <f t="shared" si="3"/>
        <v>CONSULTA PRIMERA VEZ DERMATOLOGIA</v>
      </c>
      <c r="N52" s="13" t="s">
        <v>45</v>
      </c>
      <c r="O52" s="7">
        <v>61500</v>
      </c>
      <c r="P52" s="15">
        <v>90917554</v>
      </c>
      <c r="Q52" s="15">
        <v>5049</v>
      </c>
      <c r="R52" s="16" t="s">
        <v>136</v>
      </c>
      <c r="S52" s="17">
        <v>173</v>
      </c>
      <c r="T52" s="7">
        <v>23000</v>
      </c>
      <c r="U52" s="27"/>
    </row>
    <row r="53" spans="1:21" x14ac:dyDescent="0.25">
      <c r="A53" s="11">
        <v>45569</v>
      </c>
      <c r="B53" s="12" t="s">
        <v>14</v>
      </c>
      <c r="C53" s="12">
        <v>1015417409</v>
      </c>
      <c r="D53" s="12" t="s">
        <v>263</v>
      </c>
      <c r="E53" s="12" t="s">
        <v>29</v>
      </c>
      <c r="F53" s="12" t="s">
        <v>52</v>
      </c>
      <c r="G53" s="12" t="s">
        <v>221</v>
      </c>
      <c r="H53" s="12" t="str">
        <f t="shared" si="1"/>
        <v>ANDREA PATRICIA CUESTAS DIAZ</v>
      </c>
      <c r="I53" s="12" t="s">
        <v>55</v>
      </c>
      <c r="J53" s="13" t="s">
        <v>94</v>
      </c>
      <c r="K53" s="14" t="s">
        <v>15</v>
      </c>
      <c r="L53" s="14">
        <v>890242</v>
      </c>
      <c r="M53" s="12" t="str">
        <f t="shared" si="3"/>
        <v>CONSULTA PRIMERA VEZ DERMATOLOGIA</v>
      </c>
      <c r="N53" s="13" t="s">
        <v>45</v>
      </c>
      <c r="O53" s="7">
        <v>61500</v>
      </c>
      <c r="P53" s="15">
        <v>90979855</v>
      </c>
      <c r="Q53" s="15">
        <v>5050</v>
      </c>
      <c r="R53" s="16" t="s">
        <v>137</v>
      </c>
      <c r="S53" s="17">
        <v>174</v>
      </c>
      <c r="T53" s="7">
        <v>23000</v>
      </c>
      <c r="U53" s="27"/>
    </row>
    <row r="54" spans="1:21" x14ac:dyDescent="0.25">
      <c r="A54" s="11">
        <v>45569</v>
      </c>
      <c r="B54" s="12" t="s">
        <v>14</v>
      </c>
      <c r="C54" s="12">
        <v>1014190786</v>
      </c>
      <c r="D54" s="12" t="s">
        <v>265</v>
      </c>
      <c r="E54" s="12"/>
      <c r="F54" s="12" t="s">
        <v>264</v>
      </c>
      <c r="G54" s="12" t="s">
        <v>17</v>
      </c>
      <c r="H54" s="12" t="str">
        <f t="shared" si="1"/>
        <v xml:space="preserve">STEFANNIE GAITAN VANEGAS </v>
      </c>
      <c r="I54" s="12" t="s">
        <v>55</v>
      </c>
      <c r="J54" s="13" t="s">
        <v>94</v>
      </c>
      <c r="K54" s="14" t="s">
        <v>311</v>
      </c>
      <c r="L54" s="14">
        <v>890242</v>
      </c>
      <c r="M54" s="12" t="str">
        <f t="shared" si="3"/>
        <v>CONSULTA PRIMERA VEZ DERMATOLOGIA</v>
      </c>
      <c r="N54" s="13" t="s">
        <v>45</v>
      </c>
      <c r="O54" s="7">
        <v>61500</v>
      </c>
      <c r="P54" s="15">
        <v>90979761</v>
      </c>
      <c r="Q54" s="15">
        <v>5074</v>
      </c>
      <c r="R54" s="16" t="s">
        <v>138</v>
      </c>
      <c r="S54" s="17">
        <v>175</v>
      </c>
      <c r="T54" s="7">
        <v>23000</v>
      </c>
      <c r="U54" s="27"/>
    </row>
    <row r="55" spans="1:21" x14ac:dyDescent="0.25">
      <c r="A55" s="11">
        <v>45569</v>
      </c>
      <c r="B55" s="12" t="s">
        <v>14</v>
      </c>
      <c r="C55" s="12">
        <v>1013668395</v>
      </c>
      <c r="D55" s="12" t="s">
        <v>266</v>
      </c>
      <c r="E55" s="12" t="s">
        <v>267</v>
      </c>
      <c r="F55" s="12" t="s">
        <v>18</v>
      </c>
      <c r="G55" s="12" t="s">
        <v>175</v>
      </c>
      <c r="H55" s="12" t="str">
        <f t="shared" si="1"/>
        <v>MARIA FERNANDA PAZ MORENO</v>
      </c>
      <c r="I55" s="12" t="s">
        <v>55</v>
      </c>
      <c r="J55" s="13" t="s">
        <v>94</v>
      </c>
      <c r="K55" s="14" t="s">
        <v>312</v>
      </c>
      <c r="L55" s="14">
        <v>890242</v>
      </c>
      <c r="M55" s="12" t="str">
        <f t="shared" si="3"/>
        <v>CONSULTA PRIMERA VEZ DERMATOLOGIA</v>
      </c>
      <c r="N55" s="13" t="s">
        <v>45</v>
      </c>
      <c r="O55" s="7">
        <v>61500</v>
      </c>
      <c r="P55" s="15">
        <v>90977483</v>
      </c>
      <c r="Q55" s="15">
        <v>5052</v>
      </c>
      <c r="R55" s="16" t="s">
        <v>139</v>
      </c>
      <c r="S55" s="17">
        <v>176</v>
      </c>
      <c r="T55" s="7">
        <v>23000</v>
      </c>
      <c r="U55" s="27"/>
    </row>
    <row r="56" spans="1:21" x14ac:dyDescent="0.25">
      <c r="A56" s="11">
        <v>45569</v>
      </c>
      <c r="B56" s="12" t="s">
        <v>14</v>
      </c>
      <c r="C56" s="12">
        <v>1128386741</v>
      </c>
      <c r="D56" s="12" t="s">
        <v>268</v>
      </c>
      <c r="E56" s="12" t="s">
        <v>269</v>
      </c>
      <c r="F56" s="12" t="s">
        <v>38</v>
      </c>
      <c r="G56" s="12" t="s">
        <v>248</v>
      </c>
      <c r="H56" s="12" t="str">
        <f t="shared" si="1"/>
        <v>ANA CECILIA MARIN GRANDA</v>
      </c>
      <c r="I56" s="12" t="s">
        <v>55</v>
      </c>
      <c r="J56" s="13" t="s">
        <v>94</v>
      </c>
      <c r="K56" s="14" t="s">
        <v>25</v>
      </c>
      <c r="L56" s="14">
        <v>890242</v>
      </c>
      <c r="M56" s="12" t="str">
        <f t="shared" si="3"/>
        <v>CONSULTA PRIMERA VEZ DERMATOLOGIA</v>
      </c>
      <c r="N56" s="13" t="s">
        <v>45</v>
      </c>
      <c r="O56" s="7">
        <v>61500</v>
      </c>
      <c r="P56" s="15">
        <v>90980149</v>
      </c>
      <c r="Q56" s="15">
        <v>5053</v>
      </c>
      <c r="R56" s="16" t="s">
        <v>140</v>
      </c>
      <c r="S56" s="17">
        <v>177</v>
      </c>
      <c r="T56" s="7">
        <v>23000</v>
      </c>
      <c r="U56" s="27"/>
    </row>
    <row r="57" spans="1:21" x14ac:dyDescent="0.25">
      <c r="A57" s="11">
        <v>45569</v>
      </c>
      <c r="B57" s="12" t="s">
        <v>14</v>
      </c>
      <c r="C57" s="12">
        <v>79620018</v>
      </c>
      <c r="D57" s="12" t="s">
        <v>272</v>
      </c>
      <c r="E57" s="12" t="s">
        <v>273</v>
      </c>
      <c r="F57" s="12" t="s">
        <v>270</v>
      </c>
      <c r="G57" s="12" t="s">
        <v>271</v>
      </c>
      <c r="H57" s="12" t="str">
        <f t="shared" si="1"/>
        <v>GUIOVANNI ARTURO ZAMBRANO RUSSY</v>
      </c>
      <c r="I57" s="12" t="s">
        <v>55</v>
      </c>
      <c r="J57" s="13" t="s">
        <v>94</v>
      </c>
      <c r="K57" s="14" t="s">
        <v>313</v>
      </c>
      <c r="L57" s="14">
        <v>890242</v>
      </c>
      <c r="M57" s="12" t="str">
        <f t="shared" si="3"/>
        <v>CONSULTA PRIMERA VEZ DERMATOLOGIA</v>
      </c>
      <c r="N57" s="13" t="s">
        <v>45</v>
      </c>
      <c r="O57" s="7">
        <v>61500</v>
      </c>
      <c r="P57" s="15">
        <v>90989326</v>
      </c>
      <c r="Q57" s="15">
        <v>5054</v>
      </c>
      <c r="R57" s="16" t="s">
        <v>141</v>
      </c>
      <c r="S57" s="17">
        <v>178</v>
      </c>
      <c r="T57" s="7">
        <v>23000</v>
      </c>
      <c r="U57" s="27"/>
    </row>
    <row r="58" spans="1:21" x14ac:dyDescent="0.25">
      <c r="A58" s="11">
        <v>45574</v>
      </c>
      <c r="B58" s="12" t="s">
        <v>14</v>
      </c>
      <c r="C58" s="12">
        <v>60292560</v>
      </c>
      <c r="D58" s="12" t="s">
        <v>275</v>
      </c>
      <c r="E58" s="12" t="s">
        <v>226</v>
      </c>
      <c r="F58" s="12" t="s">
        <v>274</v>
      </c>
      <c r="G58" s="12" t="s">
        <v>275</v>
      </c>
      <c r="H58" s="12" t="str">
        <f t="shared" si="1"/>
        <v>LUBIANA ORTEGA ORTEGA SOTO</v>
      </c>
      <c r="I58" s="12" t="s">
        <v>55</v>
      </c>
      <c r="J58" s="13" t="s">
        <v>94</v>
      </c>
      <c r="K58" s="14" t="s">
        <v>24</v>
      </c>
      <c r="L58" s="14">
        <v>890242</v>
      </c>
      <c r="M58" s="12" t="str">
        <f t="shared" si="3"/>
        <v>CONSULTA PRIMERA VEZ DERMATOLOGIA</v>
      </c>
      <c r="N58" s="13" t="s">
        <v>45</v>
      </c>
      <c r="O58" s="7">
        <v>61500</v>
      </c>
      <c r="P58" s="15">
        <v>92644224</v>
      </c>
      <c r="Q58" s="15">
        <v>5075</v>
      </c>
      <c r="R58" s="16" t="s">
        <v>142</v>
      </c>
      <c r="S58" s="17">
        <v>179</v>
      </c>
      <c r="T58" s="7">
        <v>23000</v>
      </c>
      <c r="U58" s="27"/>
    </row>
    <row r="59" spans="1:21" x14ac:dyDescent="0.25">
      <c r="A59" s="11">
        <v>45594</v>
      </c>
      <c r="B59" s="12" t="s">
        <v>14</v>
      </c>
      <c r="C59" s="12">
        <v>1014247475</v>
      </c>
      <c r="D59" s="12" t="s">
        <v>172</v>
      </c>
      <c r="E59" s="12" t="s">
        <v>277</v>
      </c>
      <c r="F59" s="12" t="s">
        <v>38</v>
      </c>
      <c r="G59" s="12" t="s">
        <v>276</v>
      </c>
      <c r="H59" s="12" t="str">
        <f t="shared" si="1"/>
        <v>ANA ELIZABETH SILVA HERRERA</v>
      </c>
      <c r="I59" s="12" t="s">
        <v>55</v>
      </c>
      <c r="J59" s="13" t="s">
        <v>94</v>
      </c>
      <c r="K59" s="14" t="s">
        <v>314</v>
      </c>
      <c r="L59" s="14">
        <v>890242</v>
      </c>
      <c r="M59" s="12" t="str">
        <f t="shared" si="3"/>
        <v>CONSULTA PRIMERA VEZ DERMATOLOGIA</v>
      </c>
      <c r="N59" s="13" t="s">
        <v>45</v>
      </c>
      <c r="O59" s="7">
        <v>61500</v>
      </c>
      <c r="P59" s="15">
        <v>91387555</v>
      </c>
      <c r="Q59" s="15">
        <v>5056</v>
      </c>
      <c r="R59" s="16" t="s">
        <v>143</v>
      </c>
      <c r="S59" s="17">
        <v>180</v>
      </c>
      <c r="T59" s="7">
        <v>23000</v>
      </c>
      <c r="U59" s="27"/>
    </row>
    <row r="60" spans="1:21" x14ac:dyDescent="0.25">
      <c r="A60" s="11">
        <v>45594</v>
      </c>
      <c r="B60" s="12" t="s">
        <v>14</v>
      </c>
      <c r="C60" s="12">
        <v>1022359052</v>
      </c>
      <c r="D60" s="12" t="s">
        <v>280</v>
      </c>
      <c r="E60" s="12" t="s">
        <v>281</v>
      </c>
      <c r="F60" s="12" t="s">
        <v>278</v>
      </c>
      <c r="G60" s="12" t="s">
        <v>279</v>
      </c>
      <c r="H60" s="12" t="str">
        <f t="shared" si="1"/>
        <v>GINNA PAOLA BUITRAGO MELO</v>
      </c>
      <c r="I60" s="12" t="s">
        <v>55</v>
      </c>
      <c r="J60" s="13" t="s">
        <v>94</v>
      </c>
      <c r="K60" s="14" t="s">
        <v>23</v>
      </c>
      <c r="L60" s="14">
        <v>890242</v>
      </c>
      <c r="M60" s="12" t="str">
        <f t="shared" si="3"/>
        <v>CONSULTA PRIMERA VEZ DERMATOLOGIA</v>
      </c>
      <c r="N60" s="13" t="s">
        <v>45</v>
      </c>
      <c r="O60" s="7">
        <v>61500</v>
      </c>
      <c r="P60" s="15">
        <v>91421015</v>
      </c>
      <c r="Q60" s="15">
        <v>5076</v>
      </c>
      <c r="R60" s="16" t="s">
        <v>144</v>
      </c>
      <c r="S60" s="17">
        <v>181</v>
      </c>
      <c r="T60" s="7">
        <v>23000</v>
      </c>
      <c r="U60" s="27"/>
    </row>
    <row r="61" spans="1:21" x14ac:dyDescent="0.25">
      <c r="A61" s="11">
        <v>45596</v>
      </c>
      <c r="B61" s="12" t="s">
        <v>14</v>
      </c>
      <c r="C61" s="12">
        <v>1000236093</v>
      </c>
      <c r="D61" s="12" t="s">
        <v>282</v>
      </c>
      <c r="E61" s="12" t="s">
        <v>283</v>
      </c>
      <c r="F61" s="12" t="s">
        <v>18</v>
      </c>
      <c r="G61" s="12" t="s">
        <v>37</v>
      </c>
      <c r="H61" s="12" t="str">
        <f t="shared" si="1"/>
        <v>MARIA ALEJANDRA CARDOZO PINEDA</v>
      </c>
      <c r="I61" s="12" t="s">
        <v>55</v>
      </c>
      <c r="J61" s="13" t="s">
        <v>94</v>
      </c>
      <c r="K61" s="14" t="s">
        <v>315</v>
      </c>
      <c r="L61" s="14">
        <v>890242</v>
      </c>
      <c r="M61" s="12" t="str">
        <f t="shared" si="3"/>
        <v>CONSULTA PRIMERA VEZ DERMATOLOGIA</v>
      </c>
      <c r="N61" s="13" t="s">
        <v>45</v>
      </c>
      <c r="O61" s="7">
        <v>61500</v>
      </c>
      <c r="P61" s="15">
        <v>91498139</v>
      </c>
      <c r="Q61" s="15">
        <v>5077</v>
      </c>
      <c r="R61" s="16" t="s">
        <v>145</v>
      </c>
      <c r="S61" s="17">
        <v>182</v>
      </c>
      <c r="T61" s="7">
        <v>23000</v>
      </c>
      <c r="U61" s="27"/>
    </row>
    <row r="62" spans="1:21" x14ac:dyDescent="0.25">
      <c r="A62" s="11">
        <v>45616</v>
      </c>
      <c r="B62" s="12" t="s">
        <v>14</v>
      </c>
      <c r="C62" s="12">
        <v>1001204519</v>
      </c>
      <c r="D62" s="12" t="s">
        <v>27</v>
      </c>
      <c r="E62" s="12" t="s">
        <v>189</v>
      </c>
      <c r="F62" s="12" t="s">
        <v>38</v>
      </c>
      <c r="G62" s="12" t="s">
        <v>18</v>
      </c>
      <c r="H62" s="12" t="str">
        <f t="shared" si="1"/>
        <v>ANA MARIA LEON VARGAS</v>
      </c>
      <c r="I62" s="12" t="s">
        <v>55</v>
      </c>
      <c r="J62" s="13" t="s">
        <v>94</v>
      </c>
      <c r="K62" s="14" t="s">
        <v>312</v>
      </c>
      <c r="L62" s="14">
        <v>890242</v>
      </c>
      <c r="M62" s="12" t="str">
        <f t="shared" si="3"/>
        <v>CONSULTA PRIMERA VEZ DERMATOLOGIA</v>
      </c>
      <c r="N62" s="13" t="s">
        <v>45</v>
      </c>
      <c r="O62" s="7">
        <v>61500</v>
      </c>
      <c r="P62" s="15">
        <v>91975921</v>
      </c>
      <c r="Q62" s="15">
        <v>5059</v>
      </c>
      <c r="R62" s="16" t="s">
        <v>146</v>
      </c>
      <c r="S62" s="17">
        <v>183</v>
      </c>
      <c r="T62" s="7">
        <v>23000</v>
      </c>
      <c r="U62" s="27"/>
    </row>
    <row r="63" spans="1:21" x14ac:dyDescent="0.25">
      <c r="A63" s="11">
        <v>45616</v>
      </c>
      <c r="B63" s="12" t="s">
        <v>16</v>
      </c>
      <c r="C63" s="12">
        <v>1013017378</v>
      </c>
      <c r="D63" s="12" t="s">
        <v>285</v>
      </c>
      <c r="E63" s="12" t="s">
        <v>286</v>
      </c>
      <c r="F63" s="12" t="s">
        <v>249</v>
      </c>
      <c r="G63" s="12" t="s">
        <v>284</v>
      </c>
      <c r="H63" s="12" t="str">
        <f t="shared" si="1"/>
        <v>ISABEL SOFIA VARAGAS ACOSTA</v>
      </c>
      <c r="I63" s="12" t="s">
        <v>55</v>
      </c>
      <c r="J63" s="13" t="s">
        <v>94</v>
      </c>
      <c r="K63" s="14" t="s">
        <v>22</v>
      </c>
      <c r="L63" s="14">
        <v>890242</v>
      </c>
      <c r="M63" s="12" t="str">
        <f t="shared" si="3"/>
        <v>CONSULTA PRIMERA VEZ DERMATOLOGIA</v>
      </c>
      <c r="N63" s="13" t="s">
        <v>45</v>
      </c>
      <c r="O63" s="7">
        <v>61500</v>
      </c>
      <c r="P63" s="15">
        <v>92642825</v>
      </c>
      <c r="Q63" s="15">
        <v>5060</v>
      </c>
      <c r="R63" s="16" t="s">
        <v>147</v>
      </c>
      <c r="S63" s="17">
        <v>184</v>
      </c>
      <c r="T63" s="7">
        <v>23000</v>
      </c>
      <c r="U63" s="27"/>
    </row>
    <row r="64" spans="1:21" x14ac:dyDescent="0.25">
      <c r="A64" s="11">
        <v>45616</v>
      </c>
      <c r="B64" s="12" t="s">
        <v>14</v>
      </c>
      <c r="C64" s="12">
        <v>53107241</v>
      </c>
      <c r="D64" s="12" t="s">
        <v>30</v>
      </c>
      <c r="E64" s="12" t="s">
        <v>19</v>
      </c>
      <c r="F64" s="12" t="s">
        <v>287</v>
      </c>
      <c r="G64" s="12" t="s">
        <v>39</v>
      </c>
      <c r="H64" s="12" t="str">
        <f t="shared" si="1"/>
        <v>SARA CRISTINA MARTINEZ HERNANDEZ</v>
      </c>
      <c r="I64" s="12" t="s">
        <v>55</v>
      </c>
      <c r="J64" s="13" t="s">
        <v>94</v>
      </c>
      <c r="K64" s="14" t="s">
        <v>305</v>
      </c>
      <c r="L64" s="14">
        <v>890242</v>
      </c>
      <c r="M64" s="12" t="str">
        <f t="shared" si="3"/>
        <v>CONSULTA PRIMERA VEZ DERMATOLOGIA</v>
      </c>
      <c r="N64" s="13" t="s">
        <v>45</v>
      </c>
      <c r="O64" s="7">
        <v>61500</v>
      </c>
      <c r="P64" s="15">
        <v>91924779</v>
      </c>
      <c r="Q64" s="15">
        <v>5061</v>
      </c>
      <c r="R64" s="16" t="s">
        <v>148</v>
      </c>
      <c r="S64" s="17">
        <v>185</v>
      </c>
      <c r="T64" s="7">
        <v>23000</v>
      </c>
      <c r="U64" s="27"/>
    </row>
    <row r="65" spans="1:21" x14ac:dyDescent="0.25">
      <c r="A65" s="11">
        <v>45616</v>
      </c>
      <c r="B65" s="12" t="s">
        <v>14</v>
      </c>
      <c r="C65" s="12">
        <v>1014298977</v>
      </c>
      <c r="D65" s="12" t="s">
        <v>233</v>
      </c>
      <c r="E65" s="12"/>
      <c r="F65" s="12" t="s">
        <v>83</v>
      </c>
      <c r="G65" s="12" t="s">
        <v>203</v>
      </c>
      <c r="H65" s="12" t="str">
        <f t="shared" si="1"/>
        <v xml:space="preserve">LIZETH CUBILLOS CORTES </v>
      </c>
      <c r="I65" s="12" t="s">
        <v>55</v>
      </c>
      <c r="J65" s="13" t="s">
        <v>94</v>
      </c>
      <c r="K65" s="14" t="s">
        <v>308</v>
      </c>
      <c r="L65" s="14">
        <v>890242</v>
      </c>
      <c r="M65" s="12" t="str">
        <f t="shared" si="3"/>
        <v>CONSULTA PRIMERA VEZ DERMATOLOGIA</v>
      </c>
      <c r="N65" s="13" t="s">
        <v>45</v>
      </c>
      <c r="O65" s="7">
        <v>36800</v>
      </c>
      <c r="P65" s="15">
        <v>91917211</v>
      </c>
      <c r="Q65" s="15">
        <v>5062</v>
      </c>
      <c r="R65" s="16" t="s">
        <v>149</v>
      </c>
      <c r="S65" s="17">
        <v>186</v>
      </c>
      <c r="T65" s="7">
        <v>46200</v>
      </c>
      <c r="U65" s="27"/>
    </row>
    <row r="66" spans="1:21" x14ac:dyDescent="0.25">
      <c r="A66" s="11">
        <v>45621</v>
      </c>
      <c r="B66" s="12" t="s">
        <v>14</v>
      </c>
      <c r="C66" s="12">
        <v>1020840259</v>
      </c>
      <c r="D66" s="12" t="s">
        <v>159</v>
      </c>
      <c r="E66" s="12" t="s">
        <v>288</v>
      </c>
      <c r="F66" s="12" t="s">
        <v>171</v>
      </c>
      <c r="G66" s="12" t="s">
        <v>33</v>
      </c>
      <c r="H66" s="12" t="str">
        <f t="shared" si="1"/>
        <v>DIANA MARCELA RODRIGUEZ PAREJA</v>
      </c>
      <c r="I66" s="12" t="s">
        <v>55</v>
      </c>
      <c r="J66" s="13" t="s">
        <v>94</v>
      </c>
      <c r="K66" s="14" t="s">
        <v>316</v>
      </c>
      <c r="L66" s="14">
        <v>890242</v>
      </c>
      <c r="M66" s="12" t="str">
        <f t="shared" si="3"/>
        <v>CONSULTA PRIMERA VEZ DERMATOLOGIA</v>
      </c>
      <c r="N66" s="13" t="s">
        <v>45</v>
      </c>
      <c r="O66" s="7">
        <v>61500</v>
      </c>
      <c r="P66" s="15">
        <v>91894924</v>
      </c>
      <c r="Q66" s="15">
        <v>5078</v>
      </c>
      <c r="R66" s="16" t="s">
        <v>150</v>
      </c>
      <c r="S66" s="17">
        <v>187</v>
      </c>
      <c r="T66" s="7">
        <v>23000</v>
      </c>
      <c r="U66" s="27"/>
    </row>
    <row r="67" spans="1:21" x14ac:dyDescent="0.25">
      <c r="A67" s="11">
        <v>45621</v>
      </c>
      <c r="B67" s="12" t="s">
        <v>14</v>
      </c>
      <c r="C67" s="12">
        <v>52758754</v>
      </c>
      <c r="D67" s="12" t="s">
        <v>290</v>
      </c>
      <c r="E67" s="12" t="s">
        <v>291</v>
      </c>
      <c r="F67" s="12" t="s">
        <v>289</v>
      </c>
      <c r="G67" s="12" t="s">
        <v>279</v>
      </c>
      <c r="H67" s="12" t="str">
        <f t="shared" ref="H67:H72" si="4">+CONCATENATE(F67," ",G67," ",D67," ",E67)</f>
        <v>YINA PAOLA FINO GUEVARA</v>
      </c>
      <c r="I67" s="12" t="s">
        <v>55</v>
      </c>
      <c r="J67" s="13" t="s">
        <v>94</v>
      </c>
      <c r="K67" s="14" t="s">
        <v>32</v>
      </c>
      <c r="L67" s="14">
        <v>890242</v>
      </c>
      <c r="M67" s="12" t="str">
        <f t="shared" si="3"/>
        <v>CONSULTA PRIMERA VEZ DERMATOLOGIA</v>
      </c>
      <c r="N67" s="13" t="s">
        <v>45</v>
      </c>
      <c r="O67" s="7">
        <v>61500</v>
      </c>
      <c r="P67" s="15">
        <v>91987776</v>
      </c>
      <c r="Q67" s="15">
        <v>5079</v>
      </c>
      <c r="R67" s="16" t="s">
        <v>151</v>
      </c>
      <c r="S67" s="17">
        <v>188</v>
      </c>
      <c r="T67" s="7">
        <v>23000</v>
      </c>
      <c r="U67" s="27"/>
    </row>
    <row r="68" spans="1:21" x14ac:dyDescent="0.25">
      <c r="A68" s="11">
        <v>45621</v>
      </c>
      <c r="B68" s="12" t="s">
        <v>14</v>
      </c>
      <c r="C68" s="12">
        <v>40043183</v>
      </c>
      <c r="D68" s="12" t="s">
        <v>166</v>
      </c>
      <c r="E68" s="12" t="s">
        <v>294</v>
      </c>
      <c r="F68" s="12" t="s">
        <v>292</v>
      </c>
      <c r="G68" s="12" t="s">
        <v>293</v>
      </c>
      <c r="H68" s="12" t="str">
        <f t="shared" si="4"/>
        <v>LIDA EMILCE SANCHEZ PAEZ</v>
      </c>
      <c r="I68" s="12" t="s">
        <v>55</v>
      </c>
      <c r="J68" s="13" t="s">
        <v>94</v>
      </c>
      <c r="K68" s="14" t="s">
        <v>305</v>
      </c>
      <c r="L68" s="14">
        <v>890342</v>
      </c>
      <c r="M68" s="12" t="str">
        <f t="shared" si="3"/>
        <v>CONSULTA CONTROL DERMATOLOGIA</v>
      </c>
      <c r="N68" s="13" t="s">
        <v>45</v>
      </c>
      <c r="O68" s="7">
        <v>13100</v>
      </c>
      <c r="P68" s="15">
        <v>91986953</v>
      </c>
      <c r="Q68" s="15">
        <v>5080</v>
      </c>
      <c r="R68" s="16" t="s">
        <v>152</v>
      </c>
      <c r="S68" s="17">
        <v>189</v>
      </c>
      <c r="T68" s="7">
        <v>23000</v>
      </c>
      <c r="U68" s="27"/>
    </row>
    <row r="69" spans="1:21" x14ac:dyDescent="0.25">
      <c r="A69" s="11">
        <v>45621</v>
      </c>
      <c r="B69" s="12" t="s">
        <v>16</v>
      </c>
      <c r="C69" s="12">
        <v>1033106463</v>
      </c>
      <c r="D69" s="12" t="s">
        <v>170</v>
      </c>
      <c r="E69" s="12" t="s">
        <v>296</v>
      </c>
      <c r="F69" s="12" t="s">
        <v>287</v>
      </c>
      <c r="G69" s="12" t="s">
        <v>295</v>
      </c>
      <c r="H69" s="12" t="str">
        <f t="shared" si="4"/>
        <v>SARA VALERIA GONZALEZ BETANCOURT</v>
      </c>
      <c r="I69" s="12" t="s">
        <v>55</v>
      </c>
      <c r="J69" s="13" t="s">
        <v>94</v>
      </c>
      <c r="K69" s="14" t="s">
        <v>306</v>
      </c>
      <c r="L69" s="14">
        <v>890242</v>
      </c>
      <c r="M69" s="12" t="str">
        <f t="shared" si="3"/>
        <v>CONSULTA PRIMERA VEZ DERMATOLOGIA</v>
      </c>
      <c r="N69" s="13" t="s">
        <v>45</v>
      </c>
      <c r="O69" s="7">
        <v>61500</v>
      </c>
      <c r="P69" s="15">
        <v>91968740</v>
      </c>
      <c r="Q69" s="15">
        <v>5066</v>
      </c>
      <c r="R69" s="16" t="s">
        <v>153</v>
      </c>
      <c r="S69" s="17">
        <v>190</v>
      </c>
      <c r="T69" s="7">
        <v>23000</v>
      </c>
      <c r="U69" s="27"/>
    </row>
    <row r="70" spans="1:21" x14ac:dyDescent="0.25">
      <c r="A70" s="11">
        <v>45621</v>
      </c>
      <c r="B70" s="12" t="s">
        <v>14</v>
      </c>
      <c r="C70" s="12">
        <v>79127607</v>
      </c>
      <c r="D70" s="12" t="s">
        <v>297</v>
      </c>
      <c r="E70" s="12" t="s">
        <v>291</v>
      </c>
      <c r="F70" s="12" t="s">
        <v>230</v>
      </c>
      <c r="G70" s="12" t="s">
        <v>181</v>
      </c>
      <c r="H70" s="12" t="str">
        <f t="shared" si="4"/>
        <v>MIGUEL RICARDO CERON GUEVARA</v>
      </c>
      <c r="I70" s="12" t="s">
        <v>55</v>
      </c>
      <c r="J70" s="13" t="s">
        <v>94</v>
      </c>
      <c r="K70" s="14" t="s">
        <v>307</v>
      </c>
      <c r="L70" s="14">
        <v>890242</v>
      </c>
      <c r="M70" s="12" t="str">
        <f t="shared" si="3"/>
        <v>CONSULTA PRIMERA VEZ DERMATOLOGIA</v>
      </c>
      <c r="N70" s="13" t="s">
        <v>45</v>
      </c>
      <c r="O70" s="7">
        <v>61500</v>
      </c>
      <c r="P70" s="15">
        <v>91887941</v>
      </c>
      <c r="Q70" s="15">
        <v>5067</v>
      </c>
      <c r="R70" s="16" t="s">
        <v>154</v>
      </c>
      <c r="S70" s="17">
        <v>191</v>
      </c>
      <c r="T70" s="7">
        <v>23000</v>
      </c>
      <c r="U70" s="27"/>
    </row>
    <row r="71" spans="1:21" x14ac:dyDescent="0.25">
      <c r="A71" s="11">
        <v>45623</v>
      </c>
      <c r="B71" s="12" t="s">
        <v>14</v>
      </c>
      <c r="C71" s="12">
        <v>1007015555</v>
      </c>
      <c r="D71" s="12" t="s">
        <v>20</v>
      </c>
      <c r="E71" s="12" t="s">
        <v>30</v>
      </c>
      <c r="F71" s="12" t="s">
        <v>298</v>
      </c>
      <c r="G71" s="12" t="s">
        <v>31</v>
      </c>
      <c r="H71" s="12" t="str">
        <f t="shared" si="4"/>
        <v>FARID SANTIAGO QUINTERO MARTINEZ</v>
      </c>
      <c r="I71" s="12" t="s">
        <v>55</v>
      </c>
      <c r="J71" s="13" t="s">
        <v>94</v>
      </c>
      <c r="K71" s="14" t="s">
        <v>308</v>
      </c>
      <c r="L71" s="14">
        <v>890242</v>
      </c>
      <c r="M71" s="12" t="str">
        <f t="shared" si="3"/>
        <v>CONSULTA PRIMERA VEZ DERMATOLOGIA</v>
      </c>
      <c r="N71" s="13" t="s">
        <v>45</v>
      </c>
      <c r="O71" s="7">
        <v>61500</v>
      </c>
      <c r="P71" s="15">
        <v>91723330</v>
      </c>
      <c r="Q71" s="15">
        <v>5081</v>
      </c>
      <c r="R71" s="16" t="s">
        <v>155</v>
      </c>
      <c r="S71" s="17">
        <v>192</v>
      </c>
      <c r="T71" s="7">
        <v>23000</v>
      </c>
      <c r="U71" s="27"/>
    </row>
    <row r="72" spans="1:21" x14ac:dyDescent="0.25">
      <c r="A72" s="11">
        <v>45623</v>
      </c>
      <c r="B72" s="12" t="s">
        <v>14</v>
      </c>
      <c r="C72" s="12">
        <v>52316870</v>
      </c>
      <c r="D72" s="12" t="s">
        <v>267</v>
      </c>
      <c r="E72" s="12" t="s">
        <v>159</v>
      </c>
      <c r="F72" s="12" t="s">
        <v>299</v>
      </c>
      <c r="G72" s="12" t="s">
        <v>300</v>
      </c>
      <c r="H72" s="12" t="str">
        <f t="shared" si="4"/>
        <v>ALEXY YADIRA MORENO RODRIGUEZ</v>
      </c>
      <c r="I72" s="12" t="s">
        <v>55</v>
      </c>
      <c r="J72" s="13" t="s">
        <v>94</v>
      </c>
      <c r="K72" s="14" t="s">
        <v>309</v>
      </c>
      <c r="L72" s="14">
        <v>890242</v>
      </c>
      <c r="M72" s="12" t="str">
        <f t="shared" si="3"/>
        <v>CONSULTA PRIMERA VEZ DERMATOLOGIA</v>
      </c>
      <c r="N72" s="13" t="s">
        <v>45</v>
      </c>
      <c r="O72" s="7">
        <v>61500</v>
      </c>
      <c r="P72" s="15">
        <v>91922668</v>
      </c>
      <c r="Q72" s="15">
        <v>5082</v>
      </c>
      <c r="R72" s="16" t="s">
        <v>156</v>
      </c>
      <c r="S72" s="17">
        <v>193</v>
      </c>
      <c r="T72" s="7">
        <v>23000</v>
      </c>
      <c r="U72" s="27"/>
    </row>
    <row r="73" spans="1:21" x14ac:dyDescent="0.25">
      <c r="O73" s="30">
        <f>SUM(O2:O72)</f>
        <v>4069100</v>
      </c>
      <c r="T73" s="30">
        <f>SUM(T2:T72)</f>
        <v>1860400</v>
      </c>
      <c r="U73" s="27"/>
    </row>
    <row r="74" spans="1:21" x14ac:dyDescent="0.25">
      <c r="O74" s="18"/>
      <c r="T74" s="18"/>
    </row>
    <row r="75" spans="1:21" x14ac:dyDescent="0.25">
      <c r="O75" s="10"/>
      <c r="T75" s="10"/>
    </row>
  </sheetData>
  <autoFilter ref="A1:U73" xr:uid="{247E8A53-AC7E-4C38-BFC3-DB8B2AE5068D}"/>
  <conditionalFormatting sqref="R3:S3">
    <cfRule type="duplicateValues" dxfId="6" priority="7"/>
  </conditionalFormatting>
  <conditionalFormatting sqref="R4:S4">
    <cfRule type="duplicateValues" dxfId="5" priority="6"/>
  </conditionalFormatting>
  <conditionalFormatting sqref="R5:S5">
    <cfRule type="duplicateValues" dxfId="4" priority="5"/>
  </conditionalFormatting>
  <conditionalFormatting sqref="R6:S6">
    <cfRule type="duplicateValues" dxfId="3" priority="4"/>
  </conditionalFormatting>
  <conditionalFormatting sqref="R7:S7">
    <cfRule type="duplicateValues" dxfId="2" priority="3"/>
  </conditionalFormatting>
  <conditionalFormatting sqref="R8:S8">
    <cfRule type="duplicateValues" dxfId="1" priority="2"/>
  </conditionalFormatting>
  <conditionalFormatting sqref="R9:S9">
    <cfRule type="duplicateValues" dxfId="0" priority="1"/>
  </conditionalFormatting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2024-12-20T00:14:06Z</cp:lastPrinted>
  <dcterms:created xsi:type="dcterms:W3CDTF">2024-07-11T13:48:22Z</dcterms:created>
  <dcterms:modified xsi:type="dcterms:W3CDTF">2024-12-28T12:49:26Z</dcterms:modified>
</cp:coreProperties>
</file>