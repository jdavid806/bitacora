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esktop\JADC\SURA - POLIZA\9. SEPTIEMBRE\"/>
    </mc:Choice>
  </mc:AlternateContent>
  <xr:revisionPtr revIDLastSave="0" documentId="13_ncr:1_{A33EADEE-F260-4887-B4D4-07889FE62C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PTIEMBRE" sheetId="1" r:id="rId1"/>
    <sheet name="NOVEDADES " sheetId="2" state="hidden" r:id="rId2"/>
  </sheets>
  <definedNames>
    <definedName name="_xlnm._FilterDatabase" localSheetId="0" hidden="1">SEPTIEMBRE!$A$1:$U$43</definedName>
    <definedName name="fech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UTJLybRJ8uo4PcOX1TZxOytiqZTpdilcq7wf8obdjJs="/>
    </ext>
  </extLst>
</workbook>
</file>

<file path=xl/calcChain.xml><?xml version="1.0" encoding="utf-8"?>
<calcChain xmlns="http://schemas.openxmlformats.org/spreadsheetml/2006/main">
  <c r="F34" i="1" l="1"/>
  <c r="F26" i="1"/>
  <c r="F35" i="1"/>
  <c r="F2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8" i="1"/>
  <c r="F29" i="1"/>
  <c r="F30" i="1"/>
  <c r="F31" i="1"/>
  <c r="F32" i="1"/>
  <c r="F33" i="1"/>
  <c r="F36" i="1"/>
  <c r="F37" i="1"/>
  <c r="F38" i="1"/>
  <c r="F39" i="1"/>
  <c r="F40" i="1"/>
  <c r="F41" i="1"/>
  <c r="F42" i="1"/>
  <c r="F43" i="1"/>
  <c r="F2" i="1"/>
</calcChain>
</file>

<file path=xl/sharedStrings.xml><?xml version="1.0" encoding="utf-8"?>
<sst xmlns="http://schemas.openxmlformats.org/spreadsheetml/2006/main" count="656" uniqueCount="304">
  <si>
    <t>Fecha</t>
  </si>
  <si>
    <t>Tipo de documento</t>
  </si>
  <si>
    <t>Número de identificación</t>
  </si>
  <si>
    <t>Correo electrónico</t>
  </si>
  <si>
    <t>Número de Celular</t>
  </si>
  <si>
    <t>Edad</t>
  </si>
  <si>
    <t>Fecha de nacimiento</t>
  </si>
  <si>
    <t>Primer apellido</t>
  </si>
  <si>
    <t>Segundo Apellido</t>
  </si>
  <si>
    <t>Primer nombre</t>
  </si>
  <si>
    <t>Segundo nombre</t>
  </si>
  <si>
    <t>Nacionalidad</t>
  </si>
  <si>
    <t>Sexo</t>
  </si>
  <si>
    <t>Localidad</t>
  </si>
  <si>
    <t>Tipo de aseguradora</t>
  </si>
  <si>
    <t>CIE10</t>
  </si>
  <si>
    <t>Tipo de consulta o procedimiento</t>
  </si>
  <si>
    <t>Profesional</t>
  </si>
  <si>
    <t>Número de autorización</t>
  </si>
  <si>
    <t xml:space="preserve">Número de factura </t>
  </si>
  <si>
    <t>CC</t>
  </si>
  <si>
    <t>GOMEZ</t>
  </si>
  <si>
    <t xml:space="preserve">NATALIA </t>
  </si>
  <si>
    <t>ANDREA</t>
  </si>
  <si>
    <t>F</t>
  </si>
  <si>
    <t>FONTIBON</t>
  </si>
  <si>
    <t>L719</t>
  </si>
  <si>
    <t>JENNIFERBECERRA23@HOTMAIL.COM</t>
  </si>
  <si>
    <t>CE</t>
  </si>
  <si>
    <t xml:space="preserve">TI </t>
  </si>
  <si>
    <t>MANUGUILLERMO@GMAIL.COM</t>
  </si>
  <si>
    <t>TI</t>
  </si>
  <si>
    <t>MELISABARRERA13@HOUTLOOK.COM</t>
  </si>
  <si>
    <t>PAOLA</t>
  </si>
  <si>
    <t>Colombia</t>
  </si>
  <si>
    <t>RODRIGUEZ</t>
  </si>
  <si>
    <t>MARCELA</t>
  </si>
  <si>
    <t xml:space="preserve">RODRIGUEZ </t>
  </si>
  <si>
    <t>BECERRA</t>
  </si>
  <si>
    <t>OROZCO</t>
  </si>
  <si>
    <t>JENNYFER</t>
  </si>
  <si>
    <t>GARCIA</t>
  </si>
  <si>
    <t>HERNANDEZ</t>
  </si>
  <si>
    <t>ROJAS</t>
  </si>
  <si>
    <t>DIAZ</t>
  </si>
  <si>
    <t>MILENA</t>
  </si>
  <si>
    <t xml:space="preserve">HUERTAS </t>
  </si>
  <si>
    <t xml:space="preserve">ROMERO </t>
  </si>
  <si>
    <t>CUBILLOS</t>
  </si>
  <si>
    <t>ROMERO</t>
  </si>
  <si>
    <t>ANGEL</t>
  </si>
  <si>
    <t xml:space="preserve">SAMUEL </t>
  </si>
  <si>
    <t xml:space="preserve">CUBILLOS </t>
  </si>
  <si>
    <t xml:space="preserve">WILLIAM </t>
  </si>
  <si>
    <t>MARIA</t>
  </si>
  <si>
    <t/>
  </si>
  <si>
    <t xml:space="preserve">GOMEZ </t>
  </si>
  <si>
    <t xml:space="preserve">MARIA </t>
  </si>
  <si>
    <t xml:space="preserve">VALENTINA </t>
  </si>
  <si>
    <t>ANDRES</t>
  </si>
  <si>
    <t xml:space="preserve">PEREZ </t>
  </si>
  <si>
    <t xml:space="preserve">MARCELA </t>
  </si>
  <si>
    <t>SIERRA</t>
  </si>
  <si>
    <t>CASTIBLANCO</t>
  </si>
  <si>
    <t xml:space="preserve">CASTAÑEDA </t>
  </si>
  <si>
    <t xml:space="preserve">MANUEL </t>
  </si>
  <si>
    <t>GUILLERMO</t>
  </si>
  <si>
    <t xml:space="preserve">LOPEZ </t>
  </si>
  <si>
    <t>JIMENEZ</t>
  </si>
  <si>
    <t>ROBERTO</t>
  </si>
  <si>
    <t>JOSE</t>
  </si>
  <si>
    <t>BARRERA</t>
  </si>
  <si>
    <t>CORTES</t>
  </si>
  <si>
    <t>KAREN</t>
  </si>
  <si>
    <t>MELISA</t>
  </si>
  <si>
    <t>MORENO</t>
  </si>
  <si>
    <t>PAULA</t>
  </si>
  <si>
    <t>PEÑA</t>
  </si>
  <si>
    <t xml:space="preserve">JUAN </t>
  </si>
  <si>
    <t xml:space="preserve">HERRERA </t>
  </si>
  <si>
    <t>SUBA</t>
  </si>
  <si>
    <t>Poliza Salud para todos</t>
  </si>
  <si>
    <t>CHAPINERO</t>
  </si>
  <si>
    <t>USAQUEN</t>
  </si>
  <si>
    <t>M</t>
  </si>
  <si>
    <t>SANTA FE</t>
  </si>
  <si>
    <t>PUENTE ARANDA</t>
  </si>
  <si>
    <t>TEUSAQUILLO</t>
  </si>
  <si>
    <t>ENGATIVA</t>
  </si>
  <si>
    <t>KENNEDY</t>
  </si>
  <si>
    <t>L219</t>
  </si>
  <si>
    <t>L239</t>
  </si>
  <si>
    <t>L570</t>
  </si>
  <si>
    <t>L708</t>
  </si>
  <si>
    <t>L811</t>
  </si>
  <si>
    <t>L639</t>
  </si>
  <si>
    <t>L700</t>
  </si>
  <si>
    <t>L649</t>
  </si>
  <si>
    <t>B07X</t>
  </si>
  <si>
    <t>L814</t>
  </si>
  <si>
    <t>L300</t>
  </si>
  <si>
    <t>L82X</t>
  </si>
  <si>
    <t>CONSULTA PRIMERA VEZ DERMATOLOGIA</t>
  </si>
  <si>
    <t>Valor a cobrar Factura FEAD</t>
  </si>
  <si>
    <t>OLGAMSALINAS@HOTMAIL.COM</t>
  </si>
  <si>
    <t>CONSULTA CONTROL O SEGUIMIENTO POR DERMATOLOGIA</t>
  </si>
  <si>
    <t>Laura Castilla</t>
  </si>
  <si>
    <t>Carolina Morales</t>
  </si>
  <si>
    <t>Luis Fernando</t>
  </si>
  <si>
    <t>PAO83873@HOTMAIL.COM</t>
  </si>
  <si>
    <t>DIANAROD04@HOTMAIL.COM</t>
  </si>
  <si>
    <t>natrodrib@gmail.com</t>
  </si>
  <si>
    <t>AGARCIARO09@GMAIL.COM</t>
  </si>
  <si>
    <t>MBOHORQUEZ1182@GMAIL.COM</t>
  </si>
  <si>
    <t>SMCRISTANCHO@UCATOLICA.EDU.CO</t>
  </si>
  <si>
    <t>MAJUSA.8010@GMAIL.COM</t>
  </si>
  <si>
    <t>ANGELA.MJS@HOTMAIL.COM</t>
  </si>
  <si>
    <t>JAIROWILLIAMCUBILLOS@HOTMAIL.COM</t>
  </si>
  <si>
    <t>MARIACA.ORJUELA@GMAIL.COM</t>
  </si>
  <si>
    <t xml:space="preserve">MAYERLYGB37@GMAIL.COM </t>
  </si>
  <si>
    <t>NVILLALBA.DI@GMAIL.COM</t>
  </si>
  <si>
    <t>MARIAFERCG98@HOTMAIL.COM</t>
  </si>
  <si>
    <t>AND772004@YAHOO.ES</t>
  </si>
  <si>
    <t>JESPINALHENRIQUEZ@GMAIL.COM</t>
  </si>
  <si>
    <t>VGHINCAPIE@HOTMAIL.COM</t>
  </si>
  <si>
    <t>SONIA_HDEZG@HOTMAIL.COM</t>
  </si>
  <si>
    <t>ASEBASTIAN1984@GMAIL.COM</t>
  </si>
  <si>
    <t>YENNPEREZ@HOTMAIL.COM</t>
  </si>
  <si>
    <t>ANGEL16_WILL@HOTMAIL.COM</t>
  </si>
  <si>
    <t>VANERUSSI.R18@GMAIL.COM</t>
  </si>
  <si>
    <t>ELKINSN29@GMAIL.COM</t>
  </si>
  <si>
    <t>LAURALOBOB@GMAIL.COM</t>
  </si>
  <si>
    <t>ANDREACASTIB@GMAIL.COM</t>
  </si>
  <si>
    <t>PAOLAT72@HOTMAIL.COM</t>
  </si>
  <si>
    <t>GOMEZLOPEZ710@HOTMAIL.COM</t>
  </si>
  <si>
    <t>JEIMMYPGJ@GMAIL.COM</t>
  </si>
  <si>
    <t>ING_ERICKGONZALEZ@HOTMAIL.COM</t>
  </si>
  <si>
    <t>FNDO.DIAZ@GMAIL.COM</t>
  </si>
  <si>
    <t>NANNYOR@YAHOO.COM</t>
  </si>
  <si>
    <t>MALEOR39@GMAIL.COM</t>
  </si>
  <si>
    <t>EMY.AMAYA.C@GMAIL.COM</t>
  </si>
  <si>
    <t>MPSOTELLOM@GMAIL.COM</t>
  </si>
  <si>
    <t>ANGE.PODEROSA@GMAIL.COM</t>
  </si>
  <si>
    <t>KROPGRCIA@HOTMAIL.COM</t>
  </si>
  <si>
    <t>DILIVAHE@HOTMAIL.COM</t>
  </si>
  <si>
    <t>FINO</t>
  </si>
  <si>
    <t>GUEVARA</t>
  </si>
  <si>
    <t>YINA</t>
  </si>
  <si>
    <t>PAREJA</t>
  </si>
  <si>
    <t>DIANA</t>
  </si>
  <si>
    <t>BOMBITA</t>
  </si>
  <si>
    <t>JUAN</t>
  </si>
  <si>
    <t>BAUTISTA</t>
  </si>
  <si>
    <t>BOHORQUEZ</t>
  </si>
  <si>
    <t xml:space="preserve">MILENA </t>
  </si>
  <si>
    <t>PATRICIA</t>
  </si>
  <si>
    <t>CRISTANCHO</t>
  </si>
  <si>
    <t>SANDRA</t>
  </si>
  <si>
    <t xml:space="preserve">SALINAS </t>
  </si>
  <si>
    <t xml:space="preserve">OLGA </t>
  </si>
  <si>
    <t xml:space="preserve">MARLEN </t>
  </si>
  <si>
    <t>GONZALEZ</t>
  </si>
  <si>
    <t>ANGELA</t>
  </si>
  <si>
    <t xml:space="preserve">FARLEY </t>
  </si>
  <si>
    <t xml:space="preserve">MACIAS </t>
  </si>
  <si>
    <t>JAIRO</t>
  </si>
  <si>
    <t>ORJUELA</t>
  </si>
  <si>
    <t>PARRA</t>
  </si>
  <si>
    <t>CAMILA</t>
  </si>
  <si>
    <t xml:space="preserve">ORTIZ </t>
  </si>
  <si>
    <t xml:space="preserve">GUILLEN </t>
  </si>
  <si>
    <t xml:space="preserve">NICOLAS </t>
  </si>
  <si>
    <t>VILLALBA</t>
  </si>
  <si>
    <t>MUÑOZ</t>
  </si>
  <si>
    <t xml:space="preserve">COBO </t>
  </si>
  <si>
    <t xml:space="preserve">FERLINDA </t>
  </si>
  <si>
    <t xml:space="preserve">GONZALEZ </t>
  </si>
  <si>
    <t xml:space="preserve">ANDRES </t>
  </si>
  <si>
    <t>ESPINAL</t>
  </si>
  <si>
    <t>HENRIQUEZ</t>
  </si>
  <si>
    <t>IRENE</t>
  </si>
  <si>
    <t>MERCEDES</t>
  </si>
  <si>
    <t>Venezuela</t>
  </si>
  <si>
    <t xml:space="preserve">GIRALDO </t>
  </si>
  <si>
    <t xml:space="preserve">HINCANPIE </t>
  </si>
  <si>
    <t>POVEDA</t>
  </si>
  <si>
    <t>KEVIN</t>
  </si>
  <si>
    <t>ALEJANDRO</t>
  </si>
  <si>
    <t xml:space="preserve">HERNANDEZ </t>
  </si>
  <si>
    <t xml:space="preserve">SONIA </t>
  </si>
  <si>
    <t>BARREIRO</t>
  </si>
  <si>
    <t>SEBASTIAN</t>
  </si>
  <si>
    <t xml:space="preserve">ESPINOSA </t>
  </si>
  <si>
    <t xml:space="preserve">YENY </t>
  </si>
  <si>
    <t xml:space="preserve">GUERRERO </t>
  </si>
  <si>
    <t xml:space="preserve">OREJUELA </t>
  </si>
  <si>
    <t xml:space="preserve">ANGELICA </t>
  </si>
  <si>
    <t>RUSSI</t>
  </si>
  <si>
    <t>VANESSA</t>
  </si>
  <si>
    <t>NIÑO</t>
  </si>
  <si>
    <t>ELKIN</t>
  </si>
  <si>
    <t>LEANDRO</t>
  </si>
  <si>
    <t>LOBO</t>
  </si>
  <si>
    <t>BERBESI</t>
  </si>
  <si>
    <t xml:space="preserve">LAURA </t>
  </si>
  <si>
    <t>XIMENA</t>
  </si>
  <si>
    <t>CABRERA</t>
  </si>
  <si>
    <t xml:space="preserve">TRIANA </t>
  </si>
  <si>
    <t xml:space="preserve">PAOLA </t>
  </si>
  <si>
    <t>LUCILA</t>
  </si>
  <si>
    <t xml:space="preserve">GARCIA </t>
  </si>
  <si>
    <t xml:space="preserve">JEIMMY </t>
  </si>
  <si>
    <t>RETIS</t>
  </si>
  <si>
    <t>ERICK</t>
  </si>
  <si>
    <t>MALDONADO</t>
  </si>
  <si>
    <t>FERNANDO</t>
  </si>
  <si>
    <t>BARRIOS UNIDOS</t>
  </si>
  <si>
    <t xml:space="preserve">ORJUELA </t>
  </si>
  <si>
    <t>ORDOÑEZ</t>
  </si>
  <si>
    <t>NAZLY</t>
  </si>
  <si>
    <t>ALIETH</t>
  </si>
  <si>
    <t>DE ORJUELA</t>
  </si>
  <si>
    <t>MARIELA</t>
  </si>
  <si>
    <t>LEONOR</t>
  </si>
  <si>
    <t xml:space="preserve">AMAYA </t>
  </si>
  <si>
    <t xml:space="preserve">CARABALLO </t>
  </si>
  <si>
    <t xml:space="preserve">EMILY </t>
  </si>
  <si>
    <t xml:space="preserve">SOFIA </t>
  </si>
  <si>
    <t>SOTELLO</t>
  </si>
  <si>
    <t xml:space="preserve">BORRAS </t>
  </si>
  <si>
    <t xml:space="preserve">SANTOS </t>
  </si>
  <si>
    <t xml:space="preserve">AGUAS </t>
  </si>
  <si>
    <t xml:space="preserve">VALENCIA </t>
  </si>
  <si>
    <t xml:space="preserve">ANA </t>
  </si>
  <si>
    <t>LOS MARTIRES</t>
  </si>
  <si>
    <t>L230</t>
  </si>
  <si>
    <t>L931</t>
  </si>
  <si>
    <t>D231</t>
  </si>
  <si>
    <t>L501</t>
  </si>
  <si>
    <t>L211</t>
  </si>
  <si>
    <t>M798</t>
  </si>
  <si>
    <t>L909</t>
  </si>
  <si>
    <t>L718</t>
  </si>
  <si>
    <t>L80X</t>
  </si>
  <si>
    <t>B351</t>
  </si>
  <si>
    <t>L209</t>
  </si>
  <si>
    <t>L308</t>
  </si>
  <si>
    <t xml:space="preserve">L650 </t>
  </si>
  <si>
    <t>pte aut</t>
  </si>
  <si>
    <t>FEAD 3323</t>
  </si>
  <si>
    <t>FEAD 3343</t>
  </si>
  <si>
    <t>FEAD 3368</t>
  </si>
  <si>
    <t>FEAD 3370</t>
  </si>
  <si>
    <t>FEAD  3373</t>
  </si>
  <si>
    <t>FEAD 3379</t>
  </si>
  <si>
    <t>FEAD 3397</t>
  </si>
  <si>
    <t>FEAD 3405</t>
  </si>
  <si>
    <t>FEAD 3418</t>
  </si>
  <si>
    <t>FEAD 3419</t>
  </si>
  <si>
    <t>FEAD 3420</t>
  </si>
  <si>
    <t>FEAD 3421</t>
  </si>
  <si>
    <t>FEAD 3425</t>
  </si>
  <si>
    <t>FEAD 3434</t>
  </si>
  <si>
    <t>FEAD 3450</t>
  </si>
  <si>
    <t>FEAD 3454</t>
  </si>
  <si>
    <t>FEAD 3471</t>
  </si>
  <si>
    <t>FEAD 3472</t>
  </si>
  <si>
    <t>FEAD 3480</t>
  </si>
  <si>
    <t>FEAD 3498</t>
  </si>
  <si>
    <t>FEAD 3500</t>
  </si>
  <si>
    <t>FEAD 3497</t>
  </si>
  <si>
    <t>FEAD 3505</t>
  </si>
  <si>
    <t>FEAD 3559</t>
  </si>
  <si>
    <t>FEAD 3570</t>
  </si>
  <si>
    <t>FEAD 3571</t>
  </si>
  <si>
    <t>FEAD 3573</t>
  </si>
  <si>
    <t>FEAD 3575</t>
  </si>
  <si>
    <t>FEAD 3579</t>
  </si>
  <si>
    <t>FEAD 3582</t>
  </si>
  <si>
    <t>FEAD 3581</t>
  </si>
  <si>
    <t>FEAD 3591</t>
  </si>
  <si>
    <t>FEAD 3594</t>
  </si>
  <si>
    <t>FEAD 3595</t>
  </si>
  <si>
    <t>FEAD 3600</t>
  </si>
  <si>
    <t>FEAD 3664</t>
  </si>
  <si>
    <t>FEAD 3668</t>
  </si>
  <si>
    <t>FEAD 3672</t>
  </si>
  <si>
    <t>FEAD 3680</t>
  </si>
  <si>
    <t>PCTE NO PERTENECE A SURA POLIZA</t>
  </si>
  <si>
    <t>PCTE PERTENECE A UN PLAN NO NEGOCIADO CON LA CLINICA</t>
  </si>
  <si>
    <t>DANIELA@EMPRENDETE.COM.CO</t>
  </si>
  <si>
    <t>ARIAS</t>
  </si>
  <si>
    <t>DAZA</t>
  </si>
  <si>
    <t>DANIELA</t>
  </si>
  <si>
    <t>ALEJANDRA</t>
  </si>
  <si>
    <t>FEAD 3580</t>
  </si>
  <si>
    <t>FEAD 4751</t>
  </si>
  <si>
    <t>FEAD 4752</t>
  </si>
  <si>
    <t>FEAD 4753</t>
  </si>
  <si>
    <t>PAOAPANESSO@GMAIL.COM</t>
  </si>
  <si>
    <t xml:space="preserve">VALDIVIESO </t>
  </si>
  <si>
    <t xml:space="preserve">PANESSO </t>
  </si>
  <si>
    <t xml:space="preserve">THOMAS </t>
  </si>
  <si>
    <t>FEAD 4771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</si>
</sst>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\ #,##0"/>
    <numFmt numFmtId="165" formatCode="dd/mm/yyyy"/>
    <numFmt numFmtId="166" formatCode="d/m/yyyy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FFD966"/>
        <bgColor rgb="FFFFD966"/>
      </patternFill>
    </fill>
  </fills>
  <borders count="5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0" fillId="0" borderId="0" xfId="0" applyFont="1" applyAlignment="1">
      <alignment horizontal="right"/>
    </xf>
    <xf numFmtId="0" fontId="0" fillId="0" borderId="2" xfId="0" applyFont="1" applyBorder="1" applyAlignment="1"/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2" fontId="3" fillId="3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165" fontId="4" fillId="0" borderId="4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1" fontId="4" fillId="0" borderId="4" xfId="0" applyNumberFormat="1" applyFont="1" applyFill="1" applyBorder="1" applyAlignment="1">
      <alignment vertical="center"/>
    </xf>
    <xf numFmtId="166" fontId="4" fillId="0" borderId="4" xfId="0" applyNumberFormat="1" applyFont="1" applyFill="1" applyBorder="1" applyAlignment="1">
      <alignment horizontal="right" vertical="center"/>
    </xf>
    <xf numFmtId="0" fontId="4" fillId="0" borderId="4" xfId="0" applyFont="1" applyFill="1" applyBorder="1" applyAlignment="1">
      <alignment horizontal="center" vertical="center" wrapText="1"/>
    </xf>
    <xf numFmtId="14" fontId="4" fillId="0" borderId="4" xfId="0" applyNumberFormat="1" applyFont="1" applyFill="1" applyBorder="1" applyAlignment="1">
      <alignment vertical="center"/>
    </xf>
    <xf numFmtId="164" fontId="4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right"/>
    </xf>
    <xf numFmtId="14" fontId="4" fillId="0" borderId="3" xfId="0" applyNumberFormat="1" applyFont="1" applyFill="1" applyBorder="1" applyAlignment="1">
      <alignment vertical="center"/>
    </xf>
    <xf numFmtId="14" fontId="4" fillId="0" borderId="1" xfId="0" applyNumberFormat="1" applyFont="1" applyFill="1" applyBorder="1" applyAlignment="1">
      <alignment vertical="center"/>
    </xf>
    <xf numFmtId="0" fontId="0" fillId="0" borderId="0" xfId="0" applyFont="1" applyFill="1" applyAlignment="1"/>
    <xf numFmtId="0" fontId="0" fillId="0" borderId="2" xfId="0" applyFont="1" applyBorder="1" applyAlignment="1">
      <alignment wrapText="1"/>
    </xf>
    <xf numFmtId="0" fontId="0" fillId="0" borderId="0" xfId="0" applyFont="1" applyAlignment="1">
      <alignment wrapText="1"/>
    </xf>
    <xf numFmtId="14" fontId="4" fillId="0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zoomScaleNormal="100" workbookViewId="0">
      <pane ySplit="1" topLeftCell="A2" activePane="bottomLeft" state="frozen"/>
      <selection pane="bottomLeft" activeCell="A4" sqref="A4"/>
    </sheetView>
  </sheetViews>
  <sheetFormatPr baseColWidth="10" defaultColWidth="14.42578125" defaultRowHeight="15" customHeight="1" x14ac:dyDescent="0.25"/>
  <cols>
    <col min="1" max="1" width="11.42578125" customWidth="1"/>
    <col min="2" max="2" width="8.42578125" customWidth="1"/>
    <col min="3" max="3" width="15.28515625" customWidth="1"/>
    <col min="4" max="4" width="35.5703125" customWidth="1"/>
    <col min="5" max="5" width="16.5703125" customWidth="1"/>
    <col min="6" max="6" width="9.7109375" bestFit="1" customWidth="1"/>
    <col min="7" max="7" width="15.5703125" style="1" bestFit="1" customWidth="1"/>
    <col min="8" max="8" width="14.140625" customWidth="1"/>
    <col min="9" max="9" width="13.85546875" customWidth="1"/>
    <col min="10" max="10" width="12.5703125" customWidth="1"/>
    <col min="11" max="11" width="11" customWidth="1"/>
    <col min="12" max="12" width="17.140625" customWidth="1"/>
    <col min="13" max="13" width="4.7109375" customWidth="1"/>
    <col min="14" max="14" width="16.28515625" bestFit="1" customWidth="1"/>
    <col min="15" max="15" width="24.5703125" customWidth="1"/>
    <col min="16" max="16" width="9.42578125" customWidth="1"/>
    <col min="17" max="17" width="18.5703125" customWidth="1"/>
    <col min="18" max="18" width="35.140625" customWidth="1"/>
    <col min="19" max="19" width="9.140625" customWidth="1"/>
    <col min="20" max="20" width="15.5703125" customWidth="1"/>
    <col min="21" max="21" width="18.42578125" customWidth="1"/>
    <col min="22" max="26" width="10.7109375" customWidth="1"/>
  </cols>
  <sheetData>
    <row r="1" spans="1:26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5" t="s">
        <v>103</v>
      </c>
      <c r="T1" s="6" t="s">
        <v>18</v>
      </c>
      <c r="U1" s="6" t="s">
        <v>19</v>
      </c>
      <c r="V1" s="2"/>
    </row>
    <row r="2" spans="1:26" s="17" customFormat="1" x14ac:dyDescent="0.25">
      <c r="A2" s="7">
        <v>45537</v>
      </c>
      <c r="B2" s="8" t="s">
        <v>20</v>
      </c>
      <c r="C2" s="8">
        <v>52758754</v>
      </c>
      <c r="D2" s="8" t="s">
        <v>109</v>
      </c>
      <c r="E2" s="9">
        <v>3133626206</v>
      </c>
      <c r="F2" s="9">
        <f ca="1">YEAR(NOW())-YEAR(G2)</f>
        <v>41</v>
      </c>
      <c r="G2" s="10">
        <v>30469</v>
      </c>
      <c r="H2" s="8" t="s">
        <v>145</v>
      </c>
      <c r="I2" s="8" t="s">
        <v>146</v>
      </c>
      <c r="J2" s="8" t="s">
        <v>147</v>
      </c>
      <c r="K2" s="8" t="s">
        <v>33</v>
      </c>
      <c r="L2" s="8" t="s">
        <v>34</v>
      </c>
      <c r="M2" s="8" t="s">
        <v>24</v>
      </c>
      <c r="N2" s="8" t="s">
        <v>80</v>
      </c>
      <c r="O2" s="8" t="s">
        <v>81</v>
      </c>
      <c r="P2" s="11" t="s">
        <v>235</v>
      </c>
      <c r="Q2" s="8" t="s">
        <v>102</v>
      </c>
      <c r="R2" s="12" t="s">
        <v>107</v>
      </c>
      <c r="S2" s="13"/>
      <c r="T2" s="14">
        <v>90210845</v>
      </c>
      <c r="U2" s="8" t="s">
        <v>249</v>
      </c>
      <c r="V2" s="15"/>
      <c r="W2" s="16"/>
      <c r="X2" s="16"/>
      <c r="Y2" s="16"/>
      <c r="Z2" s="16"/>
    </row>
    <row r="3" spans="1:26" s="17" customFormat="1" x14ac:dyDescent="0.25">
      <c r="A3" s="7">
        <v>45538</v>
      </c>
      <c r="B3" s="8" t="s">
        <v>20</v>
      </c>
      <c r="C3" s="8">
        <v>1020840259</v>
      </c>
      <c r="D3" s="8" t="s">
        <v>110</v>
      </c>
      <c r="E3" s="9">
        <v>3202277848</v>
      </c>
      <c r="F3" s="9">
        <f t="shared" ref="F3:F43" ca="1" si="0">YEAR(NOW())-YEAR(G3)</f>
        <v>25</v>
      </c>
      <c r="G3" s="10">
        <v>36258</v>
      </c>
      <c r="H3" s="8" t="s">
        <v>35</v>
      </c>
      <c r="I3" s="8" t="s">
        <v>148</v>
      </c>
      <c r="J3" s="8" t="s">
        <v>149</v>
      </c>
      <c r="K3" s="8" t="s">
        <v>36</v>
      </c>
      <c r="L3" s="8" t="s">
        <v>34</v>
      </c>
      <c r="M3" s="8" t="s">
        <v>24</v>
      </c>
      <c r="N3" s="8" t="s">
        <v>82</v>
      </c>
      <c r="O3" s="8" t="s">
        <v>81</v>
      </c>
      <c r="P3" s="11" t="s">
        <v>90</v>
      </c>
      <c r="Q3" s="8" t="s">
        <v>105</v>
      </c>
      <c r="R3" s="12" t="s">
        <v>106</v>
      </c>
      <c r="S3" s="13"/>
      <c r="T3" s="14">
        <v>90241212</v>
      </c>
      <c r="U3" s="8" t="s">
        <v>250</v>
      </c>
      <c r="V3" s="15"/>
      <c r="W3" s="16"/>
      <c r="X3" s="16"/>
      <c r="Y3" s="16"/>
      <c r="Z3" s="16"/>
    </row>
    <row r="4" spans="1:26" s="17" customFormat="1" x14ac:dyDescent="0.25">
      <c r="A4" s="7">
        <v>45540</v>
      </c>
      <c r="B4" s="8" t="s">
        <v>20</v>
      </c>
      <c r="C4" s="8">
        <v>52863908</v>
      </c>
      <c r="D4" s="8" t="s">
        <v>111</v>
      </c>
      <c r="E4" s="9">
        <v>3212015582</v>
      </c>
      <c r="F4" s="9">
        <f t="shared" ca="1" si="0"/>
        <v>43</v>
      </c>
      <c r="G4" s="10">
        <v>29880</v>
      </c>
      <c r="H4" s="8" t="s">
        <v>37</v>
      </c>
      <c r="I4" s="8" t="s">
        <v>150</v>
      </c>
      <c r="J4" s="8" t="s">
        <v>22</v>
      </c>
      <c r="K4" s="8"/>
      <c r="L4" s="8" t="s">
        <v>34</v>
      </c>
      <c r="M4" s="8" t="s">
        <v>24</v>
      </c>
      <c r="N4" s="8" t="s">
        <v>83</v>
      </c>
      <c r="O4" s="8" t="s">
        <v>81</v>
      </c>
      <c r="P4" s="11" t="s">
        <v>236</v>
      </c>
      <c r="Q4" s="8" t="s">
        <v>105</v>
      </c>
      <c r="R4" s="12" t="s">
        <v>106</v>
      </c>
      <c r="S4" s="13"/>
      <c r="T4" s="14">
        <v>90300354</v>
      </c>
      <c r="U4" s="8" t="s">
        <v>251</v>
      </c>
      <c r="V4" s="15"/>
      <c r="W4" s="16"/>
      <c r="X4" s="16"/>
      <c r="Y4" s="16"/>
      <c r="Z4" s="16"/>
    </row>
    <row r="5" spans="1:26" s="17" customFormat="1" x14ac:dyDescent="0.25">
      <c r="A5" s="7">
        <v>45540</v>
      </c>
      <c r="B5" s="8" t="s">
        <v>20</v>
      </c>
      <c r="C5" s="8">
        <v>1124022454</v>
      </c>
      <c r="D5" s="8" t="s">
        <v>27</v>
      </c>
      <c r="E5" s="9">
        <v>3187179483</v>
      </c>
      <c r="F5" s="9">
        <f t="shared" ca="1" si="0"/>
        <v>34</v>
      </c>
      <c r="G5" s="10">
        <v>32896</v>
      </c>
      <c r="H5" s="8" t="s">
        <v>38</v>
      </c>
      <c r="I5" s="8" t="s">
        <v>39</v>
      </c>
      <c r="J5" s="8" t="s">
        <v>40</v>
      </c>
      <c r="K5" s="8" t="s">
        <v>33</v>
      </c>
      <c r="L5" s="8" t="s">
        <v>34</v>
      </c>
      <c r="M5" s="8" t="s">
        <v>24</v>
      </c>
      <c r="N5" s="8" t="s">
        <v>83</v>
      </c>
      <c r="O5" s="8" t="s">
        <v>81</v>
      </c>
      <c r="P5" s="11" t="s">
        <v>91</v>
      </c>
      <c r="Q5" s="8" t="s">
        <v>105</v>
      </c>
      <c r="R5" s="12" t="s">
        <v>106</v>
      </c>
      <c r="S5" s="13"/>
      <c r="T5" s="14">
        <v>90301708</v>
      </c>
      <c r="U5" s="8" t="s">
        <v>252</v>
      </c>
      <c r="V5" s="15"/>
      <c r="W5" s="16"/>
      <c r="X5" s="16"/>
      <c r="Y5" s="16"/>
      <c r="Z5" s="16"/>
    </row>
    <row r="6" spans="1:26" s="17" customFormat="1" x14ac:dyDescent="0.25">
      <c r="A6" s="7">
        <v>45540</v>
      </c>
      <c r="B6" s="8" t="s">
        <v>20</v>
      </c>
      <c r="C6" s="8">
        <v>79235739</v>
      </c>
      <c r="D6" s="8" t="s">
        <v>112</v>
      </c>
      <c r="E6" s="9">
        <v>3176383965</v>
      </c>
      <c r="F6" s="9">
        <f t="shared" ca="1" si="0"/>
        <v>61</v>
      </c>
      <c r="G6" s="10">
        <v>23116</v>
      </c>
      <c r="H6" s="8" t="s">
        <v>41</v>
      </c>
      <c r="I6" s="8" t="s">
        <v>42</v>
      </c>
      <c r="J6" s="8" t="s">
        <v>151</v>
      </c>
      <c r="K6" s="8" t="s">
        <v>152</v>
      </c>
      <c r="L6" s="8" t="s">
        <v>34</v>
      </c>
      <c r="M6" s="8" t="s">
        <v>84</v>
      </c>
      <c r="N6" s="8" t="s">
        <v>83</v>
      </c>
      <c r="O6" s="8" t="s">
        <v>81</v>
      </c>
      <c r="P6" s="11" t="s">
        <v>92</v>
      </c>
      <c r="Q6" s="8" t="s">
        <v>102</v>
      </c>
      <c r="R6" s="12" t="s">
        <v>106</v>
      </c>
      <c r="S6" s="13"/>
      <c r="T6" s="14">
        <v>90306802</v>
      </c>
      <c r="U6" s="8" t="s">
        <v>253</v>
      </c>
      <c r="V6" s="15"/>
      <c r="W6" s="16"/>
      <c r="X6" s="16"/>
      <c r="Y6" s="16"/>
      <c r="Z6" s="16"/>
    </row>
    <row r="7" spans="1:26" s="17" customFormat="1" x14ac:dyDescent="0.25">
      <c r="A7" s="7">
        <v>45540</v>
      </c>
      <c r="B7" s="8" t="s">
        <v>20</v>
      </c>
      <c r="C7" s="8">
        <v>23623837</v>
      </c>
      <c r="D7" s="8" t="s">
        <v>113</v>
      </c>
      <c r="E7" s="9">
        <v>3143443194</v>
      </c>
      <c r="F7" s="9">
        <f t="shared" ca="1" si="0"/>
        <v>42</v>
      </c>
      <c r="G7" s="10">
        <v>30052</v>
      </c>
      <c r="H7" s="8" t="s">
        <v>153</v>
      </c>
      <c r="I7" s="8" t="s">
        <v>43</v>
      </c>
      <c r="J7" s="8" t="s">
        <v>154</v>
      </c>
      <c r="K7" s="8" t="s">
        <v>155</v>
      </c>
      <c r="L7" s="8" t="s">
        <v>34</v>
      </c>
      <c r="M7" s="8" t="s">
        <v>24</v>
      </c>
      <c r="N7" s="8" t="s">
        <v>85</v>
      </c>
      <c r="O7" s="8" t="s">
        <v>81</v>
      </c>
      <c r="P7" s="11" t="s">
        <v>93</v>
      </c>
      <c r="Q7" s="8" t="s">
        <v>102</v>
      </c>
      <c r="R7" s="12" t="s">
        <v>107</v>
      </c>
      <c r="S7" s="13"/>
      <c r="T7" s="14">
        <v>90311830</v>
      </c>
      <c r="U7" s="8" t="s">
        <v>254</v>
      </c>
      <c r="V7" s="15"/>
      <c r="W7" s="16"/>
      <c r="X7" s="16"/>
      <c r="Y7" s="16"/>
      <c r="Z7" s="16"/>
    </row>
    <row r="8" spans="1:26" s="17" customFormat="1" x14ac:dyDescent="0.25">
      <c r="A8" s="7">
        <v>45542</v>
      </c>
      <c r="B8" s="8" t="s">
        <v>20</v>
      </c>
      <c r="C8" s="8">
        <v>52203103</v>
      </c>
      <c r="D8" s="8" t="s">
        <v>114</v>
      </c>
      <c r="E8" s="9">
        <v>3125907979</v>
      </c>
      <c r="F8" s="9">
        <f t="shared" ca="1" si="0"/>
        <v>50</v>
      </c>
      <c r="G8" s="10">
        <v>27072</v>
      </c>
      <c r="H8" s="8" t="s">
        <v>156</v>
      </c>
      <c r="I8" s="8" t="s">
        <v>44</v>
      </c>
      <c r="J8" s="8" t="s">
        <v>157</v>
      </c>
      <c r="K8" s="8" t="s">
        <v>45</v>
      </c>
      <c r="L8" s="8" t="s">
        <v>34</v>
      </c>
      <c r="M8" s="8" t="s">
        <v>24</v>
      </c>
      <c r="N8" s="8" t="s">
        <v>83</v>
      </c>
      <c r="O8" s="8" t="s">
        <v>81</v>
      </c>
      <c r="P8" s="11" t="s">
        <v>94</v>
      </c>
      <c r="Q8" s="8" t="s">
        <v>105</v>
      </c>
      <c r="R8" s="12" t="s">
        <v>107</v>
      </c>
      <c r="S8" s="13"/>
      <c r="T8" s="14">
        <v>90343563</v>
      </c>
      <c r="U8" s="8" t="s">
        <v>255</v>
      </c>
      <c r="V8" s="15"/>
      <c r="W8" s="16"/>
      <c r="X8" s="16"/>
      <c r="Y8" s="16"/>
      <c r="Z8" s="16"/>
    </row>
    <row r="9" spans="1:26" s="17" customFormat="1" x14ac:dyDescent="0.25">
      <c r="A9" s="7">
        <v>45542</v>
      </c>
      <c r="B9" s="8" t="s">
        <v>20</v>
      </c>
      <c r="C9" s="8">
        <v>52298463</v>
      </c>
      <c r="D9" s="8" t="s">
        <v>104</v>
      </c>
      <c r="E9" s="9">
        <v>3188948367</v>
      </c>
      <c r="F9" s="9">
        <f t="shared" ca="1" si="0"/>
        <v>50</v>
      </c>
      <c r="G9" s="10">
        <v>27311</v>
      </c>
      <c r="H9" s="8" t="s">
        <v>158</v>
      </c>
      <c r="I9" s="8" t="s">
        <v>46</v>
      </c>
      <c r="J9" s="8" t="s">
        <v>159</v>
      </c>
      <c r="K9" s="8" t="s">
        <v>160</v>
      </c>
      <c r="L9" s="8" t="s">
        <v>34</v>
      </c>
      <c r="M9" s="8" t="s">
        <v>24</v>
      </c>
      <c r="N9" s="8" t="s">
        <v>83</v>
      </c>
      <c r="O9" s="8" t="s">
        <v>81</v>
      </c>
      <c r="P9" s="11" t="s">
        <v>95</v>
      </c>
      <c r="Q9" s="8" t="s">
        <v>105</v>
      </c>
      <c r="R9" s="12" t="s">
        <v>107</v>
      </c>
      <c r="S9" s="13"/>
      <c r="T9" s="14">
        <v>90351372</v>
      </c>
      <c r="U9" s="8" t="s">
        <v>256</v>
      </c>
      <c r="V9" s="15"/>
      <c r="W9" s="16"/>
      <c r="X9" s="16"/>
      <c r="Y9" s="16"/>
      <c r="Z9" s="16"/>
    </row>
    <row r="10" spans="1:26" s="17" customFormat="1" x14ac:dyDescent="0.25">
      <c r="A10" s="7">
        <v>45544</v>
      </c>
      <c r="B10" s="8" t="s">
        <v>20</v>
      </c>
      <c r="C10" s="8">
        <v>52828931</v>
      </c>
      <c r="D10" s="8" t="s">
        <v>115</v>
      </c>
      <c r="E10" s="9">
        <v>3112084749</v>
      </c>
      <c r="F10" s="9">
        <f t="shared" ca="1" si="0"/>
        <v>44</v>
      </c>
      <c r="G10" s="10">
        <v>29519</v>
      </c>
      <c r="H10" s="8" t="s">
        <v>47</v>
      </c>
      <c r="I10" s="8" t="s">
        <v>161</v>
      </c>
      <c r="J10" s="8" t="s">
        <v>162</v>
      </c>
      <c r="K10" s="8" t="s">
        <v>163</v>
      </c>
      <c r="L10" s="8" t="s">
        <v>34</v>
      </c>
      <c r="M10" s="8" t="s">
        <v>24</v>
      </c>
      <c r="N10" s="8" t="s">
        <v>86</v>
      </c>
      <c r="O10" s="8" t="s">
        <v>81</v>
      </c>
      <c r="P10" s="11" t="s">
        <v>93</v>
      </c>
      <c r="Q10" s="8" t="s">
        <v>102</v>
      </c>
      <c r="R10" s="12" t="s">
        <v>107</v>
      </c>
      <c r="S10" s="13"/>
      <c r="T10" s="14">
        <v>90378770</v>
      </c>
      <c r="U10" s="8" t="s">
        <v>257</v>
      </c>
      <c r="V10" s="15"/>
      <c r="W10" s="16"/>
      <c r="X10" s="16"/>
      <c r="Y10" s="16"/>
      <c r="Z10" s="16"/>
    </row>
    <row r="11" spans="1:26" s="17" customFormat="1" x14ac:dyDescent="0.25">
      <c r="A11" s="7">
        <v>45544</v>
      </c>
      <c r="B11" s="8" t="s">
        <v>20</v>
      </c>
      <c r="C11" s="8">
        <v>1014662075</v>
      </c>
      <c r="D11" s="8" t="s">
        <v>116</v>
      </c>
      <c r="E11" s="9">
        <v>3112084749</v>
      </c>
      <c r="F11" s="9">
        <f t="shared" ca="1" si="0"/>
        <v>18</v>
      </c>
      <c r="G11" s="10">
        <v>38807</v>
      </c>
      <c r="H11" s="8" t="s">
        <v>48</v>
      </c>
      <c r="I11" s="8" t="s">
        <v>49</v>
      </c>
      <c r="J11" s="8" t="s">
        <v>50</v>
      </c>
      <c r="K11" s="8" t="s">
        <v>51</v>
      </c>
      <c r="L11" s="8" t="s">
        <v>34</v>
      </c>
      <c r="M11" s="8" t="s">
        <v>84</v>
      </c>
      <c r="N11" s="8" t="s">
        <v>86</v>
      </c>
      <c r="O11" s="8" t="s">
        <v>81</v>
      </c>
      <c r="P11" s="11" t="s">
        <v>96</v>
      </c>
      <c r="Q11" s="8" t="s">
        <v>102</v>
      </c>
      <c r="R11" s="12" t="s">
        <v>107</v>
      </c>
      <c r="S11" s="13"/>
      <c r="T11" s="14">
        <v>90384219</v>
      </c>
      <c r="U11" s="8" t="s">
        <v>258</v>
      </c>
      <c r="V11" s="15"/>
      <c r="W11" s="16"/>
      <c r="X11" s="16"/>
      <c r="Y11" s="16"/>
      <c r="Z11" s="16"/>
    </row>
    <row r="12" spans="1:26" s="17" customFormat="1" x14ac:dyDescent="0.25">
      <c r="A12" s="7">
        <v>45544</v>
      </c>
      <c r="B12" s="8" t="s">
        <v>20</v>
      </c>
      <c r="C12" s="8">
        <v>79849361</v>
      </c>
      <c r="D12" s="8" t="s">
        <v>117</v>
      </c>
      <c r="E12" s="9">
        <v>3214384837</v>
      </c>
      <c r="F12" s="9">
        <f t="shared" ca="1" si="0"/>
        <v>50</v>
      </c>
      <c r="G12" s="10">
        <v>27061</v>
      </c>
      <c r="H12" s="8" t="s">
        <v>52</v>
      </c>
      <c r="I12" s="8" t="s">
        <v>164</v>
      </c>
      <c r="J12" s="8" t="s">
        <v>165</v>
      </c>
      <c r="K12" s="8" t="s">
        <v>53</v>
      </c>
      <c r="L12" s="8" t="s">
        <v>34</v>
      </c>
      <c r="M12" s="8" t="s">
        <v>84</v>
      </c>
      <c r="N12" s="8" t="s">
        <v>86</v>
      </c>
      <c r="O12" s="8" t="s">
        <v>81</v>
      </c>
      <c r="P12" s="11" t="s">
        <v>237</v>
      </c>
      <c r="Q12" s="8" t="s">
        <v>102</v>
      </c>
      <c r="R12" s="12" t="s">
        <v>107</v>
      </c>
      <c r="S12" s="13"/>
      <c r="T12" s="14">
        <v>90389040</v>
      </c>
      <c r="U12" s="8" t="s">
        <v>259</v>
      </c>
      <c r="V12" s="15"/>
      <c r="W12" s="16"/>
      <c r="X12" s="16"/>
      <c r="Y12" s="16"/>
      <c r="Z12" s="16"/>
    </row>
    <row r="13" spans="1:26" s="17" customFormat="1" x14ac:dyDescent="0.25">
      <c r="A13" s="7">
        <v>45544</v>
      </c>
      <c r="B13" s="8" t="s">
        <v>20</v>
      </c>
      <c r="C13" s="8">
        <v>1014243069</v>
      </c>
      <c r="D13" s="8" t="s">
        <v>118</v>
      </c>
      <c r="E13" s="9">
        <v>3043900359</v>
      </c>
      <c r="F13" s="9">
        <f t="shared" ca="1" si="0"/>
        <v>31</v>
      </c>
      <c r="G13" s="10">
        <v>34097</v>
      </c>
      <c r="H13" s="8" t="s">
        <v>166</v>
      </c>
      <c r="I13" s="8" t="s">
        <v>167</v>
      </c>
      <c r="J13" s="8" t="s">
        <v>54</v>
      </c>
      <c r="K13" s="8" t="s">
        <v>168</v>
      </c>
      <c r="L13" s="8" t="s">
        <v>34</v>
      </c>
      <c r="M13" s="8" t="s">
        <v>24</v>
      </c>
      <c r="N13" s="8" t="s">
        <v>82</v>
      </c>
      <c r="O13" s="8" t="s">
        <v>81</v>
      </c>
      <c r="P13" s="11" t="s">
        <v>238</v>
      </c>
      <c r="Q13" s="8" t="s">
        <v>105</v>
      </c>
      <c r="R13" s="12" t="s">
        <v>107</v>
      </c>
      <c r="S13" s="13"/>
      <c r="T13" s="14">
        <v>90390396</v>
      </c>
      <c r="U13" s="8" t="s">
        <v>260</v>
      </c>
      <c r="V13" s="15"/>
      <c r="W13" s="16"/>
      <c r="X13" s="16"/>
      <c r="Y13" s="16"/>
      <c r="Z13" s="16"/>
    </row>
    <row r="14" spans="1:26" s="17" customFormat="1" x14ac:dyDescent="0.25">
      <c r="A14" s="7">
        <v>45544</v>
      </c>
      <c r="B14" s="8" t="s">
        <v>20</v>
      </c>
      <c r="C14" s="8">
        <v>1141915709</v>
      </c>
      <c r="D14" s="8" t="s">
        <v>119</v>
      </c>
      <c r="E14" s="9">
        <v>3057002366</v>
      </c>
      <c r="F14" s="9">
        <f t="shared" ca="1" si="0"/>
        <v>2</v>
      </c>
      <c r="G14" s="10">
        <v>44787</v>
      </c>
      <c r="H14" s="8" t="s">
        <v>169</v>
      </c>
      <c r="I14" s="8" t="s">
        <v>170</v>
      </c>
      <c r="J14" s="8" t="s">
        <v>171</v>
      </c>
      <c r="K14" s="8" t="s">
        <v>55</v>
      </c>
      <c r="L14" s="8" t="s">
        <v>34</v>
      </c>
      <c r="M14" s="8" t="s">
        <v>55</v>
      </c>
      <c r="N14" s="8" t="s">
        <v>80</v>
      </c>
      <c r="O14" s="8" t="s">
        <v>81</v>
      </c>
      <c r="P14" s="11" t="s">
        <v>239</v>
      </c>
      <c r="Q14" s="8" t="s">
        <v>102</v>
      </c>
      <c r="R14" s="12" t="s">
        <v>106</v>
      </c>
      <c r="S14" s="13"/>
      <c r="T14" s="14">
        <v>90393764</v>
      </c>
      <c r="U14" s="8" t="s">
        <v>261</v>
      </c>
      <c r="V14" s="15"/>
      <c r="W14" s="16"/>
      <c r="X14" s="16"/>
      <c r="Y14" s="16"/>
      <c r="Z14" s="16"/>
    </row>
    <row r="15" spans="1:26" s="17" customFormat="1" x14ac:dyDescent="0.25">
      <c r="A15" s="7">
        <v>45545</v>
      </c>
      <c r="B15" s="8" t="s">
        <v>20</v>
      </c>
      <c r="C15" s="8">
        <v>1015462254</v>
      </c>
      <c r="D15" s="8" t="s">
        <v>120</v>
      </c>
      <c r="E15" s="9">
        <v>3159275703</v>
      </c>
      <c r="F15" s="9">
        <f t="shared" ca="1" si="0"/>
        <v>28</v>
      </c>
      <c r="G15" s="10">
        <v>35142</v>
      </c>
      <c r="H15" s="8" t="s">
        <v>172</v>
      </c>
      <c r="I15" s="8" t="s">
        <v>173</v>
      </c>
      <c r="J15" s="8" t="s">
        <v>22</v>
      </c>
      <c r="K15" s="8" t="s">
        <v>23</v>
      </c>
      <c r="L15" s="8" t="s">
        <v>34</v>
      </c>
      <c r="M15" s="8" t="s">
        <v>24</v>
      </c>
      <c r="N15" s="8" t="s">
        <v>80</v>
      </c>
      <c r="O15" s="8" t="s">
        <v>81</v>
      </c>
      <c r="P15" s="11" t="s">
        <v>240</v>
      </c>
      <c r="Q15" s="8" t="s">
        <v>102</v>
      </c>
      <c r="R15" s="12" t="s">
        <v>108</v>
      </c>
      <c r="S15" s="13"/>
      <c r="T15" s="14">
        <v>90413764</v>
      </c>
      <c r="U15" s="8" t="s">
        <v>262</v>
      </c>
      <c r="V15" s="15"/>
      <c r="W15" s="16"/>
      <c r="X15" s="16"/>
      <c r="Y15" s="16"/>
      <c r="Z15" s="16"/>
    </row>
    <row r="16" spans="1:26" s="17" customFormat="1" x14ac:dyDescent="0.25">
      <c r="A16" s="7">
        <v>45547</v>
      </c>
      <c r="B16" s="8" t="s">
        <v>20</v>
      </c>
      <c r="C16" s="8">
        <v>1151965272</v>
      </c>
      <c r="D16" s="8" t="s">
        <v>121</v>
      </c>
      <c r="E16" s="9">
        <v>3176565130</v>
      </c>
      <c r="F16" s="9">
        <f t="shared" ca="1" si="0"/>
        <v>26</v>
      </c>
      <c r="G16" s="10">
        <v>35889</v>
      </c>
      <c r="H16" s="8" t="s">
        <v>174</v>
      </c>
      <c r="I16" s="8" t="s">
        <v>56</v>
      </c>
      <c r="J16" s="8" t="s">
        <v>54</v>
      </c>
      <c r="K16" s="8" t="s">
        <v>175</v>
      </c>
      <c r="L16" s="8" t="s">
        <v>34</v>
      </c>
      <c r="M16" s="8" t="s">
        <v>24</v>
      </c>
      <c r="N16" s="8" t="s">
        <v>83</v>
      </c>
      <c r="O16" s="8" t="s">
        <v>81</v>
      </c>
      <c r="P16" s="11" t="s">
        <v>26</v>
      </c>
      <c r="Q16" s="8" t="s">
        <v>102</v>
      </c>
      <c r="R16" s="12" t="s">
        <v>106</v>
      </c>
      <c r="S16" s="13"/>
      <c r="T16" s="14">
        <v>90504666</v>
      </c>
      <c r="U16" s="8" t="s">
        <v>263</v>
      </c>
      <c r="V16" s="15"/>
      <c r="W16" s="16"/>
      <c r="X16" s="16"/>
      <c r="Y16" s="16"/>
      <c r="Z16" s="16"/>
    </row>
    <row r="17" spans="1:26" s="17" customFormat="1" x14ac:dyDescent="0.25">
      <c r="A17" s="7">
        <v>45547</v>
      </c>
      <c r="B17" s="8" t="s">
        <v>20</v>
      </c>
      <c r="C17" s="8">
        <v>79235739</v>
      </c>
      <c r="D17" s="8" t="s">
        <v>112</v>
      </c>
      <c r="E17" s="9">
        <v>3176383965</v>
      </c>
      <c r="F17" s="9">
        <f t="shared" ca="1" si="0"/>
        <v>61</v>
      </c>
      <c r="G17" s="10">
        <v>23116</v>
      </c>
      <c r="H17" s="8" t="s">
        <v>41</v>
      </c>
      <c r="I17" s="8" t="s">
        <v>42</v>
      </c>
      <c r="J17" s="8" t="s">
        <v>151</v>
      </c>
      <c r="K17" s="8" t="s">
        <v>152</v>
      </c>
      <c r="L17" s="8" t="s">
        <v>34</v>
      </c>
      <c r="M17" s="8" t="s">
        <v>84</v>
      </c>
      <c r="N17" s="8" t="s">
        <v>83</v>
      </c>
      <c r="O17" s="8" t="s">
        <v>81</v>
      </c>
      <c r="P17" s="11" t="s">
        <v>92</v>
      </c>
      <c r="Q17" s="8" t="s">
        <v>105</v>
      </c>
      <c r="R17" s="12" t="s">
        <v>106</v>
      </c>
      <c r="S17" s="13"/>
      <c r="T17" s="14">
        <v>90507245</v>
      </c>
      <c r="U17" s="8" t="s">
        <v>264</v>
      </c>
      <c r="V17" s="15"/>
      <c r="W17" s="16"/>
      <c r="X17" s="16"/>
      <c r="Y17" s="16"/>
      <c r="Z17" s="16"/>
    </row>
    <row r="18" spans="1:26" s="17" customFormat="1" x14ac:dyDescent="0.25">
      <c r="A18" s="7">
        <v>45548</v>
      </c>
      <c r="B18" s="8" t="s">
        <v>20</v>
      </c>
      <c r="C18" s="8">
        <v>79940552</v>
      </c>
      <c r="D18" s="8" t="s">
        <v>122</v>
      </c>
      <c r="E18" s="9">
        <v>3174856944</v>
      </c>
      <c r="F18" s="9">
        <f t="shared" ca="1" si="0"/>
        <v>47</v>
      </c>
      <c r="G18" s="10">
        <v>28132</v>
      </c>
      <c r="H18" s="8" t="s">
        <v>176</v>
      </c>
      <c r="I18" s="8" t="s">
        <v>55</v>
      </c>
      <c r="J18" s="8" t="s">
        <v>177</v>
      </c>
      <c r="K18" s="8" t="s">
        <v>55</v>
      </c>
      <c r="L18" s="8" t="s">
        <v>34</v>
      </c>
      <c r="M18" s="8" t="s">
        <v>84</v>
      </c>
      <c r="N18" s="8" t="s">
        <v>83</v>
      </c>
      <c r="O18" s="8" t="s">
        <v>81</v>
      </c>
      <c r="P18" s="11" t="s">
        <v>97</v>
      </c>
      <c r="Q18" s="8" t="s">
        <v>102</v>
      </c>
      <c r="R18" s="12" t="s">
        <v>107</v>
      </c>
      <c r="S18" s="13"/>
      <c r="T18" s="14">
        <v>90526357</v>
      </c>
      <c r="U18" s="8" t="s">
        <v>265</v>
      </c>
      <c r="V18" s="15"/>
      <c r="W18" s="16"/>
      <c r="X18" s="16"/>
      <c r="Y18" s="16"/>
      <c r="Z18" s="16"/>
    </row>
    <row r="19" spans="1:26" s="17" customFormat="1" x14ac:dyDescent="0.25">
      <c r="A19" s="7">
        <v>45548</v>
      </c>
      <c r="B19" s="8" t="s">
        <v>28</v>
      </c>
      <c r="C19" s="8">
        <v>551681</v>
      </c>
      <c r="D19" s="8" t="s">
        <v>123</v>
      </c>
      <c r="E19" s="9">
        <v>3142861521</v>
      </c>
      <c r="F19" s="9">
        <f t="shared" ca="1" si="0"/>
        <v>67</v>
      </c>
      <c r="G19" s="10">
        <v>21126</v>
      </c>
      <c r="H19" s="8" t="s">
        <v>178</v>
      </c>
      <c r="I19" s="8" t="s">
        <v>179</v>
      </c>
      <c r="J19" s="8" t="s">
        <v>180</v>
      </c>
      <c r="K19" s="8" t="s">
        <v>181</v>
      </c>
      <c r="L19" s="8" t="s">
        <v>182</v>
      </c>
      <c r="M19" s="8" t="s">
        <v>24</v>
      </c>
      <c r="N19" s="8" t="s">
        <v>83</v>
      </c>
      <c r="O19" s="8" t="s">
        <v>81</v>
      </c>
      <c r="P19" s="11" t="s">
        <v>241</v>
      </c>
      <c r="Q19" s="8" t="s">
        <v>102</v>
      </c>
      <c r="R19" s="12" t="s">
        <v>107</v>
      </c>
      <c r="S19" s="13"/>
      <c r="T19" s="14">
        <v>90527633</v>
      </c>
      <c r="U19" s="8" t="s">
        <v>266</v>
      </c>
      <c r="V19" s="15"/>
      <c r="W19" s="16"/>
      <c r="X19" s="16"/>
      <c r="Y19" s="16"/>
      <c r="Z19" s="16"/>
    </row>
    <row r="20" spans="1:26" s="17" customFormat="1" x14ac:dyDescent="0.25">
      <c r="A20" s="7">
        <v>45548</v>
      </c>
      <c r="B20" s="8" t="s">
        <v>20</v>
      </c>
      <c r="C20" s="8">
        <v>1036962339</v>
      </c>
      <c r="D20" s="8" t="s">
        <v>124</v>
      </c>
      <c r="E20" s="9">
        <v>3202634990</v>
      </c>
      <c r="F20" s="9">
        <f t="shared" ca="1" si="0"/>
        <v>26</v>
      </c>
      <c r="G20" s="10">
        <v>35870</v>
      </c>
      <c r="H20" s="8" t="s">
        <v>183</v>
      </c>
      <c r="I20" s="8" t="s">
        <v>184</v>
      </c>
      <c r="J20" s="8" t="s">
        <v>57</v>
      </c>
      <c r="K20" s="8" t="s">
        <v>58</v>
      </c>
      <c r="L20" s="8" t="s">
        <v>34</v>
      </c>
      <c r="M20" s="8" t="s">
        <v>24</v>
      </c>
      <c r="N20" s="8" t="s">
        <v>83</v>
      </c>
      <c r="O20" s="8" t="s">
        <v>81</v>
      </c>
      <c r="P20" s="11" t="s">
        <v>242</v>
      </c>
      <c r="Q20" s="8" t="s">
        <v>102</v>
      </c>
      <c r="R20" s="12" t="s">
        <v>108</v>
      </c>
      <c r="S20" s="13"/>
      <c r="T20" s="14">
        <v>90528709</v>
      </c>
      <c r="U20" s="8" t="s">
        <v>267</v>
      </c>
      <c r="V20" s="15"/>
      <c r="W20" s="16"/>
      <c r="X20" s="16"/>
      <c r="Y20" s="16"/>
      <c r="Z20" s="16"/>
    </row>
    <row r="21" spans="1:26" s="17" customFormat="1" x14ac:dyDescent="0.25">
      <c r="A21" s="7">
        <v>45549</v>
      </c>
      <c r="B21" s="8" t="s">
        <v>29</v>
      </c>
      <c r="C21" s="8">
        <v>1145928371</v>
      </c>
      <c r="D21" s="8" t="s">
        <v>125</v>
      </c>
      <c r="E21" s="9">
        <v>3008184190</v>
      </c>
      <c r="F21" s="9">
        <f t="shared" ca="1" si="0"/>
        <v>11</v>
      </c>
      <c r="G21" s="10">
        <v>41286</v>
      </c>
      <c r="H21" s="8" t="s">
        <v>185</v>
      </c>
      <c r="I21" s="8" t="s">
        <v>42</v>
      </c>
      <c r="J21" s="8" t="s">
        <v>186</v>
      </c>
      <c r="K21" s="8" t="s">
        <v>187</v>
      </c>
      <c r="L21" s="8" t="s">
        <v>34</v>
      </c>
      <c r="M21" s="8" t="s">
        <v>84</v>
      </c>
      <c r="N21" s="8" t="s">
        <v>83</v>
      </c>
      <c r="O21" s="8" t="s">
        <v>81</v>
      </c>
      <c r="P21" s="11" t="s">
        <v>98</v>
      </c>
      <c r="Q21" s="8" t="s">
        <v>105</v>
      </c>
      <c r="R21" s="12" t="s">
        <v>107</v>
      </c>
      <c r="S21" s="13"/>
      <c r="T21" s="14">
        <v>90544219</v>
      </c>
      <c r="U21" s="8" t="s">
        <v>268</v>
      </c>
      <c r="V21" s="15"/>
      <c r="W21" s="16"/>
      <c r="X21" s="16"/>
      <c r="Y21" s="16"/>
      <c r="Z21" s="16"/>
    </row>
    <row r="22" spans="1:26" s="17" customFormat="1" x14ac:dyDescent="0.25">
      <c r="A22" s="7">
        <v>45549</v>
      </c>
      <c r="B22" s="8" t="s">
        <v>20</v>
      </c>
      <c r="C22" s="8">
        <v>34566697</v>
      </c>
      <c r="D22" s="8" t="s">
        <v>125</v>
      </c>
      <c r="E22" s="9">
        <v>3008184190</v>
      </c>
      <c r="F22" s="9">
        <f t="shared" ca="1" si="0"/>
        <v>50</v>
      </c>
      <c r="G22" s="10">
        <v>27221</v>
      </c>
      <c r="H22" s="8" t="s">
        <v>188</v>
      </c>
      <c r="I22" s="8" t="s">
        <v>183</v>
      </c>
      <c r="J22" s="8" t="s">
        <v>189</v>
      </c>
      <c r="K22" s="8"/>
      <c r="L22" s="8" t="s">
        <v>34</v>
      </c>
      <c r="M22" s="8" t="s">
        <v>24</v>
      </c>
      <c r="N22" s="8" t="s">
        <v>83</v>
      </c>
      <c r="O22" s="8" t="s">
        <v>81</v>
      </c>
      <c r="P22" s="11"/>
      <c r="Q22" s="8" t="s">
        <v>102</v>
      </c>
      <c r="R22" s="12" t="s">
        <v>107</v>
      </c>
      <c r="S22" s="13"/>
      <c r="T22" s="14">
        <v>90544264</v>
      </c>
      <c r="U22" s="8" t="s">
        <v>269</v>
      </c>
      <c r="V22" s="15"/>
      <c r="W22" s="16"/>
      <c r="X22" s="16"/>
      <c r="Y22" s="16"/>
      <c r="Z22" s="16"/>
    </row>
    <row r="23" spans="1:26" s="17" customFormat="1" x14ac:dyDescent="0.25">
      <c r="A23" s="7">
        <v>45549</v>
      </c>
      <c r="B23" s="8" t="s">
        <v>20</v>
      </c>
      <c r="C23" s="8">
        <v>80073432</v>
      </c>
      <c r="D23" s="8" t="s">
        <v>126</v>
      </c>
      <c r="E23" s="9">
        <v>3112092098</v>
      </c>
      <c r="F23" s="9">
        <f t="shared" ca="1" si="0"/>
        <v>40</v>
      </c>
      <c r="G23" s="10">
        <v>30890</v>
      </c>
      <c r="H23" s="8" t="s">
        <v>49</v>
      </c>
      <c r="I23" s="8" t="s">
        <v>190</v>
      </c>
      <c r="J23" s="8" t="s">
        <v>59</v>
      </c>
      <c r="K23" s="8" t="s">
        <v>191</v>
      </c>
      <c r="L23" s="8" t="s">
        <v>34</v>
      </c>
      <c r="M23" s="8" t="s">
        <v>84</v>
      </c>
      <c r="N23" s="8" t="s">
        <v>83</v>
      </c>
      <c r="O23" s="8" t="s">
        <v>81</v>
      </c>
      <c r="P23" s="11" t="s">
        <v>243</v>
      </c>
      <c r="Q23" s="8" t="s">
        <v>102</v>
      </c>
      <c r="R23" s="12" t="s">
        <v>108</v>
      </c>
      <c r="S23" s="13"/>
      <c r="T23" s="14">
        <v>90542343</v>
      </c>
      <c r="U23" s="8" t="s">
        <v>270</v>
      </c>
      <c r="V23" s="15"/>
      <c r="W23" s="16"/>
      <c r="X23" s="16"/>
      <c r="Y23" s="16"/>
      <c r="Z23" s="16"/>
    </row>
    <row r="24" spans="1:26" s="17" customFormat="1" x14ac:dyDescent="0.25">
      <c r="A24" s="7">
        <v>45549</v>
      </c>
      <c r="B24" s="8" t="s">
        <v>20</v>
      </c>
      <c r="C24" s="8">
        <v>52812854</v>
      </c>
      <c r="D24" s="8" t="s">
        <v>127</v>
      </c>
      <c r="E24" s="9">
        <v>3502970097</v>
      </c>
      <c r="F24" s="9">
        <f t="shared" ca="1" si="0"/>
        <v>42</v>
      </c>
      <c r="G24" s="10">
        <v>30236</v>
      </c>
      <c r="H24" s="8" t="s">
        <v>60</v>
      </c>
      <c r="I24" s="8" t="s">
        <v>192</v>
      </c>
      <c r="J24" s="8" t="s">
        <v>193</v>
      </c>
      <c r="K24" s="8" t="s">
        <v>61</v>
      </c>
      <c r="L24" s="8" t="s">
        <v>34</v>
      </c>
      <c r="M24" s="8" t="s">
        <v>24</v>
      </c>
      <c r="N24" s="8" t="s">
        <v>83</v>
      </c>
      <c r="O24" s="8" t="s">
        <v>81</v>
      </c>
      <c r="P24" s="11" t="s">
        <v>99</v>
      </c>
      <c r="Q24" s="8" t="s">
        <v>105</v>
      </c>
      <c r="R24" s="12" t="s">
        <v>107</v>
      </c>
      <c r="S24" s="13"/>
      <c r="T24" s="14">
        <v>90544499</v>
      </c>
      <c r="U24" s="8" t="s">
        <v>271</v>
      </c>
      <c r="V24" s="15"/>
      <c r="W24" s="16"/>
      <c r="X24" s="16"/>
      <c r="Y24" s="16"/>
      <c r="Z24" s="16"/>
    </row>
    <row r="25" spans="1:26" s="17" customFormat="1" x14ac:dyDescent="0.25">
      <c r="A25" s="7">
        <v>45553</v>
      </c>
      <c r="B25" s="8" t="s">
        <v>20</v>
      </c>
      <c r="C25" s="8">
        <v>53159528</v>
      </c>
      <c r="D25" s="8" t="s">
        <v>128</v>
      </c>
      <c r="E25" s="9">
        <v>3164329337</v>
      </c>
      <c r="F25" s="9">
        <f t="shared" ca="1" si="0"/>
        <v>39</v>
      </c>
      <c r="G25" s="10">
        <v>31063</v>
      </c>
      <c r="H25" s="8" t="s">
        <v>194</v>
      </c>
      <c r="I25" s="8" t="s">
        <v>195</v>
      </c>
      <c r="J25" s="8" t="s">
        <v>57</v>
      </c>
      <c r="K25" s="8" t="s">
        <v>196</v>
      </c>
      <c r="L25" s="8" t="s">
        <v>34</v>
      </c>
      <c r="M25" s="8" t="s">
        <v>24</v>
      </c>
      <c r="N25" s="8" t="s">
        <v>83</v>
      </c>
      <c r="O25" s="8" t="s">
        <v>81</v>
      </c>
      <c r="P25" s="11" t="s">
        <v>94</v>
      </c>
      <c r="Q25" s="8" t="s">
        <v>102</v>
      </c>
      <c r="R25" s="12" t="s">
        <v>106</v>
      </c>
      <c r="S25" s="13"/>
      <c r="T25" s="14">
        <v>90544264</v>
      </c>
      <c r="U25" s="8" t="s">
        <v>272</v>
      </c>
      <c r="V25" s="15"/>
      <c r="W25" s="16"/>
      <c r="X25" s="16"/>
      <c r="Y25" s="16"/>
      <c r="Z25" s="16"/>
    </row>
    <row r="26" spans="1:26" s="17" customFormat="1" x14ac:dyDescent="0.25">
      <c r="A26" s="7">
        <v>45554</v>
      </c>
      <c r="B26" s="8" t="s">
        <v>20</v>
      </c>
      <c r="C26" s="8">
        <v>1032451357</v>
      </c>
      <c r="D26" s="8" t="s">
        <v>135</v>
      </c>
      <c r="E26" s="9">
        <v>3222076778</v>
      </c>
      <c r="F26" s="9">
        <f t="shared" ca="1" si="0"/>
        <v>32</v>
      </c>
      <c r="G26" s="10">
        <v>33817</v>
      </c>
      <c r="H26" s="8" t="s">
        <v>210</v>
      </c>
      <c r="I26" s="8" t="s">
        <v>68</v>
      </c>
      <c r="J26" s="8" t="s">
        <v>211</v>
      </c>
      <c r="K26" s="8" t="s">
        <v>208</v>
      </c>
      <c r="L26" s="8" t="s">
        <v>34</v>
      </c>
      <c r="M26" s="8" t="s">
        <v>24</v>
      </c>
      <c r="N26" s="8" t="s">
        <v>83</v>
      </c>
      <c r="O26" s="8" t="s">
        <v>81</v>
      </c>
      <c r="P26" s="11" t="s">
        <v>93</v>
      </c>
      <c r="Q26" s="8" t="s">
        <v>102</v>
      </c>
      <c r="R26" s="12" t="s">
        <v>106</v>
      </c>
      <c r="S26" s="13"/>
      <c r="T26" s="14">
        <v>92373392</v>
      </c>
      <c r="U26" s="8" t="s">
        <v>278</v>
      </c>
      <c r="V26" s="20"/>
      <c r="W26" s="16"/>
      <c r="X26" s="16"/>
      <c r="Y26" s="16"/>
    </row>
    <row r="27" spans="1:26" s="17" customFormat="1" x14ac:dyDescent="0.25">
      <c r="A27" s="7">
        <v>45554</v>
      </c>
      <c r="B27" s="8" t="s">
        <v>20</v>
      </c>
      <c r="C27" s="8">
        <v>1022384962</v>
      </c>
      <c r="D27" s="8" t="s">
        <v>290</v>
      </c>
      <c r="E27" s="9">
        <v>3125951826</v>
      </c>
      <c r="F27" s="9">
        <f t="shared" ca="1" si="0"/>
        <v>31</v>
      </c>
      <c r="G27" s="10">
        <v>34165</v>
      </c>
      <c r="H27" s="8" t="s">
        <v>291</v>
      </c>
      <c r="I27" s="8" t="s">
        <v>292</v>
      </c>
      <c r="J27" s="8" t="s">
        <v>293</v>
      </c>
      <c r="K27" s="8" t="s">
        <v>294</v>
      </c>
      <c r="L27" s="8" t="s">
        <v>34</v>
      </c>
      <c r="M27" s="8" t="s">
        <v>24</v>
      </c>
      <c r="N27" s="8" t="s">
        <v>83</v>
      </c>
      <c r="O27" s="8" t="s">
        <v>81</v>
      </c>
      <c r="P27" s="11" t="s">
        <v>93</v>
      </c>
      <c r="Q27" s="8" t="s">
        <v>105</v>
      </c>
      <c r="R27" s="12" t="s">
        <v>106</v>
      </c>
      <c r="S27" s="13"/>
      <c r="T27" s="14">
        <v>91094449</v>
      </c>
      <c r="U27" s="8" t="s">
        <v>295</v>
      </c>
      <c r="V27" s="15"/>
      <c r="W27" s="16"/>
      <c r="X27" s="16"/>
      <c r="Y27" s="16"/>
      <c r="Z27" s="16"/>
    </row>
    <row r="28" spans="1:26" s="17" customFormat="1" x14ac:dyDescent="0.25">
      <c r="A28" s="7">
        <v>45554</v>
      </c>
      <c r="B28" s="8" t="s">
        <v>20</v>
      </c>
      <c r="C28" s="8">
        <v>1020819902</v>
      </c>
      <c r="D28" s="8" t="s">
        <v>129</v>
      </c>
      <c r="E28" s="9">
        <v>3213253939</v>
      </c>
      <c r="F28" s="9">
        <f t="shared" ca="1" si="0"/>
        <v>28</v>
      </c>
      <c r="G28" s="10">
        <v>35365</v>
      </c>
      <c r="H28" s="8" t="s">
        <v>35</v>
      </c>
      <c r="I28" s="8" t="s">
        <v>197</v>
      </c>
      <c r="J28" s="8" t="s">
        <v>198</v>
      </c>
      <c r="K28" s="8" t="s">
        <v>55</v>
      </c>
      <c r="L28" s="8" t="s">
        <v>34</v>
      </c>
      <c r="M28" s="8" t="s">
        <v>24</v>
      </c>
      <c r="N28" s="8" t="s">
        <v>82</v>
      </c>
      <c r="O28" s="8" t="s">
        <v>81</v>
      </c>
      <c r="P28" s="11" t="s">
        <v>93</v>
      </c>
      <c r="Q28" s="8" t="s">
        <v>102</v>
      </c>
      <c r="R28" s="12" t="s">
        <v>106</v>
      </c>
      <c r="S28" s="13"/>
      <c r="T28" s="14">
        <v>90655089</v>
      </c>
      <c r="U28" s="8" t="s">
        <v>273</v>
      </c>
      <c r="V28" s="15"/>
      <c r="W28" s="16"/>
      <c r="X28" s="16"/>
      <c r="Y28" s="16"/>
      <c r="Z28" s="16"/>
    </row>
    <row r="29" spans="1:26" s="17" customFormat="1" x14ac:dyDescent="0.25">
      <c r="A29" s="7">
        <v>45554</v>
      </c>
      <c r="B29" s="8" t="s">
        <v>20</v>
      </c>
      <c r="C29" s="8">
        <v>1019051465</v>
      </c>
      <c r="D29" s="8" t="s">
        <v>130</v>
      </c>
      <c r="E29" s="9">
        <v>3142331988</v>
      </c>
      <c r="F29" s="9">
        <f t="shared" ca="1" si="0"/>
        <v>34</v>
      </c>
      <c r="G29" s="10">
        <v>33081</v>
      </c>
      <c r="H29" s="8" t="s">
        <v>62</v>
      </c>
      <c r="I29" s="8" t="s">
        <v>199</v>
      </c>
      <c r="J29" s="8" t="s">
        <v>200</v>
      </c>
      <c r="K29" s="8" t="s">
        <v>201</v>
      </c>
      <c r="L29" s="8" t="s">
        <v>34</v>
      </c>
      <c r="M29" s="8" t="s">
        <v>84</v>
      </c>
      <c r="N29" s="8" t="s">
        <v>83</v>
      </c>
      <c r="O29" s="8" t="s">
        <v>81</v>
      </c>
      <c r="P29" s="11" t="s">
        <v>100</v>
      </c>
      <c r="Q29" s="8" t="s">
        <v>102</v>
      </c>
      <c r="R29" s="12" t="s">
        <v>106</v>
      </c>
      <c r="S29" s="13"/>
      <c r="T29" s="14">
        <v>90999274</v>
      </c>
      <c r="U29" s="8" t="s">
        <v>274</v>
      </c>
      <c r="V29" s="15"/>
      <c r="W29" s="16"/>
      <c r="X29" s="16"/>
      <c r="Y29" s="16"/>
      <c r="Z29" s="16"/>
    </row>
    <row r="30" spans="1:26" s="17" customFormat="1" x14ac:dyDescent="0.25">
      <c r="A30" s="7">
        <v>45554</v>
      </c>
      <c r="B30" s="8" t="s">
        <v>20</v>
      </c>
      <c r="C30" s="8">
        <v>52871614</v>
      </c>
      <c r="D30" s="8" t="s">
        <v>132</v>
      </c>
      <c r="E30" s="9">
        <v>3183880810</v>
      </c>
      <c r="F30" s="9">
        <f t="shared" ca="1" si="0"/>
        <v>43</v>
      </c>
      <c r="G30" s="10">
        <v>29705</v>
      </c>
      <c r="H30" s="8" t="s">
        <v>63</v>
      </c>
      <c r="I30" s="8" t="s">
        <v>206</v>
      </c>
      <c r="J30" s="8" t="s">
        <v>23</v>
      </c>
      <c r="K30" s="8" t="s">
        <v>55</v>
      </c>
      <c r="L30" s="8" t="s">
        <v>34</v>
      </c>
      <c r="M30" s="8" t="s">
        <v>24</v>
      </c>
      <c r="N30" s="8" t="s">
        <v>83</v>
      </c>
      <c r="O30" s="8" t="s">
        <v>81</v>
      </c>
      <c r="P30" s="11" t="s">
        <v>244</v>
      </c>
      <c r="Q30" s="8" t="s">
        <v>105</v>
      </c>
      <c r="R30" s="12" t="s">
        <v>106</v>
      </c>
      <c r="S30" s="13"/>
      <c r="T30" s="14">
        <v>90995889</v>
      </c>
      <c r="U30" s="8" t="s">
        <v>276</v>
      </c>
      <c r="V30" s="15"/>
      <c r="W30" s="16"/>
      <c r="X30" s="16"/>
      <c r="Y30" s="16"/>
      <c r="Z30" s="16"/>
    </row>
    <row r="31" spans="1:26" s="17" customFormat="1" x14ac:dyDescent="0.25">
      <c r="A31" s="7">
        <v>45554</v>
      </c>
      <c r="B31" s="8" t="s">
        <v>20</v>
      </c>
      <c r="C31" s="8">
        <v>80426634</v>
      </c>
      <c r="D31" s="8" t="s">
        <v>30</v>
      </c>
      <c r="E31" s="9">
        <v>3105699160</v>
      </c>
      <c r="F31" s="9">
        <f t="shared" ca="1" si="0"/>
        <v>52</v>
      </c>
      <c r="G31" s="10">
        <v>26652</v>
      </c>
      <c r="H31" s="8" t="s">
        <v>64</v>
      </c>
      <c r="I31" s="8" t="s">
        <v>42</v>
      </c>
      <c r="J31" s="8" t="s">
        <v>65</v>
      </c>
      <c r="K31" s="8" t="s">
        <v>66</v>
      </c>
      <c r="L31" s="8" t="s">
        <v>34</v>
      </c>
      <c r="M31" s="8" t="s">
        <v>84</v>
      </c>
      <c r="N31" s="8" t="s">
        <v>25</v>
      </c>
      <c r="O31" s="8" t="s">
        <v>81</v>
      </c>
      <c r="P31" s="11" t="s">
        <v>98</v>
      </c>
      <c r="Q31" s="8" t="s">
        <v>102</v>
      </c>
      <c r="R31" s="12" t="s">
        <v>106</v>
      </c>
      <c r="S31" s="13"/>
      <c r="T31" s="14">
        <v>90999139</v>
      </c>
      <c r="U31" s="8" t="s">
        <v>296</v>
      </c>
      <c r="V31" s="15"/>
      <c r="W31" s="16"/>
      <c r="X31" s="16"/>
      <c r="Y31" s="16"/>
      <c r="Z31" s="16"/>
    </row>
    <row r="32" spans="1:26" s="17" customFormat="1" x14ac:dyDescent="0.25">
      <c r="A32" s="7">
        <v>45554</v>
      </c>
      <c r="B32" s="8" t="s">
        <v>20</v>
      </c>
      <c r="C32" s="8">
        <v>52933391</v>
      </c>
      <c r="D32" s="8" t="s">
        <v>133</v>
      </c>
      <c r="E32" s="9">
        <v>3142362790</v>
      </c>
      <c r="F32" s="9">
        <f t="shared" ca="1" si="0"/>
        <v>41</v>
      </c>
      <c r="G32" s="10">
        <v>30434</v>
      </c>
      <c r="H32" s="8" t="s">
        <v>207</v>
      </c>
      <c r="I32" s="8" t="s">
        <v>176</v>
      </c>
      <c r="J32" s="8" t="s">
        <v>208</v>
      </c>
      <c r="K32" s="8" t="s">
        <v>23</v>
      </c>
      <c r="L32" s="8" t="s">
        <v>34</v>
      </c>
      <c r="M32" s="8" t="s">
        <v>24</v>
      </c>
      <c r="N32" s="8" t="s">
        <v>83</v>
      </c>
      <c r="O32" s="8" t="s">
        <v>81</v>
      </c>
      <c r="P32" s="11" t="s">
        <v>26</v>
      </c>
      <c r="Q32" s="8" t="s">
        <v>102</v>
      </c>
      <c r="R32" s="12" t="s">
        <v>106</v>
      </c>
      <c r="S32" s="13"/>
      <c r="T32" s="14">
        <v>90999088</v>
      </c>
      <c r="U32" s="8" t="s">
        <v>297</v>
      </c>
      <c r="V32" s="15"/>
      <c r="W32" s="16"/>
      <c r="X32" s="16"/>
      <c r="Y32" s="16"/>
      <c r="Z32" s="16"/>
    </row>
    <row r="33" spans="1:26" s="17" customFormat="1" x14ac:dyDescent="0.25">
      <c r="A33" s="7">
        <v>45554</v>
      </c>
      <c r="B33" s="8" t="s">
        <v>20</v>
      </c>
      <c r="C33" s="8">
        <v>51754604</v>
      </c>
      <c r="D33" s="8" t="s">
        <v>134</v>
      </c>
      <c r="E33" s="9">
        <v>3115665561</v>
      </c>
      <c r="F33" s="9">
        <f t="shared" ca="1" si="0"/>
        <v>61</v>
      </c>
      <c r="G33" s="10">
        <v>23324</v>
      </c>
      <c r="H33" s="8" t="s">
        <v>21</v>
      </c>
      <c r="I33" s="8" t="s">
        <v>67</v>
      </c>
      <c r="J33" s="8" t="s">
        <v>209</v>
      </c>
      <c r="K33" s="8"/>
      <c r="L33" s="8" t="s">
        <v>34</v>
      </c>
      <c r="M33" s="8" t="s">
        <v>24</v>
      </c>
      <c r="N33" s="8" t="s">
        <v>87</v>
      </c>
      <c r="O33" s="8" t="s">
        <v>81</v>
      </c>
      <c r="P33" s="11" t="s">
        <v>241</v>
      </c>
      <c r="Q33" s="8" t="s">
        <v>102</v>
      </c>
      <c r="R33" s="12" t="s">
        <v>106</v>
      </c>
      <c r="S33" s="13"/>
      <c r="T33" s="14">
        <v>90999034</v>
      </c>
      <c r="U33" s="8" t="s">
        <v>277</v>
      </c>
      <c r="V33" s="15"/>
      <c r="W33" s="16"/>
      <c r="X33" s="16"/>
      <c r="Y33" s="16"/>
      <c r="Z33" s="16"/>
    </row>
    <row r="34" spans="1:26" s="17" customFormat="1" x14ac:dyDescent="0.25">
      <c r="A34" s="7">
        <v>45555</v>
      </c>
      <c r="B34" s="8" t="s">
        <v>31</v>
      </c>
      <c r="C34" s="8">
        <v>1014872320</v>
      </c>
      <c r="D34" s="8" t="s">
        <v>299</v>
      </c>
      <c r="E34" s="9">
        <v>3058147239</v>
      </c>
      <c r="F34" s="9">
        <f ca="1">YEAR(NOW())-YEAR(G34)</f>
        <v>15</v>
      </c>
      <c r="G34" s="10">
        <v>40081</v>
      </c>
      <c r="H34" s="8" t="s">
        <v>300</v>
      </c>
      <c r="I34" s="8" t="s">
        <v>301</v>
      </c>
      <c r="J34" s="8" t="s">
        <v>302</v>
      </c>
      <c r="K34" s="8" t="s">
        <v>55</v>
      </c>
      <c r="L34" s="8" t="s">
        <v>34</v>
      </c>
      <c r="M34" s="8" t="s">
        <v>84</v>
      </c>
      <c r="N34" s="8" t="s">
        <v>83</v>
      </c>
      <c r="O34" s="8" t="s">
        <v>81</v>
      </c>
      <c r="P34" s="11" t="s">
        <v>245</v>
      </c>
      <c r="Q34" s="8" t="s">
        <v>102</v>
      </c>
      <c r="R34" s="12" t="s">
        <v>107</v>
      </c>
      <c r="S34" s="13"/>
      <c r="T34" s="14">
        <v>91079310</v>
      </c>
      <c r="U34" s="8" t="s">
        <v>303</v>
      </c>
      <c r="V34" s="15"/>
      <c r="W34" s="16"/>
      <c r="X34" s="16"/>
      <c r="Y34" s="16"/>
      <c r="Z34" s="16"/>
    </row>
    <row r="35" spans="1:26" s="17" customFormat="1" x14ac:dyDescent="0.25">
      <c r="A35" s="7">
        <v>45555</v>
      </c>
      <c r="B35" s="8" t="s">
        <v>20</v>
      </c>
      <c r="C35" s="8">
        <v>80895530</v>
      </c>
      <c r="D35" s="8" t="s">
        <v>136</v>
      </c>
      <c r="E35" s="9">
        <v>3016490297</v>
      </c>
      <c r="F35" s="9">
        <f t="shared" ca="1" si="0"/>
        <v>38</v>
      </c>
      <c r="G35" s="10">
        <v>31585</v>
      </c>
      <c r="H35" s="8" t="s">
        <v>161</v>
      </c>
      <c r="I35" s="8" t="s">
        <v>212</v>
      </c>
      <c r="J35" s="8" t="s">
        <v>213</v>
      </c>
      <c r="K35" s="8" t="s">
        <v>69</v>
      </c>
      <c r="L35" s="8" t="s">
        <v>34</v>
      </c>
      <c r="M35" s="8" t="s">
        <v>84</v>
      </c>
      <c r="N35" s="8" t="s">
        <v>83</v>
      </c>
      <c r="O35" s="8" t="s">
        <v>81</v>
      </c>
      <c r="P35" s="11" t="s">
        <v>99</v>
      </c>
      <c r="Q35" s="8" t="s">
        <v>102</v>
      </c>
      <c r="R35" s="12" t="s">
        <v>107</v>
      </c>
      <c r="S35" s="13"/>
      <c r="T35" s="14">
        <v>92377773</v>
      </c>
      <c r="U35" s="8" t="s">
        <v>279</v>
      </c>
      <c r="V35" s="20"/>
      <c r="W35" s="16"/>
      <c r="X35" s="16"/>
      <c r="Y35" s="16"/>
    </row>
    <row r="36" spans="1:26" s="17" customFormat="1" x14ac:dyDescent="0.25">
      <c r="A36" s="7">
        <v>45555</v>
      </c>
      <c r="B36" s="8" t="s">
        <v>20</v>
      </c>
      <c r="C36" s="8">
        <v>1023878380</v>
      </c>
      <c r="D36" s="8" t="s">
        <v>137</v>
      </c>
      <c r="E36" s="9">
        <v>3165220738</v>
      </c>
      <c r="F36" s="9">
        <f t="shared" ca="1" si="0"/>
        <v>36</v>
      </c>
      <c r="G36" s="10">
        <v>32429</v>
      </c>
      <c r="H36" s="8" t="s">
        <v>44</v>
      </c>
      <c r="I36" s="8" t="s">
        <v>214</v>
      </c>
      <c r="J36" s="8" t="s">
        <v>215</v>
      </c>
      <c r="K36" s="8" t="s">
        <v>70</v>
      </c>
      <c r="L36" s="8" t="s">
        <v>34</v>
      </c>
      <c r="M36" s="8" t="s">
        <v>84</v>
      </c>
      <c r="N36" s="8" t="s">
        <v>216</v>
      </c>
      <c r="O36" s="8" t="s">
        <v>81</v>
      </c>
      <c r="P36" s="11" t="s">
        <v>245</v>
      </c>
      <c r="Q36" s="8" t="s">
        <v>105</v>
      </c>
      <c r="R36" s="12" t="s">
        <v>107</v>
      </c>
      <c r="S36" s="13"/>
      <c r="T36" s="14">
        <v>90911978</v>
      </c>
      <c r="U36" s="8" t="s">
        <v>280</v>
      </c>
      <c r="V36" s="15"/>
      <c r="W36" s="16"/>
      <c r="X36" s="16"/>
      <c r="Y36" s="16"/>
      <c r="Z36" s="16"/>
    </row>
    <row r="37" spans="1:26" s="17" customFormat="1" x14ac:dyDescent="0.25">
      <c r="A37" s="7">
        <v>45555</v>
      </c>
      <c r="B37" s="8" t="s">
        <v>20</v>
      </c>
      <c r="C37" s="8">
        <v>51743823</v>
      </c>
      <c r="D37" s="8" t="s">
        <v>138</v>
      </c>
      <c r="E37" s="9">
        <v>3167352270</v>
      </c>
      <c r="F37" s="9">
        <f t="shared" ca="1" si="0"/>
        <v>60</v>
      </c>
      <c r="G37" s="10">
        <v>23650</v>
      </c>
      <c r="H37" s="8" t="s">
        <v>217</v>
      </c>
      <c r="I37" s="8" t="s">
        <v>218</v>
      </c>
      <c r="J37" s="8" t="s">
        <v>219</v>
      </c>
      <c r="K37" s="8" t="s">
        <v>220</v>
      </c>
      <c r="L37" s="8" t="s">
        <v>34</v>
      </c>
      <c r="M37" s="8" t="s">
        <v>24</v>
      </c>
      <c r="N37" s="8" t="s">
        <v>216</v>
      </c>
      <c r="O37" s="8" t="s">
        <v>81</v>
      </c>
      <c r="P37" s="11" t="s">
        <v>246</v>
      </c>
      <c r="Q37" s="8" t="s">
        <v>102</v>
      </c>
      <c r="R37" s="12" t="s">
        <v>107</v>
      </c>
      <c r="S37" s="13"/>
      <c r="T37" s="14">
        <v>90902437</v>
      </c>
      <c r="U37" s="8" t="s">
        <v>281</v>
      </c>
      <c r="V37" s="15"/>
      <c r="W37" s="16"/>
      <c r="X37" s="16"/>
      <c r="Y37" s="16"/>
      <c r="Z37" s="16"/>
    </row>
    <row r="38" spans="1:26" s="17" customFormat="1" x14ac:dyDescent="0.25">
      <c r="A38" s="7">
        <v>45555</v>
      </c>
      <c r="B38" s="8" t="s">
        <v>20</v>
      </c>
      <c r="C38" s="8">
        <v>20225190</v>
      </c>
      <c r="D38" s="8" t="s">
        <v>139</v>
      </c>
      <c r="E38" s="9">
        <v>3007260342</v>
      </c>
      <c r="F38" s="9">
        <f t="shared" ca="1" si="0"/>
        <v>85</v>
      </c>
      <c r="G38" s="10">
        <v>14540</v>
      </c>
      <c r="H38" s="8" t="s">
        <v>218</v>
      </c>
      <c r="I38" s="8" t="s">
        <v>221</v>
      </c>
      <c r="J38" s="8" t="s">
        <v>222</v>
      </c>
      <c r="K38" s="8" t="s">
        <v>223</v>
      </c>
      <c r="L38" s="8" t="s">
        <v>34</v>
      </c>
      <c r="M38" s="8" t="s">
        <v>24</v>
      </c>
      <c r="N38" s="8" t="s">
        <v>216</v>
      </c>
      <c r="O38" s="8" t="s">
        <v>81</v>
      </c>
      <c r="P38" s="11" t="s">
        <v>101</v>
      </c>
      <c r="Q38" s="8" t="s">
        <v>102</v>
      </c>
      <c r="R38" s="12" t="s">
        <v>107</v>
      </c>
      <c r="S38" s="13"/>
      <c r="T38" s="14">
        <v>90861510</v>
      </c>
      <c r="U38" s="8" t="s">
        <v>282</v>
      </c>
      <c r="V38" s="15"/>
      <c r="W38" s="16"/>
      <c r="X38" s="16"/>
      <c r="Y38" s="16"/>
      <c r="Z38" s="16"/>
    </row>
    <row r="39" spans="1:26" s="17" customFormat="1" x14ac:dyDescent="0.25">
      <c r="A39" s="7">
        <v>45555</v>
      </c>
      <c r="B39" s="8" t="s">
        <v>20</v>
      </c>
      <c r="C39" s="8">
        <v>1032498313</v>
      </c>
      <c r="D39" s="8" t="s">
        <v>32</v>
      </c>
      <c r="E39" s="9">
        <v>3203469105</v>
      </c>
      <c r="F39" s="9">
        <f t="shared" ca="1" si="0"/>
        <v>26</v>
      </c>
      <c r="G39" s="10">
        <v>35959</v>
      </c>
      <c r="H39" s="8" t="s">
        <v>71</v>
      </c>
      <c r="I39" s="8" t="s">
        <v>72</v>
      </c>
      <c r="J39" s="8" t="s">
        <v>73</v>
      </c>
      <c r="K39" s="8" t="s">
        <v>74</v>
      </c>
      <c r="L39" s="8" t="s">
        <v>34</v>
      </c>
      <c r="M39" s="8" t="s">
        <v>24</v>
      </c>
      <c r="N39" s="8" t="s">
        <v>83</v>
      </c>
      <c r="O39" s="8" t="s">
        <v>81</v>
      </c>
      <c r="P39" s="11" t="s">
        <v>93</v>
      </c>
      <c r="Q39" s="8" t="s">
        <v>105</v>
      </c>
      <c r="R39" s="12" t="s">
        <v>107</v>
      </c>
      <c r="S39" s="13"/>
      <c r="T39" s="14">
        <v>92373406</v>
      </c>
      <c r="U39" s="8" t="s">
        <v>283</v>
      </c>
      <c r="V39" s="15"/>
      <c r="W39" s="16"/>
      <c r="X39" s="16"/>
      <c r="Y39" s="16"/>
      <c r="Z39" s="16"/>
    </row>
    <row r="40" spans="1:26" s="17" customFormat="1" x14ac:dyDescent="0.25">
      <c r="A40" s="7">
        <v>45563</v>
      </c>
      <c r="B40" s="8" t="s">
        <v>20</v>
      </c>
      <c r="C40" s="8">
        <v>1000714234</v>
      </c>
      <c r="D40" s="8" t="s">
        <v>140</v>
      </c>
      <c r="E40" s="9">
        <v>3054794046</v>
      </c>
      <c r="F40" s="9">
        <f t="shared" ca="1" si="0"/>
        <v>22</v>
      </c>
      <c r="G40" s="10">
        <v>37522</v>
      </c>
      <c r="H40" s="8" t="s">
        <v>224</v>
      </c>
      <c r="I40" s="8" t="s">
        <v>225</v>
      </c>
      <c r="J40" s="8" t="s">
        <v>226</v>
      </c>
      <c r="K40" s="8" t="s">
        <v>227</v>
      </c>
      <c r="L40" s="8" t="s">
        <v>34</v>
      </c>
      <c r="M40" s="8" t="s">
        <v>24</v>
      </c>
      <c r="N40" s="8" t="s">
        <v>88</v>
      </c>
      <c r="O40" s="8" t="s">
        <v>81</v>
      </c>
      <c r="P40" s="11" t="s">
        <v>93</v>
      </c>
      <c r="Q40" s="8" t="s">
        <v>102</v>
      </c>
      <c r="R40" s="12" t="s">
        <v>107</v>
      </c>
      <c r="S40" s="13"/>
      <c r="T40" s="14">
        <v>90859839</v>
      </c>
      <c r="U40" s="8" t="s">
        <v>284</v>
      </c>
      <c r="V40" s="15"/>
      <c r="W40" s="16"/>
      <c r="X40" s="16"/>
      <c r="Y40" s="16"/>
      <c r="Z40" s="16"/>
    </row>
    <row r="41" spans="1:26" s="17" customFormat="1" x14ac:dyDescent="0.25">
      <c r="A41" s="7">
        <v>45563</v>
      </c>
      <c r="B41" s="8" t="s">
        <v>20</v>
      </c>
      <c r="C41" s="8">
        <v>1072671284</v>
      </c>
      <c r="D41" s="8" t="s">
        <v>141</v>
      </c>
      <c r="E41" s="9">
        <v>3152627972</v>
      </c>
      <c r="F41" s="9">
        <f t="shared" ca="1" si="0"/>
        <v>26</v>
      </c>
      <c r="G41" s="10">
        <v>36120</v>
      </c>
      <c r="H41" s="8" t="s">
        <v>228</v>
      </c>
      <c r="I41" s="8" t="s">
        <v>75</v>
      </c>
      <c r="J41" s="8" t="s">
        <v>54</v>
      </c>
      <c r="K41" s="8" t="s">
        <v>76</v>
      </c>
      <c r="L41" s="8" t="s">
        <v>34</v>
      </c>
      <c r="M41" s="8" t="s">
        <v>24</v>
      </c>
      <c r="N41" s="8" t="s">
        <v>88</v>
      </c>
      <c r="O41" s="8" t="s">
        <v>81</v>
      </c>
      <c r="P41" s="11" t="s">
        <v>95</v>
      </c>
      <c r="Q41" s="8" t="s">
        <v>105</v>
      </c>
      <c r="R41" s="12" t="s">
        <v>107</v>
      </c>
      <c r="S41" s="13"/>
      <c r="T41" s="14">
        <v>90902411</v>
      </c>
      <c r="U41" s="8" t="s">
        <v>298</v>
      </c>
      <c r="V41" s="15"/>
      <c r="W41" s="16"/>
      <c r="X41" s="16"/>
      <c r="Y41" s="16"/>
      <c r="Z41" s="16"/>
    </row>
    <row r="42" spans="1:26" s="17" customFormat="1" x14ac:dyDescent="0.25">
      <c r="A42" s="7">
        <v>45563</v>
      </c>
      <c r="B42" s="8" t="s">
        <v>31</v>
      </c>
      <c r="C42" s="8">
        <v>1020002247</v>
      </c>
      <c r="D42" s="8" t="s">
        <v>143</v>
      </c>
      <c r="E42" s="9">
        <v>3125076957</v>
      </c>
      <c r="F42" s="9">
        <f t="shared" ca="1" si="0"/>
        <v>10</v>
      </c>
      <c r="G42" s="10">
        <v>41949</v>
      </c>
      <c r="H42" s="8" t="s">
        <v>231</v>
      </c>
      <c r="I42" s="8" t="s">
        <v>77</v>
      </c>
      <c r="J42" s="8" t="s">
        <v>78</v>
      </c>
      <c r="K42" s="8" t="s">
        <v>177</v>
      </c>
      <c r="L42" s="8" t="s">
        <v>34</v>
      </c>
      <c r="M42" s="8" t="s">
        <v>24</v>
      </c>
      <c r="N42" s="8" t="s">
        <v>89</v>
      </c>
      <c r="O42" s="8" t="s">
        <v>81</v>
      </c>
      <c r="P42" s="11" t="s">
        <v>247</v>
      </c>
      <c r="Q42" s="8" t="s">
        <v>102</v>
      </c>
      <c r="R42" s="12" t="s">
        <v>107</v>
      </c>
      <c r="S42" s="13"/>
      <c r="T42" s="14">
        <v>90846989</v>
      </c>
      <c r="U42" s="8" t="s">
        <v>286</v>
      </c>
      <c r="V42" s="15"/>
      <c r="W42" s="16"/>
      <c r="X42" s="16"/>
      <c r="Y42" s="16"/>
      <c r="Z42" s="16"/>
    </row>
    <row r="43" spans="1:26" s="17" customFormat="1" x14ac:dyDescent="0.25">
      <c r="A43" s="7">
        <v>45565</v>
      </c>
      <c r="B43" s="8" t="s">
        <v>31</v>
      </c>
      <c r="C43" s="8">
        <v>1114000753</v>
      </c>
      <c r="D43" s="8" t="s">
        <v>144</v>
      </c>
      <c r="E43" s="9">
        <v>3104940522</v>
      </c>
      <c r="F43" s="9">
        <f t="shared" ca="1" si="0"/>
        <v>17</v>
      </c>
      <c r="G43" s="10">
        <v>39213</v>
      </c>
      <c r="H43" s="8" t="s">
        <v>232</v>
      </c>
      <c r="I43" s="8" t="s">
        <v>79</v>
      </c>
      <c r="J43" s="8" t="s">
        <v>233</v>
      </c>
      <c r="K43" s="8" t="s">
        <v>227</v>
      </c>
      <c r="L43" s="8" t="s">
        <v>34</v>
      </c>
      <c r="M43" s="8" t="s">
        <v>24</v>
      </c>
      <c r="N43" s="8" t="s">
        <v>234</v>
      </c>
      <c r="O43" s="8" t="s">
        <v>81</v>
      </c>
      <c r="P43" s="11" t="s">
        <v>96</v>
      </c>
      <c r="Q43" s="8" t="s">
        <v>102</v>
      </c>
      <c r="R43" s="12" t="s">
        <v>107</v>
      </c>
      <c r="S43" s="13"/>
      <c r="T43" s="14">
        <v>90878946</v>
      </c>
      <c r="U43" s="8" t="s">
        <v>287</v>
      </c>
      <c r="V43" s="15"/>
      <c r="W43" s="16"/>
      <c r="X43" s="16"/>
      <c r="Y43" s="16"/>
      <c r="Z43" s="16"/>
    </row>
  </sheetData>
  <autoFilter ref="A1:U43" xr:uid="{00000000-0001-0000-0000-000000000000}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1426-4CF4-484C-93E0-EA8E922C8294}">
  <dimension ref="A1:Z3"/>
  <sheetViews>
    <sheetView workbookViewId="0">
      <selection activeCell="A2" sqref="A2"/>
    </sheetView>
  </sheetViews>
  <sheetFormatPr baseColWidth="10" defaultRowHeight="15" x14ac:dyDescent="0.25"/>
  <cols>
    <col min="17" max="17" width="53.85546875" bestFit="1" customWidth="1"/>
    <col min="19" max="19" width="15.85546875" bestFit="1" customWidth="1"/>
    <col min="22" max="22" width="52.140625" style="19" customWidth="1"/>
  </cols>
  <sheetData>
    <row r="1" spans="1:26" ht="4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5" t="s">
        <v>103</v>
      </c>
      <c r="T1" s="6" t="s">
        <v>18</v>
      </c>
      <c r="U1" s="6" t="s">
        <v>19</v>
      </c>
      <c r="V1" s="18"/>
    </row>
    <row r="2" spans="1:26" s="17" customFormat="1" x14ac:dyDescent="0.25">
      <c r="A2" s="7">
        <v>45554</v>
      </c>
      <c r="B2" s="8" t="s">
        <v>20</v>
      </c>
      <c r="C2" s="8">
        <v>1090420848</v>
      </c>
      <c r="D2" s="8" t="s">
        <v>131</v>
      </c>
      <c r="E2" s="9">
        <v>3007602687</v>
      </c>
      <c r="F2" s="9"/>
      <c r="G2" s="10">
        <v>33069</v>
      </c>
      <c r="H2" s="8" t="s">
        <v>202</v>
      </c>
      <c r="I2" s="8" t="s">
        <v>203</v>
      </c>
      <c r="J2" s="8" t="s">
        <v>204</v>
      </c>
      <c r="K2" s="8" t="s">
        <v>205</v>
      </c>
      <c r="L2" s="8" t="s">
        <v>34</v>
      </c>
      <c r="M2" s="8" t="s">
        <v>24</v>
      </c>
      <c r="N2" s="8" t="s">
        <v>83</v>
      </c>
      <c r="O2" s="8" t="s">
        <v>81</v>
      </c>
      <c r="P2" s="11" t="s">
        <v>26</v>
      </c>
      <c r="Q2" s="8" t="s">
        <v>102</v>
      </c>
      <c r="R2" s="12" t="s">
        <v>106</v>
      </c>
      <c r="S2" s="13"/>
      <c r="T2" s="14"/>
      <c r="U2" s="8" t="s">
        <v>275</v>
      </c>
      <c r="V2" s="20" t="s">
        <v>288</v>
      </c>
      <c r="W2" s="15"/>
      <c r="X2" s="16"/>
      <c r="Y2" s="16"/>
      <c r="Z2" s="16"/>
    </row>
    <row r="3" spans="1:26" s="17" customFormat="1" ht="30" x14ac:dyDescent="0.25">
      <c r="A3" s="7">
        <v>45563</v>
      </c>
      <c r="B3" s="8" t="s">
        <v>20</v>
      </c>
      <c r="C3" s="8">
        <v>53105027</v>
      </c>
      <c r="D3" s="8" t="s">
        <v>142</v>
      </c>
      <c r="E3" s="9">
        <v>3103435270</v>
      </c>
      <c r="F3" s="9"/>
      <c r="G3" s="10">
        <v>30811</v>
      </c>
      <c r="H3" s="8" t="s">
        <v>229</v>
      </c>
      <c r="I3" s="8" t="s">
        <v>230</v>
      </c>
      <c r="J3" s="8" t="s">
        <v>196</v>
      </c>
      <c r="K3" s="8"/>
      <c r="L3" s="8" t="s">
        <v>34</v>
      </c>
      <c r="M3" s="8" t="s">
        <v>24</v>
      </c>
      <c r="N3" s="8" t="s">
        <v>88</v>
      </c>
      <c r="O3" s="8" t="s">
        <v>81</v>
      </c>
      <c r="P3" s="11" t="s">
        <v>242</v>
      </c>
      <c r="Q3" s="8" t="s">
        <v>102</v>
      </c>
      <c r="R3" s="12" t="s">
        <v>107</v>
      </c>
      <c r="S3" s="13"/>
      <c r="T3" s="14" t="s">
        <v>248</v>
      </c>
      <c r="U3" s="8" t="s">
        <v>285</v>
      </c>
      <c r="V3" s="20" t="s">
        <v>289</v>
      </c>
      <c r="W3" s="15"/>
      <c r="X3" s="16"/>
      <c r="Y3" s="16"/>
      <c r="Z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SEPTIEMBRE</vt:lpstr>
      <vt:lpstr>NOVEDADES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2024-07-11T13:48:22Z</dcterms:created>
  <dcterms:modified xsi:type="dcterms:W3CDTF">2024-12-11T18:29:04Z</dcterms:modified>
</cp:coreProperties>
</file>