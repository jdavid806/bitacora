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uro\OneDrive\Escritorio\"/>
    </mc:Choice>
  </mc:AlternateContent>
  <xr:revisionPtr revIDLastSave="0" documentId="13_ncr:1_{2EB5692B-87CC-4EDB-8CA9-1CE7E9352F09}" xr6:coauthVersionLast="47" xr6:coauthVersionMax="47" xr10:uidLastSave="{00000000-0000-0000-0000-000000000000}"/>
  <bookViews>
    <workbookView xWindow="28680" yWindow="-120" windowWidth="29040" windowHeight="15840" xr2:uid="{E23A7C59-8C0B-40D5-A4A7-87EF8693B3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tc={3A0557C6-A80A-46A0-A148-AA05F22000FC}</author>
    <author>tc={40D9DD55-B703-4845-8FDC-72C1FE61FD85}</author>
    <author>tc={A7E9A5CA-7EC0-4A5D-9FCE-228EB55C6D97}</author>
    <author>tc={F4D9BA00-618F-40A5-B60D-7F6D37C24611}</author>
    <author>tc={3C5883E3-C452-4EF6-8DD8-992687BCEB17}</author>
    <author>tc={882B5C70-95E7-4172-86E6-9C3478DC1DB9}</author>
    <author>tc={5D098CCB-9C87-4139-A5D8-21B4CD721CC9}</author>
  </authors>
  <commentList>
    <comment ref="H1" authorId="0" shapeId="0" xr:uid="{3A0557C6-A80A-46A0-A148-AA05F22000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DEBE PONER: AÑO/MES/DIA MAS ADELANTE.</t>
      </text>
    </comment>
    <comment ref="J1" authorId="1" shapeId="0" xr:uid="{40D9DD55-B703-4845-8FDC-72C1FE61FD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NOS FALTA AGREGAR AL SOFTWARE VARIOS TIPOS : DE CONTRIBUTIVO,SUBSIDIADO, TOMADOR ETC, CUANDO SE PUEEDA HACER DESARROLLO LOS AGREGAMOS, POR AHORA LOS QUE ESTAN.</t>
      </text>
    </comment>
    <comment ref="P1" authorId="2" shapeId="0" xr:uid="{A7E9A5CA-7EC0-4A5D-9FCE-228EB55C6D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SOFTWARE ESTA MASCULINO Y FEMENINO, MAS ADELANTE DEBEMOS CAMBIARLO A HOMBRE O MUJER</t>
      </text>
    </comment>
    <comment ref="Q1" authorId="3" shapeId="0" xr:uid="{F4D9BA00-618F-40A5-B60D-7F6D37C246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“NACIONALIDAD”</t>
      </text>
    </comment>
    <comment ref="S1" authorId="4" shapeId="0" xr:uid="{3C5883E3-C452-4EF6-8DD8-992687BCEB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“ZONA RESIDENCIAL”</t>
      </text>
    </comment>
    <comment ref="T1" authorId="5" shapeId="0" xr:uid="{882B5C70-95E7-4172-86E6-9C3478DC1D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“PAIS DE RESIDENCIA”</t>
      </text>
    </comment>
    <comment ref="V1" authorId="6" shapeId="0" xr:uid="{5D098CCB-9C87-4139-A5D8-21B4CD721C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SE VA A MODIFICAR MAS ADELANTE, EL DATO SE VA A TOMAR DESDE EVOLUCIONES DESDE UN CAMPO OBLIGATORIO, LLAMADO “SEDE DONDE SE PRESTO EL SERVICIO”.TAMBIEN SE DEBEN AGREGAR ALGUNAS SEDES.</t>
      </text>
    </comment>
  </commentList>
</comments>
</file>

<file path=xl/sharedStrings.xml><?xml version="1.0" encoding="utf-8"?>
<sst xmlns="http://schemas.openxmlformats.org/spreadsheetml/2006/main" count="204" uniqueCount="103">
  <si>
    <t>TIPO DE DOCUMENTO DEL PROFESIONAL DE LA SALUD</t>
  </si>
  <si>
    <t>NUMERO DE DOCUMENTO DEL PROFESIONAL DE LA SALUD</t>
  </si>
  <si>
    <t>NOMBRE COMPLETO DEL PROFESIONAL DE LA SALUD</t>
  </si>
  <si>
    <r>
      <t xml:space="preserve">ESPECIALIDAD MEDICA </t>
    </r>
    <r>
      <rPr>
        <b/>
        <sz val="9"/>
        <color theme="0"/>
        <rFont val="Century Gothic"/>
        <family val="2"/>
      </rPr>
      <t>(Texto)</t>
    </r>
  </si>
  <si>
    <t>TIPO DOCUMENTO IDENTIFICACION PACIENTE</t>
  </si>
  <si>
    <t>NUMERO DOCUMENTO IDENTIFICACION PACIENTE</t>
  </si>
  <si>
    <t>NOMBRE COMPLETO DEL PACIENTE</t>
  </si>
  <si>
    <r>
      <t xml:space="preserve">FECHA NACIMIENTO
</t>
    </r>
    <r>
      <rPr>
        <b/>
        <sz val="9"/>
        <color theme="1"/>
        <rFont val="Century Gothic"/>
        <family val="2"/>
      </rPr>
      <t>(yyyy-mm-dd)</t>
    </r>
  </si>
  <si>
    <t>Edad</t>
  </si>
  <si>
    <t>TIPO DE USUARIO</t>
  </si>
  <si>
    <t>EPS</t>
  </si>
  <si>
    <r>
      <t xml:space="preserve">FECHA DE LA CONSULTA(EVOLUCION)
</t>
    </r>
    <r>
      <rPr>
        <b/>
        <sz val="9"/>
        <rFont val="Century Gothic"/>
        <family val="2"/>
      </rPr>
      <t>(yyyy-mm-dd)</t>
    </r>
  </si>
  <si>
    <t xml:space="preserve">HORA INICIAL DE LA CONSULTA
</t>
  </si>
  <si>
    <t xml:space="preserve">HORA FINAL DE LA CONSULTA
</t>
  </si>
  <si>
    <t>Hora Realización Software</t>
  </si>
  <si>
    <t>SEXO</t>
  </si>
  <si>
    <t>PAIS DE RESIDENCIA</t>
  </si>
  <si>
    <t>MUNICIPIO DE RESIDENCIA</t>
  </si>
  <si>
    <t>ZONA TERRITORIAL RESIDENCIA(Urbano-rural)</t>
  </si>
  <si>
    <t>PAIS DE ORIGEN</t>
  </si>
  <si>
    <t>DIAGNOSTICO</t>
  </si>
  <si>
    <t>Cedula</t>
  </si>
  <si>
    <t>MILDRED YANETH ESPITIA TRUJILLO</t>
  </si>
  <si>
    <t>Psicología clínica</t>
  </si>
  <si>
    <t>CC</t>
  </si>
  <si>
    <t>ABRAHAM FELIPE RUIZ GONZALEZ</t>
  </si>
  <si>
    <t>01 = Contributivo Cotizante</t>
  </si>
  <si>
    <t>EPS SANITAS SAS</t>
  </si>
  <si>
    <t>HOMBRE</t>
  </si>
  <si>
    <t>COLOMBIANA</t>
  </si>
  <si>
    <t>LA CALERA</t>
  </si>
  <si>
    <t>RURAL</t>
  </si>
  <si>
    <t>COLOMBIA</t>
  </si>
  <si>
    <t>G408 - OTRAS EPILEPSIAS | - | F799 - RETRASO MENTAL, NO ESPECIFICADO: DETERIORO DEL COMPORTAMIENTO DE GRADO NO ESPECIFICADO</t>
  </si>
  <si>
    <t>Sede 80</t>
  </si>
  <si>
    <t>LEIDY LORENA CAICEDO PANTOJA</t>
  </si>
  <si>
    <t>Terapia ocupacional</t>
  </si>
  <si>
    <t>TI</t>
  </si>
  <si>
    <t>ADELA AMAYA DE CARDENAS</t>
  </si>
  <si>
    <t>02 = Contributivo Beneficiario</t>
  </si>
  <si>
    <t>ALIANSALUD E.P.S</t>
  </si>
  <si>
    <t>MUJER</t>
  </si>
  <si>
    <t>BOGOTA DC</t>
  </si>
  <si>
    <t>URBANA</t>
  </si>
  <si>
    <t>F901 - TRASTORNO HIPERCINETICO DE LA CONDUCTA</t>
  </si>
  <si>
    <t>Sede 76</t>
  </si>
  <si>
    <t>LIZETH PAOLA ROMERO TENJO</t>
  </si>
  <si>
    <t>Hidroterapia</t>
  </si>
  <si>
    <t>ADELAIDA DE PINEDA</t>
  </si>
  <si>
    <t>03 = Contributivo Adicional</t>
  </si>
  <si>
    <t> PARTICULAR</t>
  </si>
  <si>
    <t>CHIA</t>
  </si>
  <si>
    <t>Q909 - SINDROME DE DOWN, NO ESPECIFICADO | Q909 - SINDROME DE DOWN, NO ESPECIFICADO</t>
  </si>
  <si>
    <t>Sede Corona</t>
  </si>
  <si>
    <t>JESSICA ANDREA GONZALEZ LONDOÑO</t>
  </si>
  <si>
    <t>ADELIA ULLOA RUBIANO</t>
  </si>
  <si>
    <t>04 = Subsidiado</t>
  </si>
  <si>
    <t>SALUD TOTAL S.A. E.P.S.</t>
  </si>
  <si>
    <t>F913 - TRASTORNO OPOSITOR DESAFIANTE</t>
  </si>
  <si>
    <t>LEYDI DANIELA PEÑA MOTTA</t>
  </si>
  <si>
    <t>ADIELA CAMACHO TIRADO</t>
  </si>
  <si>
    <t>05 = No Afiliado</t>
  </si>
  <si>
    <t>MUTUAL SER E.S.S</t>
  </si>
  <si>
    <t>F840 - AUTISMO EN LA NIÑEZ</t>
  </si>
  <si>
    <t>ANGELA LUCIA SANCHEZ BECERRA</t>
  </si>
  <si>
    <t>ADRIAN CAMILO CORREDOR TIBOCHA</t>
  </si>
  <si>
    <t>06 = Especial O Excepción Cotizante</t>
  </si>
  <si>
    <t>CAPITAL SALUD</t>
  </si>
  <si>
    <t>F845 - SINDROME DE ASPERGER</t>
  </si>
  <si>
    <t>KATHERINE MORA ROBAYO</t>
  </si>
  <si>
    <t>Neuropsicología</t>
  </si>
  <si>
    <t>ADRIAN GARZON RODRIGUEZ</t>
  </si>
  <si>
    <t>07 = Especial O Excepción Beneficiario</t>
  </si>
  <si>
    <t>ECOPETROL</t>
  </si>
  <si>
    <t>6A02 - Trastorno del espectro autista </t>
  </si>
  <si>
    <t>JHOHAN ALBERTO CARDENAS MUÑOZ</t>
  </si>
  <si>
    <t>Psicología</t>
  </si>
  <si>
    <t>RC</t>
  </si>
  <si>
    <t>ADRIANA LUCIA MARTINEZ FLORES</t>
  </si>
  <si>
    <t>08 = Personas Privadas De La Libertad A Cargo Del Fondo Nacional De Salud</t>
  </si>
  <si>
    <t>COMPENSAR E.P.S</t>
  </si>
  <si>
    <t>INES TERESA MARTINEZ CORDERO</t>
  </si>
  <si>
    <t>Rehabilitación cognitiva</t>
  </si>
  <si>
    <t>ADRIANA TERESA BECERRA TORRES</t>
  </si>
  <si>
    <t>09 = Tomador / Amparado ARL</t>
  </si>
  <si>
    <t>DANNA DEL PILAR OYOLA RODRIGUEZ</t>
  </si>
  <si>
    <t>CE</t>
  </si>
  <si>
    <t>AGENOR POLO SANDOVAL</t>
  </si>
  <si>
    <t>10 = Tomador / Amparado SOAT</t>
  </si>
  <si>
    <t>SOACHA</t>
  </si>
  <si>
    <t>F841 - AUTISMO ATIPICO</t>
  </si>
  <si>
    <t>AIDA HOJANA CARDONA QUINTERO</t>
  </si>
  <si>
    <t>11 = Tomador / Amparado Planes Voluntarios De Salud</t>
  </si>
  <si>
    <t>VENEZOLANA</t>
  </si>
  <si>
    <t>LAURA TATIANA RODRIGUEZ OTERO</t>
  </si>
  <si>
    <t>AIDA MARIA RODRIGUEZ DE AGUILAR</t>
  </si>
  <si>
    <t>12 = Particular</t>
  </si>
  <si>
    <t>R620 - RETARDO EN DESARROLLO | - | - | - | 6A00 - Trastornos del desarrollo intelectual </t>
  </si>
  <si>
    <t>ANDREA MARIA MELO OCHOA</t>
  </si>
  <si>
    <t>AIDEE ACEVEDO GALLO</t>
  </si>
  <si>
    <t>13 = Especial O Excepción No Cotizante Ley 352 De 1997</t>
  </si>
  <si>
    <t>F840 - AUTISMO EN LA NIÑEZ </t>
  </si>
  <si>
    <t>SEDE DONDE SE PRESTO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</si>
</sst>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8" x14ac:knownFonts="1">
    <font>
      <sz val="11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9"/>
      <color theme="1"/>
      <name val="Century Gothic"/>
      <family val="2"/>
    </font>
    <font>
      <b/>
      <sz val="9"/>
      <name val="Century Gothic"/>
      <family val="2"/>
    </font>
    <font>
      <sz val="10"/>
      <color theme="1"/>
      <name val="Aptos Narrow"/>
      <family val="2"/>
      <scheme val="minor"/>
    </font>
    <font>
      <sz val="7"/>
      <color rgb="FF333333"/>
      <name val="Arial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2" xfId="0" applyFont="1" applyBorder="1" applyAlignment="1">
      <alignment wrapText="1"/>
    </xf>
    <xf numFmtId="21" fontId="5" fillId="0" borderId="2" xfId="0" applyNumberFormat="1" applyFont="1" applyBorder="1" applyAlignment="1">
      <alignment wrapText="1"/>
    </xf>
    <xf numFmtId="2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urorehabilitar Bases de Datos" id="{80B1CDBE-E7C4-4935-AEA7-BE25370FDB2E}" userId="2072e79ad859b6cf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3-21T21:15:52.08" personId="{80B1CDBE-E7C4-4935-AEA7-BE25370FDB2E}" id="{3A0557C6-A80A-46A0-A148-AA05F22000FC}">
    <text>SE DEBE PONER: AÑO/MES/DIA MAS ADELANTE.</text>
  </threadedComment>
  <threadedComment ref="J1" dT="2025-03-21T21:19:05.69" personId="{80B1CDBE-E7C4-4935-AEA7-BE25370FDB2E}" id="{40D9DD55-B703-4845-8FDC-72C1FE61FD85}">
    <text>NOS FALTA AGREGAR AL SOFTWARE VARIOS TIPOS : DE CONTRIBUTIVO,SUBSIDIADO, TOMADOR ETC, CUANDO SE PUEEDA HACER DESARROLLO LOS AGREGAMOS, POR AHORA LOS QUE ESTAN.</text>
  </threadedComment>
  <threadedComment ref="P1" dT="2025-03-22T14:16:48.57" personId="{80B1CDBE-E7C4-4935-AEA7-BE25370FDB2E}" id="{A7E9A5CA-7EC0-4A5D-9FCE-228EB55C6D97}">
    <text>EN EL SOFTWARE ESTA MASCULINO Y FEMENINO, MAS ADELANTE DEBEMOS CAMBIARLO A HOMBRE O MUJER</text>
  </threadedComment>
  <threadedComment ref="Q1" dT="2025-03-21T21:02:46.84" personId="{80B1CDBE-E7C4-4935-AEA7-BE25370FDB2E}" id="{F4D9BA00-618F-40A5-B60D-7F6D37C24611}">
    <text>“NACIONALIDAD”</text>
  </threadedComment>
  <threadedComment ref="S1" dT="2025-03-21T21:06:13.87" personId="{80B1CDBE-E7C4-4935-AEA7-BE25370FDB2E}" id="{3C5883E3-C452-4EF6-8DD8-992687BCEB17}">
    <text>“ZONA RESIDENCIAL”</text>
  </threadedComment>
  <threadedComment ref="T1" dT="2025-03-21T21:04:18.92" personId="{80B1CDBE-E7C4-4935-AEA7-BE25370FDB2E}" id="{882B5C70-95E7-4172-86E6-9C3478DC1DB9}">
    <text>“PAIS DE RESIDENCIA”</text>
  </threadedComment>
  <threadedComment ref="V1" dT="2025-03-22T14:10:11.93" personId="{80B1CDBE-E7C4-4935-AEA7-BE25370FDB2E}" id="{5D098CCB-9C87-4139-A5D8-21B4CD721CC9}">
    <text>ESTO SE VA A MODIFICAR MAS ADELANTE, EL DATO SE VA A TOMAR DESDE EVOLUCIONES DESDE UN CAMPO OBLIGATORIO, LLAMADO “SEDE DONDE SE PRESTO EL SERVICIO”.TAMBIEN SE DEBEN AGREGAR ALGUNAS SEDES.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AEBF-3119-42AB-B2D4-8FDA2BDDB84E}">
  <dimension ref="A1:V26"/>
  <sheetViews>
    <sheetView tabSelected="1" workbookViewId="0">
      <selection activeCell="J19" sqref="J19"/>
    </sheetView>
  </sheetViews>
  <sheetFormatPr baseColWidth="10" defaultRowHeight="14.5" x14ac:dyDescent="0.35"/>
  <cols>
    <col min="1" max="1" width="16.1796875" customWidth="1"/>
    <col min="2" max="2" width="18.36328125" customWidth="1"/>
    <col min="3" max="3" width="32.453125" customWidth="1"/>
    <col min="4" max="4" width="22.26953125" customWidth="1"/>
    <col min="5" max="5" width="15.7265625" customWidth="1"/>
    <col min="6" max="6" width="15.54296875" customWidth="1"/>
    <col min="7" max="7" width="35.6328125" customWidth="1"/>
    <col min="8" max="8" width="12.90625" customWidth="1"/>
    <col min="9" max="9" width="6" customWidth="1"/>
    <col min="10" max="10" width="65" customWidth="1"/>
    <col min="11" max="11" width="20.453125" customWidth="1"/>
    <col min="12" max="12" width="22.26953125" customWidth="1"/>
    <col min="13" max="13" width="13.08984375" customWidth="1"/>
    <col min="14" max="14" width="12" customWidth="1"/>
    <col min="15" max="15" width="14.1796875" customWidth="1"/>
    <col min="16" max="16" width="8.81640625" customWidth="1"/>
    <col min="17" max="17" width="14.453125" customWidth="1"/>
    <col min="18" max="18" width="14" customWidth="1"/>
    <col min="19" max="19" width="14.1796875" customWidth="1"/>
    <col min="20" max="20" width="12" customWidth="1"/>
    <col min="21" max="21" width="118.1796875" customWidth="1"/>
    <col min="22" max="22" width="11.7265625" customWidth="1"/>
  </cols>
  <sheetData>
    <row r="1" spans="1:22" ht="50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102</v>
      </c>
    </row>
    <row r="2" spans="1:22" ht="15" thickBot="1" x14ac:dyDescent="0.4">
      <c r="A2" s="2" t="s">
        <v>21</v>
      </c>
      <c r="B2" s="2">
        <v>1070965802</v>
      </c>
      <c r="C2" s="3" t="s">
        <v>22</v>
      </c>
      <c r="D2" s="3" t="s">
        <v>23</v>
      </c>
      <c r="E2" s="2" t="s">
        <v>24</v>
      </c>
      <c r="F2" s="3">
        <v>246812</v>
      </c>
      <c r="G2" s="3" t="s">
        <v>25</v>
      </c>
      <c r="H2" s="4">
        <v>28220</v>
      </c>
      <c r="I2" s="5">
        <f ca="1">DATEDIF(H2,TODAY(),"Y")</f>
        <v>47</v>
      </c>
      <c r="J2" s="2" t="s">
        <v>26</v>
      </c>
      <c r="K2" s="3" t="s">
        <v>27</v>
      </c>
      <c r="L2" s="4">
        <v>45691</v>
      </c>
      <c r="M2" s="6">
        <v>0.71875</v>
      </c>
      <c r="N2" s="6">
        <v>0.75</v>
      </c>
      <c r="O2" s="6">
        <v>0.93268518518518517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7" t="s">
        <v>34</v>
      </c>
    </row>
    <row r="3" spans="1:22" ht="15" thickBot="1" x14ac:dyDescent="0.4">
      <c r="A3" s="2" t="s">
        <v>21</v>
      </c>
      <c r="B3" s="2">
        <v>1085258130</v>
      </c>
      <c r="C3" s="3" t="s">
        <v>35</v>
      </c>
      <c r="D3" s="3" t="s">
        <v>36</v>
      </c>
      <c r="E3" s="2" t="s">
        <v>37</v>
      </c>
      <c r="F3" s="3">
        <v>1016749117</v>
      </c>
      <c r="G3" s="3" t="s">
        <v>38</v>
      </c>
      <c r="H3" s="4">
        <v>42996</v>
      </c>
      <c r="I3" s="5">
        <f t="shared" ref="I3:I14" ca="1" si="0">DATEDIF(H3,TODAY(),"Y")</f>
        <v>7</v>
      </c>
      <c r="J3" s="2" t="s">
        <v>39</v>
      </c>
      <c r="K3" s="3" t="s">
        <v>40</v>
      </c>
      <c r="L3" s="4">
        <v>45689</v>
      </c>
      <c r="M3" s="6">
        <v>0.33333333333333331</v>
      </c>
      <c r="N3" s="6">
        <v>0.36458333333333331</v>
      </c>
      <c r="O3" s="6">
        <v>0.74633101851851846</v>
      </c>
      <c r="P3" s="2" t="s">
        <v>41</v>
      </c>
      <c r="Q3" s="2" t="s">
        <v>29</v>
      </c>
      <c r="R3" s="2" t="s">
        <v>42</v>
      </c>
      <c r="S3" s="2" t="s">
        <v>43</v>
      </c>
      <c r="T3" s="2" t="s">
        <v>32</v>
      </c>
      <c r="U3" s="2" t="s">
        <v>44</v>
      </c>
      <c r="V3" s="7" t="s">
        <v>45</v>
      </c>
    </row>
    <row r="4" spans="1:22" ht="15" thickBot="1" x14ac:dyDescent="0.4">
      <c r="A4" s="2" t="s">
        <v>21</v>
      </c>
      <c r="B4" s="2">
        <v>1014302724</v>
      </c>
      <c r="C4" s="3" t="s">
        <v>46</v>
      </c>
      <c r="D4" s="3" t="s">
        <v>47</v>
      </c>
      <c r="E4" s="2" t="s">
        <v>37</v>
      </c>
      <c r="F4" s="3">
        <v>41415446</v>
      </c>
      <c r="G4" s="3" t="s">
        <v>48</v>
      </c>
      <c r="H4" s="4">
        <v>42381</v>
      </c>
      <c r="I4" s="5">
        <f t="shared" ca="1" si="0"/>
        <v>9</v>
      </c>
      <c r="J4" s="2" t="s">
        <v>49</v>
      </c>
      <c r="K4" s="3" t="s">
        <v>50</v>
      </c>
      <c r="L4" s="4">
        <v>45692</v>
      </c>
      <c r="M4" s="6">
        <v>0.625</v>
      </c>
      <c r="N4" s="6">
        <v>0.65625</v>
      </c>
      <c r="O4" s="6">
        <v>0.74900462962962966</v>
      </c>
      <c r="P4" s="2" t="s">
        <v>41</v>
      </c>
      <c r="Q4" s="2" t="s">
        <v>29</v>
      </c>
      <c r="R4" s="2" t="s">
        <v>51</v>
      </c>
      <c r="S4" s="2" t="s">
        <v>31</v>
      </c>
      <c r="T4" s="2" t="s">
        <v>32</v>
      </c>
      <c r="U4" s="2" t="s">
        <v>52</v>
      </c>
      <c r="V4" s="7" t="s">
        <v>53</v>
      </c>
    </row>
    <row r="5" spans="1:22" ht="15" thickBot="1" x14ac:dyDescent="0.4">
      <c r="A5" s="2" t="s">
        <v>21</v>
      </c>
      <c r="B5" s="2">
        <v>1013688527</v>
      </c>
      <c r="C5" s="3" t="s">
        <v>54</v>
      </c>
      <c r="D5" s="3" t="s">
        <v>47</v>
      </c>
      <c r="E5" s="2" t="s">
        <v>37</v>
      </c>
      <c r="F5" s="3">
        <v>41416810</v>
      </c>
      <c r="G5" s="3" t="s">
        <v>55</v>
      </c>
      <c r="H5" s="4">
        <v>42231</v>
      </c>
      <c r="I5" s="5">
        <f t="shared" ca="1" si="0"/>
        <v>9</v>
      </c>
      <c r="J5" s="2" t="s">
        <v>56</v>
      </c>
      <c r="K5" s="3" t="s">
        <v>57</v>
      </c>
      <c r="L5" s="4">
        <v>45689</v>
      </c>
      <c r="M5" s="6">
        <v>0.60416666666666663</v>
      </c>
      <c r="N5" s="6">
        <v>0.63541666666666663</v>
      </c>
      <c r="O5" s="6">
        <v>0.80413194444444447</v>
      </c>
      <c r="P5" s="2" t="s">
        <v>41</v>
      </c>
      <c r="Q5" s="2" t="s">
        <v>29</v>
      </c>
      <c r="R5" s="2" t="s">
        <v>42</v>
      </c>
      <c r="S5" s="2" t="s">
        <v>43</v>
      </c>
      <c r="T5" s="2" t="s">
        <v>32</v>
      </c>
      <c r="U5" s="2" t="s">
        <v>58</v>
      </c>
      <c r="V5" s="7" t="s">
        <v>34</v>
      </c>
    </row>
    <row r="6" spans="1:22" ht="15" thickBot="1" x14ac:dyDescent="0.4">
      <c r="A6" s="2" t="s">
        <v>21</v>
      </c>
      <c r="B6" s="2">
        <v>1233911455</v>
      </c>
      <c r="C6" s="3" t="s">
        <v>59</v>
      </c>
      <c r="D6" s="3" t="s">
        <v>47</v>
      </c>
      <c r="E6" s="2" t="s">
        <v>37</v>
      </c>
      <c r="F6" s="3">
        <v>52074225</v>
      </c>
      <c r="G6" s="3" t="s">
        <v>60</v>
      </c>
      <c r="H6" s="4">
        <v>42085</v>
      </c>
      <c r="I6" s="5">
        <f t="shared" ca="1" si="0"/>
        <v>10</v>
      </c>
      <c r="J6" s="2" t="s">
        <v>61</v>
      </c>
      <c r="K6" s="3" t="s">
        <v>62</v>
      </c>
      <c r="L6" s="4">
        <v>45696</v>
      </c>
      <c r="M6" s="6">
        <v>0.69791666666666663</v>
      </c>
      <c r="N6" s="6">
        <v>0.72916666666666663</v>
      </c>
      <c r="O6" s="6">
        <v>0.62548611111111108</v>
      </c>
      <c r="P6" s="2" t="s">
        <v>41</v>
      </c>
      <c r="Q6" s="2" t="s">
        <v>29</v>
      </c>
      <c r="R6" s="2" t="s">
        <v>42</v>
      </c>
      <c r="S6" s="2" t="s">
        <v>43</v>
      </c>
      <c r="T6" s="2" t="s">
        <v>32</v>
      </c>
      <c r="U6" s="2" t="s">
        <v>63</v>
      </c>
      <c r="V6" s="7" t="s">
        <v>45</v>
      </c>
    </row>
    <row r="7" spans="1:22" ht="15" thickBot="1" x14ac:dyDescent="0.4">
      <c r="A7" s="2" t="s">
        <v>21</v>
      </c>
      <c r="B7" s="2">
        <v>37713685</v>
      </c>
      <c r="C7" s="3" t="s">
        <v>64</v>
      </c>
      <c r="D7" s="3" t="s">
        <v>47</v>
      </c>
      <c r="E7" s="2" t="s">
        <v>37</v>
      </c>
      <c r="F7" s="3">
        <v>28366039</v>
      </c>
      <c r="G7" s="3" t="s">
        <v>65</v>
      </c>
      <c r="H7" s="4">
        <v>42871</v>
      </c>
      <c r="I7" s="5">
        <f t="shared" ca="1" si="0"/>
        <v>7</v>
      </c>
      <c r="J7" s="2" t="s">
        <v>66</v>
      </c>
      <c r="K7" s="3" t="s">
        <v>67</v>
      </c>
      <c r="L7" s="4">
        <v>45693</v>
      </c>
      <c r="M7" s="6">
        <v>0.30208333333333331</v>
      </c>
      <c r="N7" s="6">
        <v>0.33333333333333331</v>
      </c>
      <c r="O7" s="6">
        <v>0.69283564814814813</v>
      </c>
      <c r="P7" s="2" t="s">
        <v>28</v>
      </c>
      <c r="Q7" s="2" t="s">
        <v>29</v>
      </c>
      <c r="R7" s="2" t="s">
        <v>42</v>
      </c>
      <c r="S7" s="2" t="s">
        <v>43</v>
      </c>
      <c r="T7" s="2" t="s">
        <v>32</v>
      </c>
      <c r="U7" s="2" t="s">
        <v>68</v>
      </c>
      <c r="V7" s="7" t="s">
        <v>53</v>
      </c>
    </row>
    <row r="8" spans="1:22" ht="15" thickBot="1" x14ac:dyDescent="0.4">
      <c r="A8" s="2" t="s">
        <v>21</v>
      </c>
      <c r="B8" s="2">
        <v>1110596395</v>
      </c>
      <c r="C8" s="3" t="s">
        <v>69</v>
      </c>
      <c r="D8" s="3" t="s">
        <v>70</v>
      </c>
      <c r="E8" s="2" t="s">
        <v>37</v>
      </c>
      <c r="F8" s="3">
        <v>1233912712</v>
      </c>
      <c r="G8" s="3" t="s">
        <v>71</v>
      </c>
      <c r="H8" s="4">
        <v>42644</v>
      </c>
      <c r="I8" s="5">
        <f t="shared" ca="1" si="0"/>
        <v>8</v>
      </c>
      <c r="J8" s="2" t="s">
        <v>72</v>
      </c>
      <c r="K8" s="3" t="s">
        <v>73</v>
      </c>
      <c r="L8" s="4">
        <v>45691</v>
      </c>
      <c r="M8" s="6">
        <v>0.39583333333333331</v>
      </c>
      <c r="N8" s="6">
        <v>0.42708333333333331</v>
      </c>
      <c r="O8" s="6">
        <v>0.4893865740740741</v>
      </c>
      <c r="P8" s="2" t="s">
        <v>28</v>
      </c>
      <c r="Q8" s="2" t="s">
        <v>29</v>
      </c>
      <c r="R8" s="2" t="s">
        <v>42</v>
      </c>
      <c r="S8" s="2" t="s">
        <v>43</v>
      </c>
      <c r="T8" s="2" t="s">
        <v>32</v>
      </c>
      <c r="U8" s="2" t="s">
        <v>74</v>
      </c>
      <c r="V8" s="7" t="s">
        <v>34</v>
      </c>
    </row>
    <row r="9" spans="1:22" ht="15" thickBot="1" x14ac:dyDescent="0.4">
      <c r="A9" s="2" t="s">
        <v>21</v>
      </c>
      <c r="B9" s="2">
        <v>1012430458</v>
      </c>
      <c r="C9" s="3" t="s">
        <v>75</v>
      </c>
      <c r="D9" s="3" t="s">
        <v>76</v>
      </c>
      <c r="E9" s="2" t="s">
        <v>77</v>
      </c>
      <c r="F9" s="3">
        <v>1023983187</v>
      </c>
      <c r="G9" s="3" t="s">
        <v>78</v>
      </c>
      <c r="H9" s="4">
        <v>44070</v>
      </c>
      <c r="I9" s="5">
        <f t="shared" ca="1" si="0"/>
        <v>4</v>
      </c>
      <c r="J9" s="2" t="s">
        <v>79</v>
      </c>
      <c r="K9" s="3" t="s">
        <v>80</v>
      </c>
      <c r="L9" s="4">
        <v>45691</v>
      </c>
      <c r="M9" s="6">
        <v>0.45833333333333331</v>
      </c>
      <c r="N9" s="6">
        <v>0.48958333333333331</v>
      </c>
      <c r="O9" s="6">
        <v>0.7338541666666667</v>
      </c>
      <c r="P9" s="2" t="s">
        <v>41</v>
      </c>
      <c r="Q9" s="2" t="s">
        <v>29</v>
      </c>
      <c r="R9" s="2" t="s">
        <v>42</v>
      </c>
      <c r="S9" s="2" t="s">
        <v>43</v>
      </c>
      <c r="T9" s="2" t="s">
        <v>32</v>
      </c>
      <c r="U9" s="2" t="s">
        <v>63</v>
      </c>
      <c r="V9" s="7" t="s">
        <v>45</v>
      </c>
    </row>
    <row r="10" spans="1:22" ht="15" thickBot="1" x14ac:dyDescent="0.4">
      <c r="A10" s="2" t="s">
        <v>21</v>
      </c>
      <c r="B10" s="2">
        <v>50936950</v>
      </c>
      <c r="C10" s="3" t="s">
        <v>81</v>
      </c>
      <c r="D10" s="3" t="s">
        <v>82</v>
      </c>
      <c r="E10" s="2" t="s">
        <v>37</v>
      </c>
      <c r="F10" s="3">
        <v>52081094</v>
      </c>
      <c r="G10" s="3" t="s">
        <v>83</v>
      </c>
      <c r="H10" s="4">
        <v>39820</v>
      </c>
      <c r="I10" s="5">
        <f t="shared" ca="1" si="0"/>
        <v>16</v>
      </c>
      <c r="J10" s="2" t="s">
        <v>84</v>
      </c>
      <c r="K10" s="3" t="s">
        <v>27</v>
      </c>
      <c r="L10" s="4">
        <v>45699</v>
      </c>
      <c r="M10" s="6">
        <v>0.59375</v>
      </c>
      <c r="N10" s="6">
        <v>0.625</v>
      </c>
      <c r="O10" s="6">
        <v>0.73958333333333337</v>
      </c>
      <c r="P10" s="2" t="s">
        <v>41</v>
      </c>
      <c r="Q10" s="2" t="s">
        <v>29</v>
      </c>
      <c r="R10" s="2" t="s">
        <v>42</v>
      </c>
      <c r="S10" s="2" t="s">
        <v>43</v>
      </c>
      <c r="T10" s="2" t="s">
        <v>32</v>
      </c>
      <c r="U10" s="2" t="s">
        <v>63</v>
      </c>
      <c r="V10" s="7" t="s">
        <v>53</v>
      </c>
    </row>
    <row r="11" spans="1:22" ht="15" thickBot="1" x14ac:dyDescent="0.4">
      <c r="A11" s="2" t="s">
        <v>21</v>
      </c>
      <c r="B11" s="2">
        <v>1030702278</v>
      </c>
      <c r="C11" s="3" t="s">
        <v>85</v>
      </c>
      <c r="D11" s="3" t="s">
        <v>47</v>
      </c>
      <c r="E11" s="2" t="s">
        <v>86</v>
      </c>
      <c r="F11" s="3">
        <v>52524768</v>
      </c>
      <c r="G11" s="3" t="s">
        <v>87</v>
      </c>
      <c r="H11" s="4">
        <v>36729</v>
      </c>
      <c r="I11" s="5">
        <f t="shared" ca="1" si="0"/>
        <v>24</v>
      </c>
      <c r="J11" s="2" t="s">
        <v>88</v>
      </c>
      <c r="K11" s="3" t="s">
        <v>40</v>
      </c>
      <c r="L11" s="4">
        <v>45693</v>
      </c>
      <c r="M11" s="6">
        <v>0.5625</v>
      </c>
      <c r="N11" s="6">
        <v>0.59375</v>
      </c>
      <c r="O11" s="6">
        <v>0.74805555555555558</v>
      </c>
      <c r="P11" s="2" t="s">
        <v>28</v>
      </c>
      <c r="Q11" s="2" t="s">
        <v>29</v>
      </c>
      <c r="R11" s="2" t="s">
        <v>89</v>
      </c>
      <c r="S11" s="2" t="s">
        <v>31</v>
      </c>
      <c r="T11" s="2" t="s">
        <v>32</v>
      </c>
      <c r="U11" s="2" t="s">
        <v>90</v>
      </c>
      <c r="V11" s="7" t="s">
        <v>34</v>
      </c>
    </row>
    <row r="12" spans="1:22" ht="15" thickBot="1" x14ac:dyDescent="0.4">
      <c r="A12" s="2" t="s">
        <v>21</v>
      </c>
      <c r="B12" s="2">
        <v>1014302724</v>
      </c>
      <c r="C12" s="3" t="s">
        <v>46</v>
      </c>
      <c r="D12" s="3" t="s">
        <v>82</v>
      </c>
      <c r="E12" s="2" t="s">
        <v>77</v>
      </c>
      <c r="F12" s="3">
        <v>9200804</v>
      </c>
      <c r="G12" s="3" t="s">
        <v>91</v>
      </c>
      <c r="H12" s="4">
        <v>43750</v>
      </c>
      <c r="I12" s="5">
        <f t="shared" ca="1" si="0"/>
        <v>5</v>
      </c>
      <c r="J12" s="2" t="s">
        <v>92</v>
      </c>
      <c r="K12" s="3" t="s">
        <v>50</v>
      </c>
      <c r="L12" s="4">
        <v>45695</v>
      </c>
      <c r="M12" s="6">
        <v>0.33333333333333331</v>
      </c>
      <c r="N12" s="6">
        <v>0.36458333333333331</v>
      </c>
      <c r="O12" s="6">
        <v>0.46966435185185185</v>
      </c>
      <c r="P12" s="2" t="s">
        <v>41</v>
      </c>
      <c r="Q12" s="2" t="s">
        <v>93</v>
      </c>
      <c r="R12" s="2" t="s">
        <v>42</v>
      </c>
      <c r="S12" s="2" t="s">
        <v>43</v>
      </c>
      <c r="T12" s="2" t="s">
        <v>32</v>
      </c>
      <c r="U12" s="2" t="s">
        <v>63</v>
      </c>
      <c r="V12" s="7" t="s">
        <v>45</v>
      </c>
    </row>
    <row r="13" spans="1:22" ht="15" thickBot="1" x14ac:dyDescent="0.4">
      <c r="A13" s="2" t="s">
        <v>21</v>
      </c>
      <c r="B13" s="2">
        <v>1233693187</v>
      </c>
      <c r="C13" s="3" t="s">
        <v>94</v>
      </c>
      <c r="D13" s="3" t="s">
        <v>47</v>
      </c>
      <c r="E13" s="2" t="s">
        <v>37</v>
      </c>
      <c r="F13" s="3">
        <v>24738211</v>
      </c>
      <c r="G13" s="3" t="s">
        <v>95</v>
      </c>
      <c r="H13" s="4">
        <v>43039</v>
      </c>
      <c r="I13" s="5">
        <f t="shared" ca="1" si="0"/>
        <v>7</v>
      </c>
      <c r="J13" s="2" t="s">
        <v>96</v>
      </c>
      <c r="K13" s="3" t="s">
        <v>57</v>
      </c>
      <c r="L13" s="4">
        <v>45692</v>
      </c>
      <c r="M13" s="6">
        <v>0.36458333333333331</v>
      </c>
      <c r="N13" s="6">
        <v>0.33333333333333331</v>
      </c>
      <c r="O13" s="6">
        <v>0.4802777777777778</v>
      </c>
      <c r="P13" s="2" t="s">
        <v>41</v>
      </c>
      <c r="Q13" s="2" t="s">
        <v>29</v>
      </c>
      <c r="R13" s="2" t="s">
        <v>42</v>
      </c>
      <c r="S13" s="2" t="s">
        <v>43</v>
      </c>
      <c r="T13" s="2" t="s">
        <v>32</v>
      </c>
      <c r="U13" s="2" t="s">
        <v>97</v>
      </c>
      <c r="V13" s="7" t="s">
        <v>53</v>
      </c>
    </row>
    <row r="14" spans="1:22" ht="15" thickBot="1" x14ac:dyDescent="0.4">
      <c r="A14" s="2" t="s">
        <v>21</v>
      </c>
      <c r="B14" s="2">
        <v>52352591</v>
      </c>
      <c r="C14" s="3" t="s">
        <v>98</v>
      </c>
      <c r="D14" s="3" t="s">
        <v>47</v>
      </c>
      <c r="E14" s="2" t="s">
        <v>37</v>
      </c>
      <c r="F14" s="3">
        <v>41357716</v>
      </c>
      <c r="G14" s="3" t="s">
        <v>99</v>
      </c>
      <c r="H14" s="4">
        <v>40421</v>
      </c>
      <c r="I14" s="5">
        <f t="shared" ca="1" si="0"/>
        <v>14</v>
      </c>
      <c r="J14" s="2" t="s">
        <v>100</v>
      </c>
      <c r="K14" s="3" t="s">
        <v>62</v>
      </c>
      <c r="L14" s="4">
        <v>45700</v>
      </c>
      <c r="M14" s="6">
        <v>0.36458333333333331</v>
      </c>
      <c r="N14" s="6">
        <v>0.39583333333333331</v>
      </c>
      <c r="O14" s="6">
        <v>0.60743055555555558</v>
      </c>
      <c r="P14" s="2" t="s">
        <v>41</v>
      </c>
      <c r="Q14" s="2" t="s">
        <v>29</v>
      </c>
      <c r="R14" s="2" t="s">
        <v>42</v>
      </c>
      <c r="S14" s="2" t="s">
        <v>43</v>
      </c>
      <c r="T14" s="2" t="s">
        <v>32</v>
      </c>
      <c r="U14" s="2" t="s">
        <v>101</v>
      </c>
      <c r="V14" s="7" t="s">
        <v>45</v>
      </c>
    </row>
    <row r="15" spans="1:22" x14ac:dyDescent="0.35">
      <c r="M15" s="8"/>
    </row>
    <row r="26" spans="11:11" x14ac:dyDescent="0.35">
      <c r="K26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Neurorehabilitar Bases de Datos</dc:creator>
  <cp:lastModifiedBy>Neurorehabilitar Bases de Datos</cp:lastModifiedBy>
  <dcterms:created xsi:type="dcterms:W3CDTF">2025-03-22T13:04:39Z</dcterms:created>
  <dcterms:modified xsi:type="dcterms:W3CDTF">2025-03-22T14:24:36Z</dcterms:modified>
</cp:coreProperties>
</file>