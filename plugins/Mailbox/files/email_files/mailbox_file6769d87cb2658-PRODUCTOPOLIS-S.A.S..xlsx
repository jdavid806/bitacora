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0303AD30-D7F2-4620-B03D-1509D70A569B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POLIS!$A$1:$I$862</definedName>
    <definedName name="SegmentaciónDeDatos_AÑO">#N/A</definedName>
    <definedName name="SegmentaciónDeDatos_MES">#N/A</definedName>
  </definedNames>
  <calcPr calcId="191029"/>
  <pivotCaches>
    <pivotCache cacheId="85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<sst xmlns="http://schemas.openxmlformats.org/spreadsheetml/2006/main" count="20630" uniqueCount="130">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</sst>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0</xdr:col>
      <xdr:colOff>1962150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676275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649.692179861115" createdVersion="8" refreshedVersion="8" minRefreshableVersion="3" recordCount="861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119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55740377"/>
    </cacheField>
    <cacheField name="FECHA_CREPS" numFmtId="14">
      <sharedItems containsNonDate="0" containsDate="1" containsMixedTypes="1" minDate="2024-05-09T00:00:00" maxDate="2024-12-22T00:00:00"/>
    </cacheField>
    <cacheField name="SEMANA DE REINTEGRO" numFmtId="0">
      <sharedItems count="93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4" count="2">
        <n v="2024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ABRIL" u="1"/>
        <s v="FEBRERO" u="1"/>
        <s v="MARZO" u="1"/>
        <s v="ENER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5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94">
        <item m="1" x="69"/>
        <item m="1" x="70"/>
        <item m="1" x="71"/>
        <item m="1" x="72"/>
        <item m="1" x="73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45"/>
        <item m="1" x="92"/>
        <item m="1" x="53"/>
        <item m="1" x="54"/>
        <item m="1" x="55"/>
        <item m="1" x="56"/>
        <item m="1" x="46"/>
        <item m="1" x="47"/>
        <item m="1" x="48"/>
        <item m="1" x="49"/>
        <item m="1" x="50"/>
        <item m="1" x="51"/>
        <item m="1" x="52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axis="axisPage" multipleItemSelectionAllowed="1" showAll="0">
      <items count="3">
        <item h="1" m="1" x="1"/>
        <item x="0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x="7"/>
        <item h="1" m="1" x="11"/>
        <item h="1" m="1" x="9"/>
        <item h="1" m="1" x="10"/>
        <item h="1" m="1" x="8"/>
        <item h="1" x="0"/>
        <item t="default"/>
      </items>
    </pivotField>
  </pivotFields>
  <rowFields count="1">
    <field x="6"/>
  </rowFields>
  <rowItems count="4">
    <i>
      <x v="90"/>
    </i>
    <i>
      <x v="91"/>
    </i>
    <i>
      <x v="92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2">
        <i x="0" s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0"/>
        <i x="1"/>
        <i x="2"/>
        <i x="3"/>
        <i x="4"/>
        <i x="5"/>
        <i x="6"/>
        <i x="7" s="1"/>
        <i x="11" nd="1"/>
        <i x="9" nd="1"/>
        <i x="10" nd="1"/>
        <i x="8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862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5"/>
  <sheetViews>
    <sheetView workbookViewId="0">
      <selection activeCell="B15" sqref="A11:B15"/>
    </sheetView>
  </sheetViews>
  <sheetFormatPr baseColWidth="10" defaultRowHeight="15" x14ac:dyDescent="0.25"/>
  <cols>
    <col min="1" max="1" width="31.5703125" bestFit="1" customWidth="1"/>
    <col min="2" max="2" width="12.85546875" bestFit="1" customWidth="1"/>
    <col min="3" max="3" width="12.5703125" bestFit="1" customWidth="1"/>
  </cols>
  <sheetData>
    <row r="8" spans="1:2" x14ac:dyDescent="0.25">
      <c r="A8" s="13" t="s">
        <v>68</v>
      </c>
      <c r="B8" s="14">
        <v>2024</v>
      </c>
    </row>
    <row r="9" spans="1:2" x14ac:dyDescent="0.25">
      <c r="A9" s="13" t="s">
        <v>69</v>
      </c>
      <c r="B9" t="s">
        <v>127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126</v>
      </c>
      <c r="B12" s="15">
        <v>2707715</v>
      </c>
    </row>
    <row r="13" spans="1:2" x14ac:dyDescent="0.25">
      <c r="A13" s="14" t="s">
        <v>128</v>
      </c>
      <c r="B13" s="15">
        <v>4196871</v>
      </c>
    </row>
    <row r="14" spans="1:2" x14ac:dyDescent="0.25">
      <c r="A14" s="14" t="s">
        <v>129</v>
      </c>
      <c r="B14" s="15">
        <v>6300755</v>
      </c>
    </row>
    <row r="15" spans="1:2" x14ac:dyDescent="0.25">
      <c r="A15" s="14" t="s">
        <v>42</v>
      </c>
      <c r="B15" s="15">
        <v>13205341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862"/>
  <sheetViews>
    <sheetView tabSelected="1" workbookViewId="0">
      <pane ySplit="1" topLeftCell="A836" activePane="bottomLeft" state="frozen"/>
      <selection pane="bottomLeft" activeCell="I862" sqref="H836:I862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2024-12-23T21:37:21Z</dcterms:modified>
</cp:coreProperties>
</file>