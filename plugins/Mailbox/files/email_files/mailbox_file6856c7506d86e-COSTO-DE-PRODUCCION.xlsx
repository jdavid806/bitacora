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29" documentId="8_{8CCB0DAB-37ED-41CC-87C8-D8178B5C0884}" xr6:coauthVersionLast="47" xr6:coauthVersionMax="47" xr10:uidLastSave="{FCB6A3F0-1DFC-494F-BF23-9B994B77329A}"/>
  <bookViews>
    <workbookView xWindow="-108" yWindow="-108" windowWidth="23256" windowHeight="12456" tabRatio="322" xr2:uid="{00000000-000D-0000-FFFF-FFFF00000000}"/>
  </bookViews>
  <sheets>
    <sheet name="Entrada de previsión" sheetId="1" r:id="rId1"/>
    <sheet name="Previsión de ventas" sheetId="3" r:id="rId2"/>
    <sheet name="Listas" sheetId="2" r:id="rId3"/>
    <sheet name="Hoja1" sheetId="4" r:id="rId4"/>
  </sheets>
  <definedNames>
    <definedName name="_xlnm.Print_Area" localSheetId="1">'Previsión de ventas'!$A$1:$O$19</definedName>
    <definedName name="Lista_AgentesVentas">Tabla_AgenteVentas[Agentes de ventas]</definedName>
    <definedName name="Lista_CategoríasVentas">Tabla_CategoríaVentas[Categorías de ventas]</definedName>
    <definedName name="Lista_FasesVentas">Tabla_FaseVentas[Fases de ventas]</definedName>
    <definedName name="Lista_RegionesVentas">Tabla_RegiónVentas[Regiones de ventas]</definedName>
    <definedName name="Mes_inicial">'Previsión de ventas'!$C$5</definedName>
    <definedName name="NombreEmpresa">'Entrada de previsión'!$B$2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B2" i="2" l="1"/>
  <c r="B2" i="3"/>
  <c r="P6" i="3" l="1"/>
  <c r="B7" i="3" l="1"/>
  <c r="P7" i="3" s="1"/>
  <c r="C7" i="3" l="1"/>
  <c r="B15" i="3"/>
  <c r="B16" i="3"/>
  <c r="B11" i="3"/>
  <c r="B18" i="3"/>
  <c r="B17" i="3"/>
  <c r="B14" i="3"/>
  <c r="B13" i="3"/>
  <c r="B12" i="3"/>
  <c r="B10" i="3"/>
  <c r="B9" i="3"/>
  <c r="B8" i="3"/>
  <c r="D7" i="3" l="1"/>
  <c r="Q7" i="3"/>
  <c r="C12" i="3"/>
  <c r="Q12" i="3" s="1"/>
  <c r="P12" i="3"/>
  <c r="C18" i="3"/>
  <c r="Q18" i="3" s="1"/>
  <c r="P18" i="3"/>
  <c r="C8" i="3"/>
  <c r="P8" i="3"/>
  <c r="C13" i="3"/>
  <c r="Q13" i="3" s="1"/>
  <c r="P13" i="3"/>
  <c r="C11" i="3"/>
  <c r="Q11" i="3" s="1"/>
  <c r="P11" i="3"/>
  <c r="C9" i="3"/>
  <c r="Q9" i="3" s="1"/>
  <c r="P9" i="3"/>
  <c r="C14" i="3"/>
  <c r="Q14" i="3" s="1"/>
  <c r="P14" i="3"/>
  <c r="C16" i="3"/>
  <c r="Q16" i="3" s="1"/>
  <c r="P16" i="3"/>
  <c r="C10" i="3"/>
  <c r="Q10" i="3" s="1"/>
  <c r="P10" i="3"/>
  <c r="C17" i="3"/>
  <c r="Q17" i="3" s="1"/>
  <c r="P17" i="3"/>
  <c r="C15" i="3"/>
  <c r="Q15" i="3" s="1"/>
  <c r="P15" i="3"/>
  <c r="R7" i="3" l="1"/>
  <c r="D8" i="3"/>
  <c r="Q8" i="3"/>
  <c r="D9" i="3" l="1"/>
  <c r="R8" i="3"/>
  <c r="R9" i="3" l="1"/>
  <c r="D10" i="3"/>
  <c r="D11" i="3" l="1"/>
  <c r="R10" i="3"/>
  <c r="D12" i="3" l="1"/>
  <c r="R11" i="3"/>
  <c r="D13" i="3" l="1"/>
  <c r="R12" i="3"/>
  <c r="D14" i="3" l="1"/>
  <c r="R13" i="3"/>
  <c r="D15" i="3" l="1"/>
  <c r="R14" i="3"/>
  <c r="D16" i="3" l="1"/>
  <c r="R15" i="3"/>
  <c r="D17" i="3" l="1"/>
  <c r="R16" i="3"/>
  <c r="D18" i="3" l="1"/>
  <c r="R17" i="3"/>
  <c r="R18" i="3" l="1"/>
</calcChain>
</file>

<file path=xl/sharedStrings.xml><?xml version="1.0" encoding="utf-8"?>
<sst xmlns="http://schemas.openxmlformats.org/spreadsheetml/2006/main" count="229" uniqueCount="138">
  <si>
    <t>HLP Manufacturing INC</t>
  </si>
  <si>
    <t>Previsión de ventas</t>
  </si>
  <si>
    <t>Confidencial</t>
  </si>
  <si>
    <t>Rowan Murphy</t>
  </si>
  <si>
    <t>Miho Kojima</t>
  </si>
  <si>
    <t>Cora Thomas</t>
  </si>
  <si>
    <t>Ellis Turner</t>
  </si>
  <si>
    <t>Suma Kini</t>
  </si>
  <si>
    <t>Estados Unidos: nordeste</t>
  </si>
  <si>
    <t>Estados Unidos: sudeste</t>
  </si>
  <si>
    <t>Estados Unidos: norte central</t>
  </si>
  <si>
    <t>Estados Unidos: sur central</t>
  </si>
  <si>
    <t>Estados Unidos: noroeste</t>
  </si>
  <si>
    <t>Estados Unidos: sudoeste</t>
  </si>
  <si>
    <t>Canadá: este</t>
  </si>
  <si>
    <t>Canadá: oeste</t>
  </si>
  <si>
    <t>EMEA: Francia</t>
  </si>
  <si>
    <t>EMEA: Alemania</t>
  </si>
  <si>
    <t>EMEA: Italia</t>
  </si>
  <si>
    <t>EMEA: otro</t>
  </si>
  <si>
    <t>APSA: Asia</t>
  </si>
  <si>
    <t>APSA: Pacífico</t>
  </si>
  <si>
    <t>APSA: México</t>
  </si>
  <si>
    <t>APSA: Australia</t>
  </si>
  <si>
    <t>APSA: otro</t>
  </si>
  <si>
    <t>EMEA: Reino Unido</t>
  </si>
  <si>
    <t>Consultoría</t>
  </si>
  <si>
    <t>Productos</t>
  </si>
  <si>
    <t>Mezcla</t>
  </si>
  <si>
    <t>Servicios profesionales</t>
  </si>
  <si>
    <t>Servicios</t>
  </si>
  <si>
    <t>Soporte técnico</t>
  </si>
  <si>
    <t>Aprobación formal</t>
  </si>
  <si>
    <t>Oportunidad</t>
  </si>
  <si>
    <t>Necesidad identificada</t>
  </si>
  <si>
    <t>Patrocinio</t>
  </si>
  <si>
    <t>Presupuesto validado</t>
  </si>
  <si>
    <t>Análisis de necesidades</t>
  </si>
  <si>
    <t>Solución propuesta</t>
  </si>
  <si>
    <t>Propuesta escrita</t>
  </si>
  <si>
    <t>Aprobación verbal</t>
  </si>
  <si>
    <t xml:space="preserve"> </t>
  </si>
  <si>
    <t>Gráfico de previsión</t>
  </si>
  <si>
    <t>Mes inicial</t>
  </si>
  <si>
    <t>Mes</t>
  </si>
  <si>
    <t>Mensualmente 
previsión</t>
  </si>
  <si>
    <t>Acumulado</t>
  </si>
  <si>
    <t>Previsión mensual</t>
  </si>
  <si>
    <t>Listas de ventas</t>
  </si>
  <si>
    <t>Agentes de ventas</t>
  </si>
  <si>
    <t>Regiones de ventas</t>
  </si>
  <si>
    <t>Categorías de ventas</t>
  </si>
  <si>
    <t>Entrenamiento</t>
  </si>
  <si>
    <t>Fases de ventas</t>
  </si>
  <si>
    <t>Tela</t>
  </si>
  <si>
    <t>sublimacion</t>
  </si>
  <si>
    <t>elastico</t>
  </si>
  <si>
    <t>hilos</t>
  </si>
  <si>
    <t>marquillas</t>
  </si>
  <si>
    <t>Bolsa normal</t>
  </si>
  <si>
    <t>Bolsa de lujo</t>
  </si>
  <si>
    <t>Etiqueta</t>
  </si>
  <si>
    <t>Broches</t>
  </si>
  <si>
    <t>Marquillas</t>
  </si>
  <si>
    <t>150 metros cmt</t>
  </si>
  <si>
    <t>1 40 ctm</t>
  </si>
  <si>
    <t>1 50 ctm</t>
  </si>
  <si>
    <t>1 70 ctm</t>
  </si>
  <si>
    <t>Borches</t>
  </si>
  <si>
    <t>total</t>
  </si>
  <si>
    <t xml:space="preserve">sesgo </t>
  </si>
  <si>
    <t>Elastico</t>
  </si>
  <si>
    <t xml:space="preserve">Bolsa de lujo </t>
  </si>
  <si>
    <t>2 metros</t>
  </si>
  <si>
    <t>tela calandrada</t>
  </si>
  <si>
    <t>8 broches (botones)</t>
  </si>
  <si>
    <t>2 tiras metros</t>
  </si>
  <si>
    <t>2 marquillas</t>
  </si>
  <si>
    <t>bolsa, bolsa del conjunto</t>
  </si>
  <si>
    <t>resorte</t>
  </si>
  <si>
    <t>MATERIAL</t>
  </si>
  <si>
    <t>COSTO</t>
  </si>
  <si>
    <t>TOTAL</t>
  </si>
  <si>
    <t>1 Bolsa</t>
  </si>
  <si>
    <t>75 CTM</t>
  </si>
  <si>
    <t>2 metros tiras</t>
  </si>
  <si>
    <t xml:space="preserve">1 metro </t>
  </si>
  <si>
    <t>1.70 ctm</t>
  </si>
  <si>
    <t>75 ctm</t>
  </si>
  <si>
    <t>ENCANTO TOTAL</t>
  </si>
  <si>
    <t>1.50 metro</t>
  </si>
  <si>
    <t>1.50</t>
  </si>
  <si>
    <t>Argollas y tensores</t>
  </si>
  <si>
    <t>Elastico short y pantalon</t>
  </si>
  <si>
    <t>1.40 ctm</t>
  </si>
  <si>
    <t>elastico brasier</t>
  </si>
  <si>
    <t>Tira de brasier</t>
  </si>
  <si>
    <t>Cesgo elastico</t>
  </si>
  <si>
    <t>Bolsa</t>
  </si>
  <si>
    <t>70 ctm</t>
  </si>
  <si>
    <t>4 metros</t>
  </si>
  <si>
    <t>2 metros y medio</t>
  </si>
  <si>
    <t>1.60 metro</t>
  </si>
  <si>
    <t>1.60</t>
  </si>
  <si>
    <t>Enterizo tentacion</t>
  </si>
  <si>
    <t>Cinta decorativa</t>
  </si>
  <si>
    <t>Moños</t>
  </si>
  <si>
    <t>Bolsa premium</t>
  </si>
  <si>
    <t>Hilos</t>
  </si>
  <si>
    <t>1.20 ctm</t>
  </si>
  <si>
    <t>1 metro</t>
  </si>
  <si>
    <t>4 metro</t>
  </si>
  <si>
    <t>1,20 ctm</t>
  </si>
  <si>
    <t>1.50 ctm</t>
  </si>
  <si>
    <t>1,50 ctm</t>
  </si>
  <si>
    <t xml:space="preserve">1. 90 centimetros </t>
  </si>
  <si>
    <t>Sesgo</t>
  </si>
  <si>
    <t>Papel tinta</t>
  </si>
  <si>
    <t>2 tiras</t>
  </si>
  <si>
    <t>6 broches</t>
  </si>
  <si>
    <t>SET URBAN CHILL</t>
  </si>
  <si>
    <t>ENTERIZO URBAN FLOW</t>
  </si>
  <si>
    <t>SET PREMIUM ESENCIAL</t>
  </si>
  <si>
    <t>SET PREMIUM ESENCIAL EN SHORT</t>
  </si>
  <si>
    <t>SET BASICO CON ESTILO</t>
  </si>
  <si>
    <t>SET COQUETTA 3 EN 1</t>
  </si>
  <si>
    <t>GASTOS MENSUALES</t>
  </si>
  <si>
    <t>COSTOS</t>
  </si>
  <si>
    <t>Banco</t>
  </si>
  <si>
    <t>Arriendo</t>
  </si>
  <si>
    <t>Harry</t>
  </si>
  <si>
    <t xml:space="preserve">Publicidad </t>
  </si>
  <si>
    <t>Modelo</t>
  </si>
  <si>
    <t xml:space="preserve">Nomina </t>
  </si>
  <si>
    <t xml:space="preserve">Surtido </t>
  </si>
  <si>
    <t>19,720.000</t>
  </si>
  <si>
    <t>papel tinta</t>
  </si>
  <si>
    <t>marquilla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</si>
</sst>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mmmm\ yyyy"/>
    <numFmt numFmtId="169" formatCode="&quot;$&quot;#,##0"/>
    <numFmt numFmtId="170" formatCode="#,##0\ &quot;€&quot;"/>
    <numFmt numFmtId="171" formatCode="mmm"/>
    <numFmt numFmtId="172" formatCode="_-[$$-240A]\ * #,##0.00_-;\-[$$-240A]\ * #,##0.00_-;_-[$$-240A]\ * &quot;-&quot;??_-;_-@_-"/>
  </numFmts>
  <fonts count="37" x14ac:knownFonts="1">
    <font>
      <sz val="11"/>
      <color theme="1"/>
      <name val="Segoe UI"/>
      <family val="2"/>
      <scheme val="minor"/>
    </font>
    <font>
      <sz val="12"/>
      <color theme="1"/>
      <name val="Segoe UI"/>
      <family val="2"/>
      <scheme val="minor"/>
    </font>
    <font>
      <sz val="12"/>
      <color theme="3" tint="-0.499984740745262"/>
      <name val="Segoe UI"/>
      <family val="2"/>
      <scheme val="minor"/>
    </font>
    <font>
      <sz val="14"/>
      <color theme="1"/>
      <name val="Segoe UI"/>
      <family val="2"/>
      <scheme val="minor"/>
    </font>
    <font>
      <sz val="12"/>
      <color theme="1"/>
      <name val="Avenir Next LT Pro Demi"/>
      <family val="2"/>
      <scheme val="major"/>
    </font>
    <font>
      <sz val="18"/>
      <color theme="1"/>
      <name val="Avenir Next LT Pro Demi"/>
      <family val="2"/>
      <scheme val="major"/>
    </font>
    <font>
      <sz val="56"/>
      <color theme="1"/>
      <name val="Avenir Next LT Pro Demi"/>
      <family val="2"/>
      <scheme val="major"/>
    </font>
    <font>
      <sz val="12"/>
      <color theme="0"/>
      <name val="Segoe UI"/>
      <family val="2"/>
      <scheme val="minor"/>
    </font>
    <font>
      <sz val="14"/>
      <color theme="0"/>
      <name val="Segoe UI"/>
      <family val="2"/>
      <scheme val="minor"/>
    </font>
    <font>
      <sz val="12"/>
      <color theme="5"/>
      <name val="Segoe UI"/>
      <family val="2"/>
      <scheme val="minor"/>
    </font>
    <font>
      <sz val="11"/>
      <color theme="1"/>
      <name val="Segoe UI"/>
      <family val="2"/>
      <scheme val="minor"/>
    </font>
    <font>
      <sz val="18"/>
      <color theme="3"/>
      <name val="Avenir Next LT Pro Demi"/>
      <family val="2"/>
      <scheme val="major"/>
    </font>
    <font>
      <b/>
      <sz val="15"/>
      <color theme="3"/>
      <name val="Segoe UI"/>
      <family val="2"/>
      <scheme val="minor"/>
    </font>
    <font>
      <b/>
      <sz val="13"/>
      <color theme="3"/>
      <name val="Segoe UI"/>
      <family val="2"/>
      <scheme val="minor"/>
    </font>
    <font>
      <b/>
      <sz val="11"/>
      <color theme="3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sz val="11"/>
      <color rgb="FF3F3F76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b/>
      <sz val="11"/>
      <color theme="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1"/>
      <color theme="1"/>
      <name val="Segoe UI"/>
      <family val="2"/>
      <scheme val="minor"/>
    </font>
    <font>
      <sz val="11"/>
      <color theme="0"/>
      <name val="Segoe UI"/>
      <family val="2"/>
      <scheme val="minor"/>
    </font>
    <font>
      <sz val="12"/>
      <color theme="2" tint="-0.89999084444715716"/>
      <name val="Segoe UI"/>
      <family val="2"/>
      <scheme val="minor"/>
    </font>
    <font>
      <sz val="24"/>
      <color theme="1"/>
      <name val="Segoe UI"/>
      <family val="2"/>
    </font>
    <font>
      <b/>
      <sz val="16"/>
      <color theme="1"/>
      <name val="Segoe UI"/>
      <family val="2"/>
      <scheme val="minor"/>
    </font>
    <font>
      <b/>
      <sz val="18"/>
      <color theme="1"/>
      <name val="Segoe UI"/>
      <family val="2"/>
      <scheme val="minor"/>
    </font>
    <font>
      <b/>
      <sz val="20"/>
      <color theme="1"/>
      <name val="Segoe UI"/>
      <family val="2"/>
      <scheme val="minor"/>
    </font>
    <font>
      <b/>
      <sz val="24"/>
      <color theme="1"/>
      <name val="Segoe UI"/>
      <family val="2"/>
      <scheme val="minor"/>
    </font>
    <font>
      <sz val="18"/>
      <color theme="1"/>
      <name val="Segoe UI"/>
      <family val="2"/>
    </font>
    <font>
      <sz val="20"/>
      <color theme="1"/>
      <name val="Segoe UI"/>
      <family val="2"/>
    </font>
    <font>
      <b/>
      <sz val="18"/>
      <name val="Segoe UI"/>
      <family val="2"/>
    </font>
    <font>
      <b/>
      <sz val="24"/>
      <name val="Segoe UI"/>
      <family val="2"/>
    </font>
  </fonts>
  <fills count="4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theme="5" tint="0.39994506668294322"/>
      </left>
      <right/>
      <top style="thin">
        <color theme="5" tint="0.39994506668294322"/>
      </top>
      <bottom style="thin">
        <color theme="5" tint="0.39991454817346722"/>
      </bottom>
      <diagonal/>
    </border>
    <border>
      <left/>
      <right/>
      <top style="thin">
        <color theme="5" tint="0.39994506668294322"/>
      </top>
      <bottom style="thin">
        <color theme="5" tint="0.39991454817346722"/>
      </bottom>
      <diagonal/>
    </border>
    <border>
      <left/>
      <right style="thin">
        <color theme="5" tint="0.39994506668294322"/>
      </right>
      <top style="thin">
        <color theme="5" tint="0.39994506668294322"/>
      </top>
      <bottom style="thin">
        <color theme="5" tint="0.399914548173467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/>
      </left>
      <right style="thin">
        <color theme="3" tint="0.59996337778862885"/>
      </right>
      <top style="thin">
        <color theme="3"/>
      </top>
      <bottom style="thin">
        <color theme="3"/>
      </bottom>
      <diagonal/>
    </border>
    <border>
      <left style="thin">
        <color theme="3" tint="0.59996337778862885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47">
    <xf numFmtId="0" fontId="0" fillId="0" borderId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9" applyNumberFormat="0" applyAlignment="0" applyProtection="0"/>
    <xf numFmtId="0" fontId="19" fillId="13" borderId="10" applyNumberFormat="0" applyAlignment="0" applyProtection="0"/>
    <xf numFmtId="0" fontId="20" fillId="13" borderId="9" applyNumberFormat="0" applyAlignment="0" applyProtection="0"/>
    <xf numFmtId="0" fontId="21" fillId="0" borderId="11" applyNumberFormat="0" applyFill="0" applyAlignment="0" applyProtection="0"/>
    <xf numFmtId="0" fontId="22" fillId="14" borderId="12" applyNumberFormat="0" applyAlignment="0" applyProtection="0"/>
    <xf numFmtId="0" fontId="23" fillId="0" borderId="0" applyNumberFormat="0" applyFill="0" applyBorder="0" applyAlignment="0" applyProtection="0"/>
    <xf numFmtId="0" fontId="10" fillId="15" borderId="13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26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26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26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26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26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</cellStyleXfs>
  <cellXfs count="93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left" indent="1"/>
    </xf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 applyAlignment="1">
      <alignment horizontal="left" indent="1"/>
    </xf>
    <xf numFmtId="0" fontId="3" fillId="3" borderId="0" xfId="0" applyFont="1" applyFill="1"/>
    <xf numFmtId="0" fontId="3" fillId="0" borderId="0" xfId="0" applyFont="1"/>
    <xf numFmtId="0" fontId="4" fillId="3" borderId="0" xfId="0" applyFont="1" applyFill="1"/>
    <xf numFmtId="0" fontId="5" fillId="3" borderId="0" xfId="0" applyFont="1" applyFill="1" applyAlignment="1">
      <alignment horizontal="left" indent="2"/>
    </xf>
    <xf numFmtId="0" fontId="4" fillId="3" borderId="0" xfId="0" applyFont="1" applyFill="1" applyAlignment="1">
      <alignment horizontal="left" indent="1"/>
    </xf>
    <xf numFmtId="0" fontId="4" fillId="0" borderId="0" xfId="0" applyFont="1"/>
    <xf numFmtId="0" fontId="6" fillId="3" borderId="0" xfId="0" applyFont="1" applyFill="1"/>
    <xf numFmtId="0" fontId="6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indent="1"/>
    </xf>
    <xf numFmtId="0" fontId="6" fillId="0" borderId="0" xfId="0" applyFont="1"/>
    <xf numFmtId="0" fontId="4" fillId="3" borderId="0" xfId="0" applyFont="1" applyFill="1" applyAlignment="1">
      <alignment horizontal="left" vertical="top" indent="2"/>
    </xf>
    <xf numFmtId="0" fontId="1" fillId="4" borderId="0" xfId="0" applyFont="1" applyFill="1"/>
    <xf numFmtId="0" fontId="1" fillId="4" borderId="0" xfId="0" applyFont="1" applyFill="1" applyAlignment="1">
      <alignment horizontal="left" indent="1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/>
    <xf numFmtId="0" fontId="5" fillId="4" borderId="0" xfId="0" applyFont="1" applyFill="1" applyAlignment="1">
      <alignment horizontal="left" indent="2"/>
    </xf>
    <xf numFmtId="0" fontId="4" fillId="4" borderId="0" xfId="0" applyFont="1" applyFill="1" applyAlignment="1">
      <alignment horizontal="left" indent="1"/>
    </xf>
    <xf numFmtId="0" fontId="6" fillId="4" borderId="0" xfId="0" applyFont="1" applyFill="1"/>
    <xf numFmtId="0" fontId="6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indent="1"/>
    </xf>
    <xf numFmtId="0" fontId="4" fillId="4" borderId="0" xfId="0" applyFont="1" applyFill="1" applyAlignment="1">
      <alignment horizontal="left" vertical="top" indent="1"/>
    </xf>
    <xf numFmtId="0" fontId="4" fillId="4" borderId="0" xfId="0" applyFont="1" applyFill="1" applyAlignment="1">
      <alignment horizontal="left" vertical="top" indent="2"/>
    </xf>
    <xf numFmtId="0" fontId="4" fillId="0" borderId="0" xfId="0" applyFont="1" applyAlignment="1">
      <alignment horizontal="left" vertical="top" indent="1"/>
    </xf>
    <xf numFmtId="0" fontId="1" fillId="6" borderId="0" xfId="0" applyFont="1" applyFill="1" applyAlignment="1">
      <alignment vertical="center"/>
    </xf>
    <xf numFmtId="0" fontId="9" fillId="6" borderId="0" xfId="0" applyFont="1" applyFill="1"/>
    <xf numFmtId="0" fontId="1" fillId="6" borderId="0" xfId="0" applyFont="1" applyFill="1" applyAlignment="1">
      <alignment horizontal="left" vertical="center" indent="1"/>
    </xf>
    <xf numFmtId="0" fontId="1" fillId="6" borderId="0" xfId="0" applyFont="1" applyFill="1"/>
    <xf numFmtId="0" fontId="3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5" fillId="6" borderId="0" xfId="0" applyFont="1" applyFill="1" applyAlignment="1">
      <alignment horizontal="left" indent="2"/>
    </xf>
    <xf numFmtId="0" fontId="4" fillId="6" borderId="0" xfId="0" applyFont="1" applyFill="1" applyAlignment="1">
      <alignment horizontal="left" vertical="center" indent="1"/>
    </xf>
    <xf numFmtId="0" fontId="4" fillId="0" borderId="0" xfId="0" applyFont="1" applyAlignment="1">
      <alignment vertical="center"/>
    </xf>
    <xf numFmtId="0" fontId="6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top" indent="2"/>
    </xf>
    <xf numFmtId="0" fontId="0" fillId="0" borderId="0" xfId="0" applyAlignment="1">
      <alignment horizontal="left" vertical="center" indent="1"/>
    </xf>
    <xf numFmtId="169" fontId="1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1" fillId="5" borderId="3" xfId="0" applyFont="1" applyFill="1" applyBorder="1" applyAlignment="1">
      <alignment horizontal="left" vertical="center" indent="1"/>
    </xf>
    <xf numFmtId="0" fontId="1" fillId="5" borderId="5" xfId="0" applyFont="1" applyFill="1" applyBorder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left" indent="1"/>
    </xf>
    <xf numFmtId="0" fontId="1" fillId="3" borderId="0" xfId="0" applyFont="1" applyFill="1" applyAlignment="1">
      <alignment horizontal="left" vertical="center" indent="1"/>
    </xf>
    <xf numFmtId="170" fontId="0" fillId="0" borderId="0" xfId="0" applyNumberFormat="1" applyAlignment="1">
      <alignment horizontal="left" vertical="center" indent="1"/>
    </xf>
    <xf numFmtId="170" fontId="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170" fontId="1" fillId="4" borderId="0" xfId="0" applyNumberFormat="1" applyFont="1" applyFill="1" applyAlignment="1">
      <alignment horizontal="left" vertical="center"/>
    </xf>
    <xf numFmtId="170" fontId="1" fillId="4" borderId="0" xfId="0" applyNumberFormat="1" applyFont="1" applyFill="1" applyAlignment="1">
      <alignment horizontal="center" vertical="center"/>
    </xf>
    <xf numFmtId="168" fontId="1" fillId="5" borderId="4" xfId="0" applyNumberFormat="1" applyFont="1" applyFill="1" applyBorder="1" applyAlignment="1">
      <alignment horizontal="left" vertical="center" indent="1"/>
    </xf>
    <xf numFmtId="168" fontId="1" fillId="0" borderId="0" xfId="0" applyNumberFormat="1" applyFont="1" applyAlignment="1">
      <alignment horizontal="left" vertical="center" indent="1"/>
    </xf>
    <xf numFmtId="171" fontId="7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left" indent="1"/>
    </xf>
    <xf numFmtId="0" fontId="27" fillId="0" borderId="1" xfId="0" applyFont="1" applyBorder="1"/>
    <xf numFmtId="0" fontId="0" fillId="3" borderId="15" xfId="0" applyFill="1" applyBorder="1" applyAlignment="1">
      <alignment horizontal="left" vertical="center" indent="1"/>
    </xf>
    <xf numFmtId="172" fontId="0" fillId="0" borderId="0" xfId="3" applyNumberFormat="1" applyFont="1" applyAlignment="1">
      <alignment horizontal="left" vertical="center" indent="1"/>
    </xf>
    <xf numFmtId="172" fontId="0" fillId="0" borderId="0" xfId="0" applyNumberFormat="1" applyAlignment="1">
      <alignment horizontal="left" vertical="center" indent="1"/>
    </xf>
    <xf numFmtId="170" fontId="28" fillId="0" borderId="0" xfId="0" applyNumberFormat="1" applyFont="1" applyAlignment="1" applyProtection="1">
      <alignment horizontal="left" vertical="center" wrapText="1" indent="1"/>
      <protection locked="0"/>
    </xf>
    <xf numFmtId="170" fontId="0" fillId="0" borderId="15" xfId="0" applyNumberFormat="1" applyBorder="1" applyAlignment="1">
      <alignment horizontal="left" vertical="center" indent="1"/>
    </xf>
    <xf numFmtId="0" fontId="0" fillId="3" borderId="16" xfId="0" applyFill="1" applyBorder="1" applyAlignment="1">
      <alignment horizontal="left" vertical="center" indent="1"/>
    </xf>
    <xf numFmtId="170" fontId="0" fillId="0" borderId="16" xfId="0" applyNumberFormat="1" applyBorder="1" applyAlignment="1">
      <alignment horizontal="left" vertical="center" indent="1"/>
    </xf>
    <xf numFmtId="172" fontId="0" fillId="0" borderId="15" xfId="3" applyNumberFormat="1" applyFont="1" applyFill="1" applyBorder="1" applyAlignment="1">
      <alignment horizontal="left" vertical="center" indent="1"/>
    </xf>
    <xf numFmtId="0" fontId="29" fillId="40" borderId="0" xfId="0" applyFont="1" applyFill="1" applyAlignment="1">
      <alignment horizontal="left" vertical="center" indent="1"/>
    </xf>
    <xf numFmtId="0" fontId="30" fillId="40" borderId="0" xfId="0" applyFont="1" applyFill="1" applyAlignment="1">
      <alignment horizontal="left" vertical="center" indent="1"/>
    </xf>
    <xf numFmtId="170" fontId="31" fillId="40" borderId="0" xfId="0" applyNumberFormat="1" applyFont="1" applyFill="1" applyAlignment="1">
      <alignment horizontal="left" vertical="center" indent="1"/>
    </xf>
    <xf numFmtId="170" fontId="32" fillId="40" borderId="0" xfId="0" applyNumberFormat="1" applyFont="1" applyFill="1" applyAlignment="1">
      <alignment horizontal="left" vertical="center" indent="1"/>
    </xf>
    <xf numFmtId="0" fontId="33" fillId="0" borderId="0" xfId="0" applyFont="1" applyAlignment="1" applyProtection="1">
      <alignment horizontal="left" vertical="center" wrapText="1" indent="1"/>
      <protection locked="0"/>
    </xf>
    <xf numFmtId="0" fontId="34" fillId="0" borderId="0" xfId="0" applyFont="1" applyAlignment="1" applyProtection="1">
      <alignment horizontal="left" vertical="center" wrapText="1" indent="1"/>
      <protection locked="0"/>
    </xf>
    <xf numFmtId="170" fontId="31" fillId="40" borderId="15" xfId="0" applyNumberFormat="1" applyFont="1" applyFill="1" applyBorder="1" applyAlignment="1">
      <alignment horizontal="left" vertical="center" indent="1"/>
    </xf>
    <xf numFmtId="0" fontId="29" fillId="40" borderId="15" xfId="0" applyFont="1" applyFill="1" applyBorder="1" applyAlignment="1">
      <alignment horizontal="left" vertical="center" indent="1"/>
    </xf>
    <xf numFmtId="0" fontId="30" fillId="40" borderId="15" xfId="0" applyFont="1" applyFill="1" applyBorder="1" applyAlignment="1">
      <alignment horizontal="left" vertical="center" indent="1"/>
    </xf>
    <xf numFmtId="170" fontId="32" fillId="40" borderId="15" xfId="0" applyNumberFormat="1" applyFont="1" applyFill="1" applyBorder="1" applyAlignment="1">
      <alignment horizontal="left" vertical="center" indent="1"/>
    </xf>
    <xf numFmtId="172" fontId="0" fillId="3" borderId="15" xfId="0" applyNumberFormat="1" applyFill="1" applyBorder="1" applyAlignment="1">
      <alignment horizontal="left" vertical="center" indent="1"/>
    </xf>
    <xf numFmtId="3" fontId="0" fillId="3" borderId="15" xfId="0" applyNumberFormat="1" applyFill="1" applyBorder="1" applyAlignment="1">
      <alignment horizontal="left" vertical="center" indent="1"/>
    </xf>
    <xf numFmtId="172" fontId="0" fillId="3" borderId="15" xfId="3" applyNumberFormat="1" applyFont="1" applyFill="1" applyBorder="1" applyAlignment="1">
      <alignment horizontal="left" vertical="center" indent="1"/>
    </xf>
    <xf numFmtId="0" fontId="25" fillId="40" borderId="15" xfId="0" applyFont="1" applyFill="1" applyBorder="1" applyAlignment="1">
      <alignment horizontal="left" vertical="center" indent="1"/>
    </xf>
    <xf numFmtId="0" fontId="35" fillId="40" borderId="17" xfId="0" applyFont="1" applyFill="1" applyBorder="1" applyAlignment="1">
      <alignment horizontal="left" vertical="center" wrapText="1" indent="1"/>
    </xf>
    <xf numFmtId="0" fontId="36" fillId="40" borderId="17" xfId="0" applyFont="1" applyFill="1" applyBorder="1" applyAlignment="1">
      <alignment horizontal="center" vertical="center" wrapText="1"/>
    </xf>
    <xf numFmtId="170" fontId="36" fillId="40" borderId="18" xfId="0" applyNumberFormat="1" applyFont="1" applyFill="1" applyBorder="1" applyAlignment="1">
      <alignment horizontal="left" vertical="center" wrapText="1" inden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9"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minor"/>
      </font>
      <numFmt numFmtId="170" formatCode="#,##0\ &quot;€&quot;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minor"/>
      </font>
      <numFmt numFmtId="170" formatCode="#,##0\ &quot;€&quot;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minor"/>
      </font>
      <numFmt numFmtId="168" formatCode="mmmm\ 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minor"/>
      </font>
    </dxf>
    <dxf>
      <numFmt numFmtId="170" formatCode="#,##0\ &quot;€&quot;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font>
        <b/>
        <i val="0"/>
        <strike val="0"/>
        <color theme="0"/>
      </font>
      <fill>
        <patternFill>
          <bgColor theme="8" tint="-0.24994659260841701"/>
        </patternFill>
      </fill>
      <border>
        <left style="thin">
          <color theme="8" tint="0.39994506668294322"/>
        </left>
        <right style="thin">
          <color theme="8" tint="0.39994506668294322"/>
        </right>
      </border>
    </dxf>
    <dxf>
      <fill>
        <patternFill>
          <fgColor theme="8" tint="0.79998168889431442"/>
          <bgColor theme="8" tint="0.79995117038483843"/>
        </patternFill>
      </fill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59996337778862885"/>
        </vertical>
        <horizontal style="thin">
          <color theme="8" tint="0.39994506668294322"/>
        </horizontal>
      </border>
    </dxf>
    <dxf>
      <fill>
        <patternFill>
          <bgColor theme="5" tint="0.59996337778862885"/>
        </patternFill>
      </fill>
    </dxf>
    <dxf>
      <font>
        <b/>
        <i val="0"/>
        <strike val="0"/>
        <color auto="1"/>
      </font>
      <fill>
        <patternFill>
          <bgColor theme="5"/>
        </patternFill>
      </fill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39994506668294322"/>
        </vertical>
        <horizontal/>
      </border>
    </dxf>
    <dxf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59996337778862885"/>
        </vertical>
        <horizontal style="thin">
          <color theme="5"/>
        </horizontal>
      </border>
    </dxf>
    <dxf>
      <fill>
        <patternFill>
          <bgColor theme="3" tint="0.59996337778862885"/>
        </patternFill>
      </fill>
    </dxf>
    <dxf>
      <font>
        <b/>
        <i val="0"/>
        <strike val="0"/>
        <color auto="1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 tint="0.59996337778862885"/>
        </vertical>
        <horizontal style="thin">
          <color theme="3"/>
        </horizontal>
      </border>
    </dxf>
    <dxf>
      <fill>
        <patternFill>
          <bgColor theme="3" tint="0.79998168889431442"/>
        </patternFill>
      </fill>
      <border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  <vertical style="thin">
          <color theme="3" tint="0.39994506668294322"/>
        </vertical>
        <horizontal style="thin">
          <color theme="3" tint="0.39994506668294322"/>
        </horizontal>
      </border>
    </dxf>
  </dxfs>
  <tableStyles count="3" defaultTableStyle="TableStyleMedium2" defaultPivotStyle="PivotStyleLight16">
    <tableStyle name="Tabla de la empresa" pivot="0" count="3" xr9:uid="{00000000-0011-0000-FFFF-FFFF00000000}">
      <tableStyleElement type="wholeTable" dxfId="18"/>
      <tableStyleElement type="headerRow" dxfId="17"/>
      <tableStyleElement type="firstRowStripe" dxfId="16"/>
    </tableStyle>
    <tableStyle name="Tabla de la empresa 2" pivot="0" count="3" xr9:uid="{EC16AD97-CC06-4854-B6B9-C3DC5FE314F8}">
      <tableStyleElement type="wholeTable" dxfId="15"/>
      <tableStyleElement type="headerRow" dxfId="14"/>
      <tableStyleElement type="firstRowStripe" dxfId="13"/>
    </tableStyle>
    <tableStyle name="Tabla de la empresa 3" pivot="0" count="2" xr9:uid="{B5BE6664-42DE-4ECE-940D-F9998055B77A}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4187809857101"/>
          <c:y val="6.4532084351525021E-2"/>
          <c:w val="0.85000318606054037"/>
          <c:h val="0.795847769028871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'Previsión de ventas'!$Q$6</c:f>
              <c:strCache>
                <c:ptCount val="1"/>
                <c:pt idx="0">
                  <c:v>Previsión mensual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'Previsión de ventas'!$P$7:$P$18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'Previsión de ventas'!$Q$7:$Q$18</c:f>
              <c:numCache>
                <c:formatCode>_-* #,##0\ "€"_-;\-* #,##0\ "€"_-;_-* "-"\ "€"_-;_-@_-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0-44BD-AC85-49AA32437C9E}"/>
            </c:ext>
          </c:extLst>
        </c:ser>
        <c:ser>
          <c:idx val="1"/>
          <c:order val="1"/>
          <c:tx>
            <c:strRef>
              <c:f>'Previsión de ventas'!$R$6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'Previsión de ventas'!$P$7:$P$18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'Previsión de ventas'!$R$7:$R$18</c:f>
              <c:numCache>
                <c:formatCode>_-* #,##0\ "€"_-;\-* #,##0\ "€"_-;_-* "-"\ "€"_-;_-@_-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0-44BD-AC85-49AA32437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36886632"/>
        <c:axId val="436887944"/>
      </c:barChart>
      <c:dateAx>
        <c:axId val="436886632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436887944"/>
        <c:crosses val="autoZero"/>
        <c:auto val="1"/>
        <c:lblOffset val="100"/>
        <c:baseTimeUnit val="months"/>
      </c:dateAx>
      <c:valAx>
        <c:axId val="43688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43688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769174686497523E-2"/>
          <c:y val="0.9311455787854106"/>
          <c:w val="0.80838587767805326"/>
          <c:h val="5.4062534861871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1554843</xdr:colOff>
      <xdr:row>0</xdr:row>
      <xdr:rowOff>5755</xdr:rowOff>
    </xdr:from>
    <xdr:to>
      <xdr:col>8</xdr:col>
      <xdr:colOff>511175</xdr:colOff>
      <xdr:row>3</xdr:row>
      <xdr:rowOff>203200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ED66E745-BBEF-1CB4-80AC-3A5A9BD6C68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36618" y="5755"/>
          <a:ext cx="6452507" cy="1835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5</xdr:row>
      <xdr:rowOff>215900</xdr:rowOff>
    </xdr:from>
    <xdr:to>
      <xdr:col>13</xdr:col>
      <xdr:colOff>546100</xdr:colOff>
      <xdr:row>17</xdr:row>
      <xdr:rowOff>127000</xdr:rowOff>
    </xdr:to>
    <xdr:graphicFrame macro="">
      <xdr:nvGraphicFramePr>
        <xdr:cNvPr id="4" name="Gráfico 3" descr="Gráfico de previsión de venta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482599</xdr:colOff>
      <xdr:row>0</xdr:row>
      <xdr:rowOff>0</xdr:rowOff>
    </xdr:from>
    <xdr:to>
      <xdr:col>14</xdr:col>
      <xdr:colOff>37494</xdr:colOff>
      <xdr:row>3</xdr:row>
      <xdr:rowOff>203200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C9765624-93F9-B14B-830D-90CE8FE183F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943599" y="0"/>
          <a:ext cx="5650895" cy="1854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_EntradaPrevisión" displayName="Tabla_EntradaPrevisión" ref="B6:E41" totalsRowShown="0" headerRowDxfId="10">
  <autoFilter ref="B6:E41" xr:uid="{00000000-000C-0000-FFFF-FFFF00000000}"/>
  <tableColumns count="4">
    <tableColumn id="1" xr3:uid="{00000000-0010-0000-0000-000001000000}" name="SET URBAN CHILL"/>
    <tableColumn id="2" xr3:uid="{00000000-0010-0000-0000-000002000000}" name="MATERIAL"/>
    <tableColumn id="3" xr3:uid="{00000000-0010-0000-0000-000003000000}" name="COSTO"/>
    <tableColumn id="9" xr3:uid="{00000000-0010-0000-0000-000009000000}" name="total" dataDxfId="9"/>
  </tableColumns>
  <tableStyleInfo name="Tabla de la empresa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1B2AE-0974-4B12-B6EC-6541E5CE5CB6}" name="Tabla1" displayName="Tabla1" ref="B6:D18" totalsRowShown="0" headerRowDxfId="8" dataDxfId="7">
  <tableColumns count="3">
    <tableColumn id="1" xr3:uid="{A5659673-1E24-41D8-9D17-0E5E1027E89E}" name="Mes" dataDxfId="6"/>
    <tableColumn id="2" xr3:uid="{887CC60D-204B-4195-8ACC-9C419E48B636}" name="Mensualmente _x000a_previsión" dataDxfId="5">
      <calculatedColumnFormula>SUMIFS(Tabla_EntradaPrevisión[total],#REF!,"&gt;="&amp;'Previsión de ventas'!B7,#REF!,"&lt;="&amp;DATE(YEAR('Previsión de ventas'!B7),MONTH('Previsión de ventas'!B7)+1,0))</calculatedColumnFormula>
    </tableColumn>
    <tableColumn id="3" xr3:uid="{6A314FE9-84D3-44C2-87DE-A2CE169931A6}" name="Acumulado" dataDxfId="4">
      <calculatedColumnFormula>IF(ISNUMBER(D6),D6+C7,C7)</calculatedColumnFormula>
    </tableColumn>
  </tableColumns>
  <tableStyleInfo name="Tabla de la empresa 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_AgenteVentas" displayName="Tabla_AgenteVentas" ref="B6:B24" totalsRowShown="0" headerRowDxfId="3">
  <tableColumns count="1">
    <tableColumn id="1" xr3:uid="{00000000-0010-0000-0100-000001000000}" name="Agentes de ventas"/>
  </tableColumns>
  <tableStyleInfo name="Tabla de la empresa 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_RegiónVentas" displayName="Tabla_RegiónVentas" ref="C6:C24" totalsRowShown="0" headerRowDxfId="2">
  <tableColumns count="1">
    <tableColumn id="1" xr3:uid="{00000000-0010-0000-0200-000001000000}" name="Regiones de ventas"/>
  </tableColumns>
  <tableStyleInfo name="Tabla de la empresa 3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_CategoríaVentas" displayName="Tabla_CategoríaVentas" ref="D6:D24" totalsRowShown="0" headerRowDxfId="1">
  <tableColumns count="1">
    <tableColumn id="1" xr3:uid="{00000000-0010-0000-0300-000001000000}" name="Categorías de ventas"/>
  </tableColumns>
  <tableStyleInfo name="Tabla de la empresa 3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a_FaseVentas" displayName="Tabla_FaseVentas" ref="E6:E24" totalsRowShown="0" headerRowDxfId="0">
  <tableColumns count="1">
    <tableColumn id="1" xr3:uid="{00000000-0010-0000-0400-000001000000}" name="Fases de ventas"/>
  </tableColumns>
  <tableStyleInfo name="Tabla de la empresa 3" showFirstColumn="0" showLastColumn="0" showRowStripes="0" showColumnStripes="0"/>
</table>
</file>

<file path=xl/theme/theme1.xml><?xml version="1.0" encoding="utf-8"?>
<a:theme xmlns:a="http://schemas.openxmlformats.org/drawingml/2006/main" name="Business Templates">
  <a:themeElements>
    <a:clrScheme name="TM11628816">
      <a:dk1>
        <a:srgbClr val="000000"/>
      </a:dk1>
      <a:lt1>
        <a:srgbClr val="FFFFFF"/>
      </a:lt1>
      <a:dk2>
        <a:srgbClr val="FD928B"/>
      </a:dk2>
      <a:lt2>
        <a:srgbClr val="E7E6E6"/>
      </a:lt2>
      <a:accent1>
        <a:srgbClr val="E6B89C"/>
      </a:accent1>
      <a:accent2>
        <a:srgbClr val="FFC382"/>
      </a:accent2>
      <a:accent3>
        <a:srgbClr val="E9D2AB"/>
      </a:accent3>
      <a:accent4>
        <a:srgbClr val="9CAEB7"/>
      </a:accent4>
      <a:accent5>
        <a:srgbClr val="4280A4"/>
      </a:accent5>
      <a:accent6>
        <a:srgbClr val="486981"/>
      </a:accent6>
      <a:hlink>
        <a:srgbClr val="0563C1"/>
      </a:hlink>
      <a:folHlink>
        <a:srgbClr val="954F72"/>
      </a:folHlink>
    </a:clrScheme>
    <a:fontScheme name="Custom 57">
      <a:majorFont>
        <a:latin typeface="Avenir Next LT Pro Dem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N137"/>
  <sheetViews>
    <sheetView showGridLines="0" tabSelected="1" topLeftCell="A18" zoomScaleNormal="100" workbookViewId="0">
      <selection activeCell="G22" sqref="G22"/>
    </sheetView>
  </sheetViews>
  <sheetFormatPr baseColWidth="10" defaultColWidth="8.59765625" defaultRowHeight="21" customHeight="1" x14ac:dyDescent="0.45"/>
  <cols>
    <col min="1" max="1" width="3.69921875" style="1" customWidth="1"/>
    <col min="2" max="2" width="33.69921875" style="57" customWidth="1"/>
    <col min="3" max="3" width="24.8984375" style="57" customWidth="1"/>
    <col min="4" max="4" width="28.19921875" style="57" customWidth="1"/>
    <col min="5" max="5" width="23.69921875" style="57" customWidth="1"/>
    <col min="6" max="6" width="8.59765625" style="3"/>
    <col min="7" max="8" width="33" style="3" customWidth="1"/>
    <col min="9" max="9" width="15.09765625" style="3" customWidth="1"/>
    <col min="10" max="16384" width="8.59765625" style="3"/>
  </cols>
  <sheetData>
    <row r="1" spans="1:14" ht="20.100000000000001" customHeight="1" x14ac:dyDescent="0.45">
      <c r="B1" s="1"/>
      <c r="C1" s="2"/>
      <c r="D1" s="2"/>
      <c r="E1" s="2"/>
      <c r="F1" s="10"/>
      <c r="G1" s="10"/>
      <c r="H1" s="10"/>
      <c r="I1" s="10"/>
      <c r="J1" s="10"/>
      <c r="K1" s="10"/>
      <c r="L1" s="10"/>
      <c r="M1" s="10"/>
      <c r="N1" s="10"/>
    </row>
    <row r="2" spans="1:14" s="11" customFormat="1" ht="30" customHeight="1" x14ac:dyDescent="0.45">
      <c r="A2" s="8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s="15" customFormat="1" ht="80.099999999999994" customHeight="1" x14ac:dyDescent="1.2">
      <c r="A3" s="12"/>
      <c r="B3" s="13" t="s">
        <v>1</v>
      </c>
      <c r="C3" s="14"/>
      <c r="D3" s="14"/>
      <c r="E3" s="14"/>
      <c r="F3" s="10"/>
      <c r="G3" s="10"/>
      <c r="H3" s="10"/>
      <c r="I3" s="10"/>
      <c r="J3" s="10"/>
      <c r="K3" s="10"/>
      <c r="L3" s="10"/>
      <c r="M3" s="10"/>
      <c r="N3" s="10"/>
    </row>
    <row r="4" spans="1:14" s="11" customFormat="1" ht="31.8" customHeight="1" x14ac:dyDescent="0.3">
      <c r="A4" s="8"/>
      <c r="B4" s="16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2.4" customHeight="1" x14ac:dyDescent="0.45">
      <c r="B5" s="4"/>
      <c r="C5" s="5"/>
      <c r="D5" s="5"/>
      <c r="E5" s="5"/>
      <c r="F5" s="10"/>
      <c r="G5" s="10"/>
      <c r="H5" s="10"/>
      <c r="I5" s="10"/>
      <c r="J5" s="10"/>
      <c r="K5" s="10"/>
      <c r="L5" s="10"/>
      <c r="M5" s="10"/>
      <c r="N5" s="10"/>
    </row>
    <row r="6" spans="1:14" s="7" customFormat="1" ht="60" customHeight="1" x14ac:dyDescent="0.45">
      <c r="A6" s="6"/>
      <c r="B6" s="80" t="s">
        <v>120</v>
      </c>
      <c r="C6" s="80" t="s">
        <v>80</v>
      </c>
      <c r="D6" s="81" t="s">
        <v>81</v>
      </c>
      <c r="E6" s="71" t="s">
        <v>69</v>
      </c>
      <c r="F6" s="10"/>
      <c r="G6" s="90" t="s">
        <v>126</v>
      </c>
      <c r="H6" s="91" t="s">
        <v>127</v>
      </c>
      <c r="I6" s="92" t="s">
        <v>69</v>
      </c>
      <c r="J6" s="10"/>
      <c r="K6" s="10"/>
      <c r="L6" s="10"/>
      <c r="M6" s="10"/>
      <c r="N6" s="10"/>
    </row>
    <row r="7" spans="1:14" ht="24" customHeight="1" x14ac:dyDescent="0.45">
      <c r="B7" s="49" t="s">
        <v>54</v>
      </c>
      <c r="C7" s="49" t="s">
        <v>64</v>
      </c>
      <c r="D7" s="49">
        <v>9000</v>
      </c>
      <c r="E7" s="69">
        <v>21597</v>
      </c>
      <c r="F7" s="10"/>
      <c r="G7" s="68" t="s">
        <v>128</v>
      </c>
      <c r="H7" s="88">
        <v>1500000</v>
      </c>
      <c r="I7" s="88" t="s">
        <v>135</v>
      </c>
      <c r="J7" s="10"/>
      <c r="K7" s="10"/>
      <c r="L7" s="10"/>
      <c r="M7" s="10"/>
      <c r="N7" s="10"/>
    </row>
    <row r="8" spans="1:14" ht="24" customHeight="1" x14ac:dyDescent="0.45">
      <c r="B8" s="49" t="s">
        <v>136</v>
      </c>
      <c r="C8" s="49" t="s">
        <v>65</v>
      </c>
      <c r="D8" s="49">
        <v>3000</v>
      </c>
      <c r="E8" s="58"/>
      <c r="F8" s="10"/>
      <c r="G8" s="68" t="s">
        <v>129</v>
      </c>
      <c r="H8" s="86">
        <v>1200000</v>
      </c>
      <c r="I8" s="68"/>
      <c r="J8" s="10"/>
      <c r="K8" s="10"/>
      <c r="L8" s="10"/>
      <c r="M8" s="10"/>
      <c r="N8" s="10"/>
    </row>
    <row r="9" spans="1:14" ht="24" customHeight="1" x14ac:dyDescent="0.45">
      <c r="B9" s="49" t="s">
        <v>55</v>
      </c>
      <c r="C9" s="49" t="s">
        <v>66</v>
      </c>
      <c r="D9" s="49">
        <v>4500</v>
      </c>
      <c r="E9" s="58"/>
      <c r="F9" s="10"/>
      <c r="G9" s="68" t="s">
        <v>30</v>
      </c>
      <c r="H9" s="86">
        <v>620000</v>
      </c>
      <c r="I9" s="86"/>
      <c r="J9" s="10"/>
      <c r="K9" s="10"/>
      <c r="L9" s="10"/>
      <c r="M9" s="10"/>
      <c r="N9" s="10"/>
    </row>
    <row r="10" spans="1:14" ht="24" customHeight="1" x14ac:dyDescent="0.45">
      <c r="B10" s="49" t="s">
        <v>56</v>
      </c>
      <c r="C10" s="49">
        <v>70</v>
      </c>
      <c r="D10" s="49">
        <v>327</v>
      </c>
      <c r="E10" s="58"/>
      <c r="F10" s="10"/>
      <c r="G10" s="68" t="s">
        <v>130</v>
      </c>
      <c r="H10" s="86">
        <v>800000</v>
      </c>
      <c r="I10" s="86"/>
      <c r="J10" s="10"/>
      <c r="K10" s="10"/>
      <c r="L10" s="10"/>
      <c r="M10" s="10"/>
      <c r="N10" s="10"/>
    </row>
    <row r="11" spans="1:14" ht="24" customHeight="1" x14ac:dyDescent="0.45">
      <c r="B11" s="49" t="s">
        <v>57</v>
      </c>
      <c r="C11" s="49"/>
      <c r="D11" s="49">
        <v>500</v>
      </c>
      <c r="E11" s="58"/>
      <c r="F11" s="10"/>
      <c r="G11" s="68" t="s">
        <v>131</v>
      </c>
      <c r="H11" s="86">
        <v>3600000</v>
      </c>
      <c r="I11" s="86"/>
      <c r="J11" s="10"/>
      <c r="K11" s="10"/>
      <c r="L11" s="10"/>
      <c r="M11" s="10"/>
      <c r="N11" s="10"/>
    </row>
    <row r="12" spans="1:14" ht="24" customHeight="1" x14ac:dyDescent="0.45">
      <c r="B12" s="49" t="s">
        <v>58</v>
      </c>
      <c r="C12" s="49">
        <v>2</v>
      </c>
      <c r="D12" s="49">
        <v>1000</v>
      </c>
      <c r="E12" s="58"/>
      <c r="F12" s="10"/>
      <c r="G12" s="68" t="s">
        <v>132</v>
      </c>
      <c r="H12" s="86">
        <v>400000</v>
      </c>
      <c r="I12" s="86"/>
      <c r="J12" s="10"/>
      <c r="K12" s="10"/>
      <c r="L12" s="10"/>
      <c r="M12" s="10"/>
      <c r="N12" s="10"/>
    </row>
    <row r="13" spans="1:14" ht="24" customHeight="1" x14ac:dyDescent="0.45">
      <c r="B13" s="49" t="s">
        <v>59</v>
      </c>
      <c r="C13" s="49">
        <v>1</v>
      </c>
      <c r="D13" s="49">
        <v>70</v>
      </c>
      <c r="E13" s="58"/>
      <c r="F13" s="10"/>
      <c r="G13" s="68" t="s">
        <v>133</v>
      </c>
      <c r="H13" s="86">
        <v>5600000</v>
      </c>
      <c r="I13" s="86"/>
      <c r="J13" s="10"/>
      <c r="K13" s="10"/>
      <c r="L13" s="10"/>
      <c r="M13" s="10"/>
      <c r="N13" s="10"/>
    </row>
    <row r="14" spans="1:14" ht="24" customHeight="1" x14ac:dyDescent="0.45">
      <c r="B14" s="49" t="s">
        <v>60</v>
      </c>
      <c r="C14" s="49">
        <v>1</v>
      </c>
      <c r="D14" s="49">
        <v>1200</v>
      </c>
      <c r="E14" s="58"/>
      <c r="F14" s="10"/>
      <c r="G14" s="68" t="s">
        <v>134</v>
      </c>
      <c r="H14" s="86">
        <v>6000000</v>
      </c>
      <c r="I14" s="86"/>
      <c r="J14" s="10"/>
      <c r="K14" s="10"/>
      <c r="L14" s="10"/>
      <c r="M14" s="10"/>
      <c r="N14" s="10"/>
    </row>
    <row r="15" spans="1:14" ht="24" customHeight="1" x14ac:dyDescent="0.45">
      <c r="B15" s="49" t="s">
        <v>61</v>
      </c>
      <c r="C15" s="49">
        <v>1</v>
      </c>
      <c r="D15" s="49">
        <v>2000</v>
      </c>
      <c r="E15" s="58"/>
      <c r="F15" s="10"/>
      <c r="G15" s="68"/>
      <c r="H15" s="86"/>
      <c r="I15" s="86"/>
      <c r="J15" s="10"/>
      <c r="K15" s="10"/>
      <c r="L15" s="10"/>
      <c r="M15" s="10"/>
      <c r="N15" s="10"/>
    </row>
    <row r="16" spans="1:14" ht="0.6" customHeight="1" x14ac:dyDescent="0.45">
      <c r="B16" s="67"/>
      <c r="C16" s="66"/>
      <c r="D16" s="66"/>
      <c r="E16" s="58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27.6" hidden="1" customHeight="1" x14ac:dyDescent="0.45">
      <c r="B17" s="4"/>
      <c r="C17" s="5"/>
      <c r="D17" s="5"/>
      <c r="E17" s="5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46.8" customHeight="1" x14ac:dyDescent="0.45">
      <c r="B18" s="76" t="s">
        <v>121</v>
      </c>
      <c r="C18" s="77" t="s">
        <v>80</v>
      </c>
      <c r="D18" s="78" t="s">
        <v>81</v>
      </c>
      <c r="E18" s="79" t="s">
        <v>69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24" customHeight="1" x14ac:dyDescent="0.45">
      <c r="B19" s="49" t="s">
        <v>54</v>
      </c>
      <c r="C19" s="49" t="s">
        <v>87</v>
      </c>
      <c r="D19" s="49">
        <v>9600</v>
      </c>
      <c r="E19" s="70">
        <v>21220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24" customHeight="1" x14ac:dyDescent="0.45">
      <c r="B20" s="49" t="s">
        <v>136</v>
      </c>
      <c r="C20" s="49" t="s">
        <v>94</v>
      </c>
      <c r="D20" s="49">
        <v>3000</v>
      </c>
      <c r="E20" s="58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24" customHeight="1" x14ac:dyDescent="0.45">
      <c r="B21" s="49" t="s">
        <v>55</v>
      </c>
      <c r="C21" s="49" t="s">
        <v>67</v>
      </c>
      <c r="D21" s="49">
        <v>5000</v>
      </c>
      <c r="E21" s="58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24" customHeight="1" x14ac:dyDescent="0.45">
      <c r="B22" s="49" t="s">
        <v>57</v>
      </c>
      <c r="C22" s="49">
        <v>1500</v>
      </c>
      <c r="D22" s="49">
        <v>1500</v>
      </c>
      <c r="E22" s="58"/>
      <c r="F22" s="10"/>
      <c r="G22" s="10"/>
      <c r="H22" s="10"/>
      <c r="I22" s="10"/>
      <c r="J22" s="10"/>
      <c r="K22" s="10"/>
      <c r="L22" s="10"/>
      <c r="M22" s="10"/>
      <c r="N22" s="10"/>
    </row>
    <row r="23" spans="2:14" ht="24" customHeight="1" x14ac:dyDescent="0.45">
      <c r="B23" s="49" t="s">
        <v>58</v>
      </c>
      <c r="C23" s="49">
        <v>1</v>
      </c>
      <c r="D23" s="49">
        <v>50</v>
      </c>
      <c r="E23" s="58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24" customHeight="1" x14ac:dyDescent="0.45">
      <c r="B24" s="49" t="s">
        <v>59</v>
      </c>
      <c r="C24" s="49">
        <v>1</v>
      </c>
      <c r="D24" s="49">
        <v>70</v>
      </c>
      <c r="E24" s="58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24" customHeight="1" x14ac:dyDescent="0.45">
      <c r="B25" s="49" t="s">
        <v>60</v>
      </c>
      <c r="C25" s="49">
        <v>1</v>
      </c>
      <c r="D25" s="49">
        <v>1200</v>
      </c>
      <c r="E25" s="58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24" customHeight="1" x14ac:dyDescent="0.45">
      <c r="B26" s="49" t="s">
        <v>61</v>
      </c>
      <c r="C26" s="49">
        <v>1</v>
      </c>
      <c r="D26" s="49">
        <v>200</v>
      </c>
      <c r="E26" s="58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22.8" customHeight="1" x14ac:dyDescent="0.45">
      <c r="B27" s="49" t="s">
        <v>68</v>
      </c>
      <c r="C27" s="49">
        <v>6</v>
      </c>
      <c r="D27" s="49">
        <v>600</v>
      </c>
      <c r="E27" s="58"/>
      <c r="F27" s="10"/>
      <c r="G27" s="10"/>
      <c r="H27" s="10"/>
      <c r="I27" s="10"/>
      <c r="J27" s="10"/>
      <c r="K27" s="10"/>
      <c r="L27" s="10"/>
      <c r="M27" s="10"/>
      <c r="N27" s="10"/>
    </row>
    <row r="28" spans="2:14" ht="24" hidden="1" customHeight="1" x14ac:dyDescent="0.45">
      <c r="B28" s="4"/>
      <c r="C28" s="5"/>
      <c r="D28" s="5"/>
      <c r="E28" s="5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43.8" customHeight="1" x14ac:dyDescent="0.45">
      <c r="B29" s="76" t="s">
        <v>122</v>
      </c>
      <c r="C29" s="77" t="s">
        <v>80</v>
      </c>
      <c r="D29" s="82" t="s">
        <v>81</v>
      </c>
      <c r="E29" s="79" t="s">
        <v>82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2:14" ht="21" customHeight="1" x14ac:dyDescent="0.45">
      <c r="B30" s="49" t="s">
        <v>54</v>
      </c>
      <c r="C30" s="49" t="s">
        <v>73</v>
      </c>
      <c r="D30" s="49">
        <v>12000</v>
      </c>
      <c r="E30" s="75">
        <v>25097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21" customHeight="1" x14ac:dyDescent="0.45">
      <c r="B31" s="49" t="s">
        <v>136</v>
      </c>
      <c r="C31" s="49" t="s">
        <v>115</v>
      </c>
      <c r="D31" s="49">
        <v>3800</v>
      </c>
      <c r="E31" s="72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21" customHeight="1" x14ac:dyDescent="0.45">
      <c r="B32" s="49" t="s">
        <v>55</v>
      </c>
      <c r="C32" s="49" t="s">
        <v>74</v>
      </c>
      <c r="D32" s="49">
        <v>5800</v>
      </c>
      <c r="E32" s="72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21" customHeight="1" x14ac:dyDescent="0.45">
      <c r="B33" s="49" t="s">
        <v>57</v>
      </c>
      <c r="C33" s="49"/>
      <c r="D33" s="49">
        <v>500</v>
      </c>
      <c r="E33" s="72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21" customHeight="1" x14ac:dyDescent="0.45">
      <c r="B34" s="49" t="s">
        <v>62</v>
      </c>
      <c r="C34" s="49" t="s">
        <v>75</v>
      </c>
      <c r="D34" s="49">
        <v>600</v>
      </c>
      <c r="E34" s="72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21" customHeight="1" x14ac:dyDescent="0.45">
      <c r="B35" s="49" t="s">
        <v>70</v>
      </c>
      <c r="C35" s="49" t="s">
        <v>76</v>
      </c>
      <c r="D35" s="49">
        <v>500</v>
      </c>
      <c r="E35" s="72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21" customHeight="1" x14ac:dyDescent="0.45">
      <c r="B36" s="49" t="s">
        <v>58</v>
      </c>
      <c r="C36" s="49" t="s">
        <v>77</v>
      </c>
      <c r="D36" s="49">
        <v>100</v>
      </c>
      <c r="E36" s="72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21" customHeight="1" x14ac:dyDescent="0.45">
      <c r="B37" s="49" t="s">
        <v>59</v>
      </c>
      <c r="C37" s="49" t="s">
        <v>78</v>
      </c>
      <c r="D37" s="49">
        <v>70</v>
      </c>
      <c r="E37" s="72"/>
      <c r="F37" s="10"/>
      <c r="G37" s="10"/>
      <c r="H37" s="10"/>
      <c r="I37" s="10"/>
      <c r="J37" s="10"/>
      <c r="K37" s="10"/>
      <c r="L37" s="10"/>
      <c r="M37" s="10"/>
      <c r="N37" s="10"/>
    </row>
    <row r="38" spans="2:14" ht="21" customHeight="1" x14ac:dyDescent="0.45">
      <c r="B38" s="49" t="s">
        <v>71</v>
      </c>
      <c r="C38" s="49" t="s">
        <v>79</v>
      </c>
      <c r="D38" s="49">
        <v>327</v>
      </c>
      <c r="E38" s="72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21" customHeight="1" x14ac:dyDescent="0.45">
      <c r="B39" s="49" t="s">
        <v>72</v>
      </c>
      <c r="C39" s="49">
        <v>1</v>
      </c>
      <c r="D39" s="49">
        <v>1200</v>
      </c>
      <c r="E39" s="74"/>
      <c r="F39" s="10"/>
      <c r="G39" s="10"/>
      <c r="H39" s="10"/>
      <c r="I39" s="10"/>
      <c r="J39" s="10"/>
      <c r="K39" s="10"/>
      <c r="L39" s="10"/>
      <c r="M39" s="10"/>
      <c r="N39" s="10"/>
    </row>
    <row r="40" spans="2:14" ht="21" customHeight="1" x14ac:dyDescent="0.45">
      <c r="B40" s="73" t="s">
        <v>61</v>
      </c>
      <c r="C40" s="73">
        <v>1</v>
      </c>
      <c r="D40" s="73">
        <v>200</v>
      </c>
      <c r="E40" s="74"/>
      <c r="F40" s="10"/>
      <c r="G40" s="10"/>
      <c r="H40" s="10"/>
      <c r="I40" s="10"/>
      <c r="J40" s="10"/>
      <c r="K40" s="10"/>
      <c r="L40" s="10"/>
      <c r="M40" s="10"/>
      <c r="N40" s="10"/>
    </row>
    <row r="41" spans="2:14" ht="21" customHeight="1" x14ac:dyDescent="0.45">
      <c r="B41" s="73"/>
      <c r="C41" s="73"/>
      <c r="D41" s="73"/>
      <c r="E41" s="74"/>
      <c r="F41" s="10"/>
      <c r="G41" s="10"/>
      <c r="H41" s="10"/>
      <c r="I41" s="10"/>
      <c r="J41" s="10"/>
      <c r="K41" s="10"/>
      <c r="L41" s="10"/>
      <c r="M41" s="10"/>
      <c r="N41" s="10"/>
    </row>
    <row r="42" spans="2:14" ht="21" customHeight="1" x14ac:dyDescent="0.45">
      <c r="B42" s="68"/>
      <c r="C42" s="68"/>
      <c r="D42" s="68"/>
      <c r="E42" s="68"/>
      <c r="F42" s="10"/>
      <c r="G42" s="10"/>
      <c r="H42" s="10"/>
      <c r="I42" s="10"/>
      <c r="J42" s="10"/>
      <c r="K42" s="10"/>
      <c r="L42" s="10"/>
      <c r="M42" s="10"/>
      <c r="N42" s="10"/>
    </row>
    <row r="43" spans="2:14" ht="21" hidden="1" customHeight="1" x14ac:dyDescent="0.45">
      <c r="B43" s="4"/>
      <c r="C43" s="5"/>
      <c r="D43" s="5"/>
      <c r="E43" s="5"/>
      <c r="F43" s="10"/>
      <c r="G43" s="10"/>
      <c r="H43" s="10"/>
      <c r="I43" s="10"/>
      <c r="J43" s="10"/>
      <c r="K43" s="10"/>
      <c r="L43" s="10"/>
      <c r="M43" s="10"/>
      <c r="N43" s="10"/>
    </row>
    <row r="44" spans="2:14" ht="43.2" customHeight="1" x14ac:dyDescent="0.45">
      <c r="B44" s="89" t="s">
        <v>123</v>
      </c>
      <c r="C44" s="84" t="s">
        <v>80</v>
      </c>
      <c r="D44" s="82" t="s">
        <v>81</v>
      </c>
      <c r="E44" s="85" t="s">
        <v>82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2:14" ht="21" customHeight="1" x14ac:dyDescent="0.45">
      <c r="B45" s="68" t="s">
        <v>54</v>
      </c>
      <c r="C45" s="68" t="s">
        <v>112</v>
      </c>
      <c r="D45" s="68">
        <v>8000</v>
      </c>
      <c r="E45" s="86">
        <v>19497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2:14" ht="21" customHeight="1" x14ac:dyDescent="0.45">
      <c r="B46" s="68" t="s">
        <v>136</v>
      </c>
      <c r="C46" s="68" t="s">
        <v>113</v>
      </c>
      <c r="D46" s="68">
        <v>3500</v>
      </c>
      <c r="E46" s="68"/>
      <c r="F46" s="10"/>
      <c r="G46" s="10"/>
      <c r="H46" s="10"/>
      <c r="I46" s="10"/>
      <c r="J46" s="10"/>
      <c r="K46" s="10"/>
      <c r="L46" s="10"/>
      <c r="M46" s="10"/>
      <c r="N46" s="10"/>
    </row>
    <row r="47" spans="2:14" ht="21" customHeight="1" x14ac:dyDescent="0.45">
      <c r="B47" s="68" t="s">
        <v>55</v>
      </c>
      <c r="C47" s="68" t="s">
        <v>114</v>
      </c>
      <c r="D47" s="68">
        <v>4500</v>
      </c>
      <c r="E47" s="68"/>
      <c r="F47" s="10"/>
      <c r="G47" s="10"/>
      <c r="H47" s="10"/>
      <c r="I47" s="10"/>
      <c r="J47" s="10"/>
      <c r="K47" s="10"/>
      <c r="L47" s="10"/>
      <c r="M47" s="10"/>
      <c r="N47" s="10"/>
    </row>
    <row r="48" spans="2:14" ht="21" customHeight="1" x14ac:dyDescent="0.45">
      <c r="B48" s="68" t="s">
        <v>57</v>
      </c>
      <c r="C48" s="68"/>
      <c r="D48" s="68">
        <v>500</v>
      </c>
      <c r="E48" s="68"/>
      <c r="F48" s="10"/>
      <c r="G48" s="10"/>
      <c r="H48" s="10"/>
      <c r="I48" s="10"/>
      <c r="J48" s="10"/>
      <c r="K48" s="10"/>
      <c r="L48" s="10"/>
      <c r="M48" s="10"/>
      <c r="N48" s="10"/>
    </row>
    <row r="49" spans="2:14" ht="21" customHeight="1" x14ac:dyDescent="0.45">
      <c r="B49" s="68" t="s">
        <v>62</v>
      </c>
      <c r="C49" s="68" t="s">
        <v>75</v>
      </c>
      <c r="D49" s="68">
        <v>600</v>
      </c>
      <c r="E49" s="68"/>
      <c r="F49" s="10"/>
      <c r="G49" s="10"/>
      <c r="H49" s="10"/>
      <c r="I49" s="10"/>
      <c r="J49" s="10"/>
      <c r="K49" s="10"/>
      <c r="L49" s="10"/>
      <c r="M49" s="10"/>
      <c r="N49" s="10"/>
    </row>
    <row r="50" spans="2:14" ht="21" customHeight="1" x14ac:dyDescent="0.45">
      <c r="B50" s="68" t="s">
        <v>70</v>
      </c>
      <c r="C50" s="68" t="s">
        <v>85</v>
      </c>
      <c r="D50" s="68">
        <v>500</v>
      </c>
      <c r="E50" s="68"/>
      <c r="F50" s="10"/>
      <c r="G50" s="10"/>
      <c r="H50" s="10"/>
      <c r="I50" s="10"/>
      <c r="J50" s="10"/>
      <c r="K50" s="10"/>
      <c r="L50" s="10"/>
      <c r="M50" s="10"/>
      <c r="N50" s="10"/>
    </row>
    <row r="51" spans="2:14" ht="21" customHeight="1" x14ac:dyDescent="0.45">
      <c r="B51" s="68" t="s">
        <v>58</v>
      </c>
      <c r="C51" s="68" t="s">
        <v>77</v>
      </c>
      <c r="D51" s="68">
        <v>100</v>
      </c>
      <c r="E51" s="68"/>
      <c r="F51" s="10"/>
      <c r="G51" s="10"/>
      <c r="H51" s="10"/>
      <c r="I51" s="10"/>
      <c r="J51" s="10"/>
      <c r="K51" s="10"/>
      <c r="L51" s="10"/>
      <c r="M51" s="10"/>
      <c r="N51" s="10"/>
    </row>
    <row r="52" spans="2:14" ht="21" customHeight="1" x14ac:dyDescent="0.45">
      <c r="B52" s="68" t="s">
        <v>59</v>
      </c>
      <c r="C52" s="68" t="s">
        <v>83</v>
      </c>
      <c r="D52" s="68">
        <v>70</v>
      </c>
      <c r="E52" s="68"/>
      <c r="F52" s="10"/>
      <c r="G52" s="10"/>
      <c r="H52" s="10"/>
      <c r="I52" s="10"/>
      <c r="J52" s="10"/>
      <c r="K52" s="10"/>
      <c r="L52" s="10"/>
      <c r="M52" s="10"/>
      <c r="N52" s="10"/>
    </row>
    <row r="53" spans="2:14" ht="21" customHeight="1" x14ac:dyDescent="0.45">
      <c r="B53" s="68" t="s">
        <v>71</v>
      </c>
      <c r="C53" s="68" t="s">
        <v>84</v>
      </c>
      <c r="D53" s="68">
        <v>327</v>
      </c>
      <c r="E53" s="68"/>
      <c r="F53" s="10"/>
      <c r="G53" s="10"/>
      <c r="H53" s="10"/>
      <c r="I53" s="10"/>
      <c r="J53" s="10"/>
      <c r="K53" s="10"/>
      <c r="L53" s="10"/>
      <c r="M53" s="10"/>
      <c r="N53" s="10"/>
    </row>
    <row r="54" spans="2:14" ht="21" customHeight="1" x14ac:dyDescent="0.45">
      <c r="B54" s="68" t="s">
        <v>72</v>
      </c>
      <c r="C54" s="68">
        <v>1</v>
      </c>
      <c r="D54" s="68">
        <v>1200</v>
      </c>
      <c r="E54" s="68"/>
      <c r="F54" s="10"/>
      <c r="G54" s="10"/>
      <c r="H54" s="10"/>
      <c r="I54" s="10"/>
      <c r="J54" s="10"/>
      <c r="K54" s="10"/>
      <c r="L54" s="10"/>
      <c r="M54" s="10"/>
      <c r="N54" s="10"/>
    </row>
    <row r="55" spans="2:14" ht="21" customHeight="1" x14ac:dyDescent="0.45">
      <c r="B55" s="68" t="s">
        <v>61</v>
      </c>
      <c r="C55" s="68">
        <v>1</v>
      </c>
      <c r="D55" s="68">
        <v>200</v>
      </c>
      <c r="E55" s="68"/>
      <c r="F55" s="10"/>
      <c r="G55" s="10"/>
      <c r="H55" s="10"/>
      <c r="I55" s="10"/>
      <c r="J55" s="10"/>
      <c r="K55" s="10"/>
      <c r="L55" s="10"/>
      <c r="M55" s="10"/>
      <c r="N55" s="10"/>
    </row>
    <row r="56" spans="2:14" ht="21" customHeight="1" x14ac:dyDescent="0.45">
      <c r="B56" s="68"/>
      <c r="C56" s="68"/>
      <c r="D56" s="68"/>
      <c r="E56" s="68"/>
      <c r="F56" s="10"/>
      <c r="G56" s="10"/>
      <c r="H56" s="10"/>
      <c r="I56" s="10"/>
      <c r="J56" s="10"/>
      <c r="K56" s="10"/>
      <c r="L56" s="10"/>
      <c r="M56" s="10"/>
      <c r="N56" s="10"/>
    </row>
    <row r="57" spans="2:14" ht="21" customHeight="1" x14ac:dyDescent="0.45">
      <c r="B57" s="68"/>
      <c r="C57" s="68"/>
      <c r="D57" s="68"/>
      <c r="E57" s="68"/>
      <c r="F57" s="10"/>
      <c r="G57" s="10"/>
      <c r="H57" s="10"/>
      <c r="I57" s="10"/>
      <c r="J57" s="10"/>
      <c r="K57" s="10"/>
      <c r="L57" s="10"/>
      <c r="M57" s="10"/>
      <c r="N57" s="10"/>
    </row>
    <row r="58" spans="2:14" ht="21" hidden="1" customHeight="1" x14ac:dyDescent="0.45">
      <c r="B58" s="4"/>
      <c r="C58" s="5"/>
      <c r="D58" s="5"/>
      <c r="E58" s="5"/>
      <c r="F58" s="10"/>
      <c r="G58" s="10"/>
      <c r="H58" s="10"/>
      <c r="I58" s="10"/>
      <c r="J58" s="10"/>
      <c r="K58" s="10"/>
      <c r="L58" s="10"/>
      <c r="M58" s="10"/>
      <c r="N58" s="10"/>
    </row>
    <row r="59" spans="2:14" ht="42" customHeight="1" x14ac:dyDescent="0.45">
      <c r="B59" s="83" t="s">
        <v>124</v>
      </c>
      <c r="C59" s="84" t="s">
        <v>80</v>
      </c>
      <c r="D59" s="82" t="s">
        <v>81</v>
      </c>
      <c r="E59" s="85" t="s">
        <v>82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2:14" ht="21" customHeight="1" x14ac:dyDescent="0.45">
      <c r="B60" s="68" t="s">
        <v>54</v>
      </c>
      <c r="C60" s="68" t="s">
        <v>87</v>
      </c>
      <c r="D60" s="68">
        <v>10200</v>
      </c>
      <c r="E60" s="86">
        <v>18897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2:14" ht="21" customHeight="1" x14ac:dyDescent="0.45">
      <c r="B61" s="68" t="s">
        <v>136</v>
      </c>
      <c r="C61" s="68" t="s">
        <v>86</v>
      </c>
      <c r="D61" s="68">
        <v>2000</v>
      </c>
      <c r="E61" s="68"/>
      <c r="F61" s="10"/>
      <c r="G61" s="10"/>
      <c r="H61" s="10"/>
      <c r="I61" s="10"/>
      <c r="J61" s="10"/>
      <c r="K61" s="10"/>
      <c r="L61" s="10"/>
      <c r="M61" s="10"/>
      <c r="N61" s="10"/>
    </row>
    <row r="62" spans="2:14" ht="21" customHeight="1" x14ac:dyDescent="0.45">
      <c r="B62" s="68" t="s">
        <v>55</v>
      </c>
      <c r="C62" s="68" t="s">
        <v>87</v>
      </c>
      <c r="D62" s="68">
        <v>4000</v>
      </c>
      <c r="E62" s="68"/>
      <c r="F62" s="10"/>
      <c r="G62" s="10"/>
      <c r="H62" s="10"/>
      <c r="I62" s="10"/>
      <c r="J62" s="10"/>
      <c r="K62" s="10"/>
      <c r="L62" s="10"/>
      <c r="M62" s="10"/>
      <c r="N62" s="10"/>
    </row>
    <row r="63" spans="2:14" ht="21" customHeight="1" x14ac:dyDescent="0.45">
      <c r="B63" s="68" t="s">
        <v>57</v>
      </c>
      <c r="C63" s="68"/>
      <c r="D63" s="68">
        <v>500</v>
      </c>
      <c r="E63" s="68"/>
      <c r="F63" s="10"/>
      <c r="G63" s="10"/>
      <c r="H63" s="10"/>
      <c r="I63" s="10"/>
      <c r="J63" s="10"/>
      <c r="K63" s="10"/>
      <c r="L63" s="10"/>
      <c r="M63" s="10"/>
      <c r="N63" s="10"/>
    </row>
    <row r="64" spans="2:14" ht="21" customHeight="1" x14ac:dyDescent="0.45">
      <c r="B64" s="68" t="s">
        <v>70</v>
      </c>
      <c r="C64" s="68"/>
      <c r="D64" s="68">
        <v>300</v>
      </c>
      <c r="E64" s="68"/>
      <c r="F64" s="10"/>
      <c r="G64" s="10"/>
      <c r="H64" s="10"/>
      <c r="I64" s="10"/>
      <c r="J64" s="10"/>
      <c r="K64" s="10"/>
      <c r="L64" s="10"/>
      <c r="M64" s="10"/>
      <c r="N64" s="10"/>
    </row>
    <row r="65" spans="2:14" ht="21" customHeight="1" x14ac:dyDescent="0.45">
      <c r="B65" s="68" t="s">
        <v>58</v>
      </c>
      <c r="C65" s="68">
        <v>2</v>
      </c>
      <c r="D65" s="68">
        <v>100</v>
      </c>
      <c r="E65" s="68"/>
      <c r="F65" s="10"/>
      <c r="G65" s="10"/>
      <c r="H65" s="10"/>
      <c r="I65" s="10"/>
      <c r="J65" s="10"/>
      <c r="K65" s="10"/>
      <c r="L65" s="10"/>
      <c r="M65" s="10"/>
      <c r="N65" s="10"/>
    </row>
    <row r="66" spans="2:14" ht="21" customHeight="1" x14ac:dyDescent="0.45">
      <c r="B66" s="68" t="s">
        <v>59</v>
      </c>
      <c r="C66" s="68">
        <v>1</v>
      </c>
      <c r="D66" s="68">
        <v>70</v>
      </c>
      <c r="E66" s="68"/>
      <c r="F66" s="10"/>
      <c r="G66" s="10"/>
      <c r="H66" s="10"/>
      <c r="I66" s="10"/>
      <c r="J66" s="10"/>
      <c r="K66" s="10"/>
      <c r="L66" s="10"/>
      <c r="M66" s="10"/>
      <c r="N66" s="10"/>
    </row>
    <row r="67" spans="2:14" ht="21" customHeight="1" x14ac:dyDescent="0.45">
      <c r="B67" s="68" t="s">
        <v>71</v>
      </c>
      <c r="C67" s="68" t="s">
        <v>88</v>
      </c>
      <c r="D67" s="68">
        <v>327</v>
      </c>
      <c r="E67" s="68"/>
      <c r="F67" s="10"/>
      <c r="G67" s="10"/>
      <c r="H67" s="10"/>
      <c r="I67" s="10"/>
      <c r="J67" s="10"/>
      <c r="K67" s="10"/>
      <c r="L67" s="10"/>
      <c r="M67" s="10"/>
      <c r="N67" s="10"/>
    </row>
    <row r="68" spans="2:14" ht="21" customHeight="1" x14ac:dyDescent="0.45">
      <c r="B68" s="68" t="s">
        <v>72</v>
      </c>
      <c r="C68" s="68">
        <v>1</v>
      </c>
      <c r="D68" s="68">
        <v>1200</v>
      </c>
      <c r="E68" s="68"/>
      <c r="F68" s="10"/>
      <c r="G68" s="10"/>
      <c r="H68" s="10"/>
      <c r="I68" s="10"/>
      <c r="J68" s="10"/>
      <c r="K68" s="10"/>
      <c r="L68" s="10"/>
      <c r="M68" s="10"/>
      <c r="N68" s="10"/>
    </row>
    <row r="69" spans="2:14" ht="21" customHeight="1" x14ac:dyDescent="0.45">
      <c r="B69" s="68" t="s">
        <v>61</v>
      </c>
      <c r="C69" s="68">
        <v>1</v>
      </c>
      <c r="D69" s="68">
        <v>200</v>
      </c>
      <c r="E69" s="68"/>
      <c r="F69" s="10"/>
      <c r="G69" s="10"/>
      <c r="H69" s="10"/>
      <c r="I69" s="10"/>
      <c r="J69" s="10"/>
      <c r="K69" s="10"/>
      <c r="L69" s="10"/>
      <c r="M69" s="10"/>
      <c r="N69" s="10"/>
    </row>
    <row r="70" spans="2:14" ht="20.399999999999999" customHeight="1" x14ac:dyDescent="0.45">
      <c r="B70" s="68"/>
      <c r="C70" s="68"/>
      <c r="D70" s="68"/>
      <c r="E70" s="68"/>
      <c r="F70" s="10"/>
      <c r="G70" s="10"/>
      <c r="H70" s="10"/>
      <c r="I70" s="10"/>
      <c r="J70" s="10"/>
      <c r="K70" s="10"/>
      <c r="L70" s="10"/>
      <c r="M70" s="10"/>
      <c r="N70" s="10"/>
    </row>
    <row r="71" spans="2:14" ht="16.2" hidden="1" customHeight="1" x14ac:dyDescent="0.45">
      <c r="B71" s="4"/>
      <c r="C71" s="5"/>
      <c r="D71" s="5"/>
      <c r="E71" s="5"/>
      <c r="F71" s="10"/>
      <c r="G71" s="10"/>
      <c r="H71" s="10"/>
      <c r="I71" s="10"/>
      <c r="J71" s="10"/>
      <c r="K71" s="10"/>
      <c r="L71" s="10"/>
      <c r="M71" s="10"/>
      <c r="N71" s="10"/>
    </row>
    <row r="72" spans="2:14" ht="44.4" customHeight="1" x14ac:dyDescent="0.45">
      <c r="B72" s="83" t="s">
        <v>89</v>
      </c>
      <c r="C72" s="84" t="s">
        <v>80</v>
      </c>
      <c r="D72" s="82" t="s">
        <v>81</v>
      </c>
      <c r="E72" s="85" t="s">
        <v>82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2:14" ht="21" customHeight="1" x14ac:dyDescent="0.45">
      <c r="B73" s="68" t="s">
        <v>54</v>
      </c>
      <c r="C73" s="68" t="s">
        <v>90</v>
      </c>
      <c r="D73" s="68">
        <v>9000</v>
      </c>
      <c r="E73" s="88">
        <v>24486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2:14" ht="21" customHeight="1" x14ac:dyDescent="0.45">
      <c r="B74" s="68" t="s">
        <v>136</v>
      </c>
      <c r="C74" s="87">
        <v>1350</v>
      </c>
      <c r="D74" s="68">
        <v>3000</v>
      </c>
      <c r="E74" s="68"/>
      <c r="F74" s="10"/>
      <c r="G74" s="10"/>
      <c r="H74" s="10"/>
      <c r="I74" s="10"/>
      <c r="J74" s="10"/>
      <c r="K74" s="10"/>
      <c r="L74" s="10"/>
      <c r="M74" s="10"/>
      <c r="N74" s="10"/>
    </row>
    <row r="75" spans="2:14" ht="21" customHeight="1" x14ac:dyDescent="0.45">
      <c r="B75" s="68" t="s">
        <v>55</v>
      </c>
      <c r="C75" s="68" t="s">
        <v>91</v>
      </c>
      <c r="D75" s="68">
        <v>4500</v>
      </c>
      <c r="E75" s="68"/>
      <c r="F75" s="10"/>
      <c r="G75" s="10"/>
      <c r="H75" s="10"/>
      <c r="I75" s="10"/>
      <c r="J75" s="10"/>
      <c r="K75" s="10"/>
      <c r="L75" s="10"/>
      <c r="M75" s="10"/>
      <c r="N75" s="10"/>
    </row>
    <row r="76" spans="2:14" ht="21" customHeight="1" x14ac:dyDescent="0.45">
      <c r="B76" s="68" t="s">
        <v>57</v>
      </c>
      <c r="C76" s="68"/>
      <c r="D76" s="68">
        <v>1200</v>
      </c>
      <c r="E76" s="68"/>
      <c r="F76" s="10"/>
      <c r="G76" s="10"/>
      <c r="H76" s="10"/>
      <c r="I76" s="10"/>
      <c r="J76" s="10"/>
      <c r="K76" s="10"/>
      <c r="L76" s="10"/>
      <c r="M76" s="10"/>
      <c r="N76" s="10"/>
    </row>
    <row r="77" spans="2:14" ht="21" customHeight="1" x14ac:dyDescent="0.45">
      <c r="B77" s="68" t="s">
        <v>92</v>
      </c>
      <c r="C77" s="68">
        <v>6</v>
      </c>
      <c r="D77" s="68">
        <v>600</v>
      </c>
      <c r="E77" s="68"/>
      <c r="F77" s="10"/>
      <c r="G77" s="10"/>
      <c r="H77" s="10"/>
      <c r="I77" s="10"/>
      <c r="J77" s="10"/>
      <c r="K77" s="10"/>
      <c r="L77" s="10"/>
      <c r="M77" s="10"/>
      <c r="N77" s="10"/>
    </row>
    <row r="78" spans="2:14" ht="21" customHeight="1" x14ac:dyDescent="0.45">
      <c r="B78" s="68" t="s">
        <v>93</v>
      </c>
      <c r="C78" s="68" t="s">
        <v>94</v>
      </c>
      <c r="D78" s="68">
        <v>654</v>
      </c>
      <c r="E78" s="68"/>
      <c r="F78" s="10"/>
      <c r="G78" s="10"/>
      <c r="H78" s="10"/>
      <c r="I78" s="10"/>
      <c r="J78" s="10"/>
      <c r="K78" s="10"/>
      <c r="L78" s="10"/>
      <c r="M78" s="10"/>
      <c r="N78" s="10"/>
    </row>
    <row r="79" spans="2:14" ht="21" customHeight="1" x14ac:dyDescent="0.45">
      <c r="B79" s="68" t="s">
        <v>95</v>
      </c>
      <c r="C79" s="68" t="s">
        <v>99</v>
      </c>
      <c r="D79" s="68">
        <v>1050</v>
      </c>
      <c r="E79" s="68"/>
      <c r="F79" s="10"/>
      <c r="G79" s="10"/>
      <c r="H79" s="10"/>
      <c r="I79" s="10"/>
      <c r="J79" s="10"/>
      <c r="K79" s="10"/>
      <c r="L79" s="10"/>
      <c r="M79" s="10"/>
      <c r="N79" s="10"/>
    </row>
    <row r="80" spans="2:14" ht="21" customHeight="1" x14ac:dyDescent="0.45">
      <c r="B80" s="68" t="s">
        <v>96</v>
      </c>
      <c r="C80" s="68" t="s">
        <v>101</v>
      </c>
      <c r="D80" s="87">
        <v>1350</v>
      </c>
      <c r="E80" s="68"/>
      <c r="F80" s="10"/>
      <c r="G80" s="10"/>
      <c r="H80" s="10"/>
      <c r="I80" s="10"/>
      <c r="J80" s="10"/>
      <c r="K80" s="10"/>
      <c r="L80" s="10"/>
      <c r="M80" s="10"/>
      <c r="N80" s="10"/>
    </row>
    <row r="81" spans="2:14" ht="21" customHeight="1" x14ac:dyDescent="0.45">
      <c r="B81" s="68" t="s">
        <v>97</v>
      </c>
      <c r="C81" s="68" t="s">
        <v>100</v>
      </c>
      <c r="D81" s="87">
        <v>1160</v>
      </c>
      <c r="E81" s="68"/>
      <c r="F81" s="10"/>
      <c r="G81" s="10"/>
      <c r="H81" s="10"/>
      <c r="I81" s="10"/>
      <c r="J81" s="10"/>
      <c r="K81" s="10"/>
      <c r="L81" s="10"/>
      <c r="M81" s="10"/>
      <c r="N81" s="10"/>
    </row>
    <row r="82" spans="2:14" ht="21" customHeight="1" x14ac:dyDescent="0.45">
      <c r="B82" s="68" t="s">
        <v>62</v>
      </c>
      <c r="C82" s="68">
        <v>1</v>
      </c>
      <c r="D82" s="68">
        <v>222</v>
      </c>
      <c r="E82" s="68"/>
      <c r="F82" s="10"/>
      <c r="G82" s="10"/>
      <c r="H82" s="10"/>
      <c r="I82" s="10"/>
      <c r="J82" s="10"/>
      <c r="K82" s="10"/>
      <c r="L82" s="10"/>
      <c r="M82" s="10"/>
      <c r="N82" s="10"/>
    </row>
    <row r="83" spans="2:14" ht="21" customHeight="1" x14ac:dyDescent="0.45">
      <c r="B83" s="68" t="s">
        <v>63</v>
      </c>
      <c r="C83" s="68">
        <v>4</v>
      </c>
      <c r="D83" s="68">
        <v>200</v>
      </c>
      <c r="E83" s="68"/>
      <c r="F83" s="10"/>
      <c r="G83" s="10"/>
      <c r="H83" s="10"/>
      <c r="I83" s="10"/>
      <c r="J83" s="10"/>
      <c r="K83" s="10"/>
      <c r="L83" s="10"/>
      <c r="M83" s="10"/>
      <c r="N83" s="10"/>
    </row>
    <row r="84" spans="2:14" ht="21" customHeight="1" x14ac:dyDescent="0.45">
      <c r="B84" s="68" t="s">
        <v>98</v>
      </c>
      <c r="C84" s="68">
        <v>2</v>
      </c>
      <c r="D84" s="68">
        <v>150</v>
      </c>
      <c r="E84" s="68"/>
      <c r="F84" s="10"/>
      <c r="G84" s="10"/>
      <c r="H84" s="10"/>
      <c r="I84" s="10"/>
      <c r="J84" s="10"/>
      <c r="K84" s="10"/>
      <c r="L84" s="10"/>
      <c r="M84" s="10"/>
      <c r="N84" s="10"/>
    </row>
    <row r="85" spans="2:14" ht="21" customHeight="1" x14ac:dyDescent="0.45">
      <c r="B85" s="68" t="s">
        <v>60</v>
      </c>
      <c r="C85" s="68">
        <v>1</v>
      </c>
      <c r="D85" s="68">
        <v>1200</v>
      </c>
      <c r="E85" s="68"/>
      <c r="F85" s="10"/>
      <c r="G85" s="10"/>
      <c r="H85" s="10"/>
      <c r="I85" s="10"/>
      <c r="J85" s="10"/>
      <c r="K85" s="10"/>
      <c r="L85" s="10"/>
      <c r="M85" s="10"/>
      <c r="N85" s="10"/>
    </row>
    <row r="86" spans="2:14" ht="21" customHeight="1" x14ac:dyDescent="0.45">
      <c r="B86" s="68" t="s">
        <v>61</v>
      </c>
      <c r="C86" s="68">
        <v>1</v>
      </c>
      <c r="D86" s="68">
        <v>200</v>
      </c>
      <c r="E86" s="68"/>
      <c r="F86" s="10"/>
      <c r="G86" s="10"/>
      <c r="H86" s="10"/>
      <c r="I86" s="10"/>
      <c r="J86" s="10"/>
      <c r="K86" s="10"/>
      <c r="L86" s="10"/>
      <c r="M86" s="10"/>
      <c r="N86" s="10"/>
    </row>
    <row r="87" spans="2:14" ht="21" hidden="1" customHeight="1" x14ac:dyDescent="0.45">
      <c r="B87" s="4"/>
      <c r="C87" s="5"/>
      <c r="D87" s="5"/>
      <c r="E87" s="5"/>
      <c r="F87" s="10"/>
      <c r="G87" s="10"/>
      <c r="H87" s="10"/>
      <c r="I87" s="10"/>
      <c r="J87" s="10"/>
      <c r="K87" s="10"/>
      <c r="L87" s="10"/>
      <c r="M87" s="10"/>
      <c r="N87" s="10"/>
    </row>
    <row r="88" spans="2:14" ht="40.799999999999997" customHeight="1" x14ac:dyDescent="0.45">
      <c r="B88" s="83" t="s">
        <v>125</v>
      </c>
      <c r="C88" s="84" t="s">
        <v>80</v>
      </c>
      <c r="D88" s="82" t="s">
        <v>81</v>
      </c>
      <c r="E88" s="85" t="s">
        <v>82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2:14" ht="21" customHeight="1" x14ac:dyDescent="0.45">
      <c r="B89" s="68" t="s">
        <v>54</v>
      </c>
      <c r="C89" s="68" t="s">
        <v>90</v>
      </c>
      <c r="D89" s="68">
        <v>9000</v>
      </c>
      <c r="E89" s="86">
        <v>20974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2:14" ht="21" customHeight="1" x14ac:dyDescent="0.45">
      <c r="B90" s="68" t="s">
        <v>117</v>
      </c>
      <c r="C90" s="68" t="s">
        <v>102</v>
      </c>
      <c r="D90" s="68">
        <v>3000</v>
      </c>
      <c r="E90" s="68"/>
      <c r="F90" s="10"/>
      <c r="G90" s="10"/>
      <c r="H90" s="10"/>
      <c r="I90" s="10"/>
      <c r="J90" s="10"/>
      <c r="K90" s="10"/>
      <c r="L90" s="10"/>
      <c r="M90" s="10"/>
      <c r="N90" s="10"/>
    </row>
    <row r="91" spans="2:14" ht="21" customHeight="1" x14ac:dyDescent="0.45">
      <c r="B91" s="68" t="s">
        <v>55</v>
      </c>
      <c r="C91" s="68" t="s">
        <v>103</v>
      </c>
      <c r="D91" s="68">
        <v>4500</v>
      </c>
      <c r="E91" s="68"/>
      <c r="F91" s="10"/>
      <c r="G91" s="10"/>
      <c r="H91" s="10"/>
      <c r="I91" s="10"/>
      <c r="J91" s="10"/>
      <c r="K91" s="10"/>
      <c r="L91" s="10"/>
      <c r="M91" s="10"/>
      <c r="N91" s="10"/>
    </row>
    <row r="92" spans="2:14" ht="21" customHeight="1" x14ac:dyDescent="0.45">
      <c r="B92" s="68" t="s">
        <v>116</v>
      </c>
      <c r="C92" s="68" t="s">
        <v>118</v>
      </c>
      <c r="D92" s="68">
        <v>500</v>
      </c>
      <c r="E92" s="68"/>
      <c r="F92" s="10"/>
      <c r="G92" s="10"/>
      <c r="H92" s="10"/>
      <c r="I92" s="10"/>
      <c r="J92" s="10"/>
      <c r="K92" s="10"/>
      <c r="L92" s="10"/>
      <c r="M92" s="10"/>
      <c r="N92" s="10"/>
    </row>
    <row r="93" spans="2:14" ht="21" customHeight="1" x14ac:dyDescent="0.45">
      <c r="B93" s="68" t="s">
        <v>63</v>
      </c>
      <c r="C93" s="68">
        <v>3</v>
      </c>
      <c r="D93" s="68">
        <v>150</v>
      </c>
      <c r="E93" s="68"/>
      <c r="F93" s="10"/>
      <c r="G93" s="10"/>
      <c r="H93" s="10"/>
      <c r="I93" s="10"/>
      <c r="J93" s="10"/>
      <c r="K93" s="10"/>
      <c r="L93" s="10"/>
      <c r="M93" s="10"/>
      <c r="N93" s="10"/>
    </row>
    <row r="94" spans="2:14" ht="21" customHeight="1" x14ac:dyDescent="0.45">
      <c r="B94" s="68" t="s">
        <v>59</v>
      </c>
      <c r="C94" s="68">
        <v>1</v>
      </c>
      <c r="D94" s="68">
        <v>70</v>
      </c>
      <c r="E94" s="68"/>
      <c r="F94" s="10"/>
      <c r="G94" s="10"/>
      <c r="H94" s="10"/>
      <c r="I94" s="10"/>
      <c r="J94" s="10"/>
      <c r="K94" s="10"/>
      <c r="L94" s="10"/>
      <c r="M94" s="10"/>
      <c r="N94" s="10"/>
    </row>
    <row r="95" spans="2:14" ht="21" customHeight="1" x14ac:dyDescent="0.45">
      <c r="B95" s="68" t="s">
        <v>71</v>
      </c>
      <c r="C95" s="68" t="s">
        <v>94</v>
      </c>
      <c r="D95" s="68">
        <v>654</v>
      </c>
      <c r="E95" s="68"/>
      <c r="F95" s="10"/>
      <c r="G95" s="10"/>
      <c r="H95" s="10"/>
      <c r="I95" s="10"/>
      <c r="J95" s="10"/>
      <c r="K95" s="10"/>
      <c r="L95" s="10"/>
      <c r="M95" s="10"/>
      <c r="N95" s="10"/>
    </row>
    <row r="96" spans="2:14" ht="21" customHeight="1" x14ac:dyDescent="0.45">
      <c r="B96" s="68" t="s">
        <v>60</v>
      </c>
      <c r="C96" s="68">
        <v>1</v>
      </c>
      <c r="D96" s="68">
        <v>1200</v>
      </c>
      <c r="E96" s="68"/>
      <c r="F96" s="10"/>
      <c r="G96" s="10"/>
      <c r="H96" s="10"/>
      <c r="I96" s="10"/>
      <c r="J96" s="10"/>
      <c r="K96" s="10"/>
      <c r="L96" s="10"/>
      <c r="M96" s="10"/>
      <c r="N96" s="10"/>
    </row>
    <row r="97" spans="2:14" ht="21" customHeight="1" x14ac:dyDescent="0.45">
      <c r="B97" s="68" t="s">
        <v>61</v>
      </c>
      <c r="C97" s="68">
        <v>1</v>
      </c>
      <c r="D97" s="68">
        <v>200</v>
      </c>
      <c r="E97" s="68"/>
      <c r="F97" s="10"/>
      <c r="G97" s="10"/>
      <c r="H97" s="10"/>
      <c r="I97" s="10"/>
      <c r="J97" s="10"/>
      <c r="K97" s="10"/>
      <c r="L97" s="10"/>
      <c r="M97" s="10"/>
      <c r="N97" s="10"/>
    </row>
    <row r="98" spans="2:14" ht="21" customHeight="1" x14ac:dyDescent="0.45">
      <c r="B98" s="68" t="s">
        <v>108</v>
      </c>
      <c r="C98" s="68"/>
      <c r="D98" s="68">
        <v>1200</v>
      </c>
      <c r="E98" s="68"/>
      <c r="F98" s="10"/>
      <c r="G98" s="10"/>
      <c r="H98" s="10"/>
      <c r="I98" s="10"/>
      <c r="J98" s="10"/>
      <c r="K98" s="10"/>
      <c r="L98" s="10"/>
      <c r="M98" s="10"/>
      <c r="N98" s="10"/>
    </row>
    <row r="99" spans="2:14" ht="21.6" customHeight="1" x14ac:dyDescent="0.45">
      <c r="B99" s="68" t="s">
        <v>62</v>
      </c>
      <c r="C99" s="68" t="s">
        <v>119</v>
      </c>
      <c r="D99" s="68">
        <v>500</v>
      </c>
      <c r="E99" s="68"/>
      <c r="F99" s="10"/>
      <c r="G99" s="10"/>
      <c r="H99" s="10"/>
      <c r="I99" s="10"/>
      <c r="J99" s="10"/>
      <c r="K99" s="10"/>
      <c r="L99" s="10"/>
      <c r="M99" s="10"/>
      <c r="N99" s="10"/>
    </row>
    <row r="100" spans="2:14" ht="42.6" customHeight="1" x14ac:dyDescent="0.45">
      <c r="B100" s="83" t="s">
        <v>104</v>
      </c>
      <c r="C100" s="84" t="s">
        <v>80</v>
      </c>
      <c r="D100" s="82" t="s">
        <v>81</v>
      </c>
      <c r="E100" s="85" t="s">
        <v>82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2:14" ht="21" customHeight="1" x14ac:dyDescent="0.45">
      <c r="B101" s="68" t="s">
        <v>54</v>
      </c>
      <c r="C101" s="68" t="s">
        <v>109</v>
      </c>
      <c r="D101" s="68">
        <v>8000</v>
      </c>
      <c r="E101" s="86">
        <v>18727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2:14" ht="21" customHeight="1" x14ac:dyDescent="0.45">
      <c r="B102" s="68" t="s">
        <v>136</v>
      </c>
      <c r="C102" s="68" t="s">
        <v>110</v>
      </c>
      <c r="D102" s="68">
        <v>3000</v>
      </c>
      <c r="E102" s="68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21" customHeight="1" x14ac:dyDescent="0.45">
      <c r="B103" s="68" t="s">
        <v>55</v>
      </c>
      <c r="C103" s="68" t="s">
        <v>110</v>
      </c>
      <c r="D103" s="68">
        <v>3000</v>
      </c>
      <c r="E103" s="68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21" customHeight="1" x14ac:dyDescent="0.45">
      <c r="B104" s="68" t="s">
        <v>105</v>
      </c>
      <c r="C104" s="68" t="s">
        <v>111</v>
      </c>
      <c r="D104" s="68">
        <v>2200</v>
      </c>
      <c r="E104" s="68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2:14" ht="21" customHeight="1" x14ac:dyDescent="0.45">
      <c r="B105" s="68" t="s">
        <v>106</v>
      </c>
      <c r="C105" s="68">
        <v>1</v>
      </c>
      <c r="D105" s="68">
        <v>380</v>
      </c>
      <c r="E105" s="68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2:14" ht="21" customHeight="1" x14ac:dyDescent="0.45">
      <c r="B106" s="68" t="s">
        <v>56</v>
      </c>
      <c r="C106" s="68">
        <v>70</v>
      </c>
      <c r="D106" s="68">
        <v>327</v>
      </c>
      <c r="E106" s="68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21" customHeight="1" x14ac:dyDescent="0.45">
      <c r="B107" s="68" t="s">
        <v>137</v>
      </c>
      <c r="C107" s="68">
        <v>1</v>
      </c>
      <c r="D107" s="68">
        <v>50</v>
      </c>
      <c r="E107" s="68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2:14" ht="21" customHeight="1" x14ac:dyDescent="0.45">
      <c r="B108" s="68" t="s">
        <v>59</v>
      </c>
      <c r="C108" s="68">
        <v>1</v>
      </c>
      <c r="D108" s="68">
        <v>70</v>
      </c>
      <c r="E108" s="68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2:14" ht="21" customHeight="1" x14ac:dyDescent="0.45">
      <c r="B109" s="68" t="s">
        <v>107</v>
      </c>
      <c r="C109" s="68">
        <v>1</v>
      </c>
      <c r="D109" s="68">
        <v>1200</v>
      </c>
      <c r="E109" s="68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2:14" ht="21" customHeight="1" x14ac:dyDescent="0.45">
      <c r="B110" s="68" t="s">
        <v>108</v>
      </c>
      <c r="D110" s="57">
        <v>500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2:14" ht="21" customHeight="1" x14ac:dyDescent="0.45">
      <c r="B111" s="4"/>
      <c r="C111" s="5"/>
      <c r="D111" s="5"/>
      <c r="E111" s="5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2:14" ht="21" customHeight="1" x14ac:dyDescent="0.45">
      <c r="B112" s="68"/>
      <c r="C112" s="68"/>
      <c r="D112" s="68"/>
      <c r="E112" s="68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2:14" ht="21" customHeight="1" x14ac:dyDescent="0.45">
      <c r="B113" s="68"/>
      <c r="C113" s="68"/>
      <c r="D113" s="68"/>
      <c r="E113" s="86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2:14" ht="21" customHeight="1" x14ac:dyDescent="0.45">
      <c r="B114" s="68"/>
      <c r="C114" s="68"/>
      <c r="D114" s="68"/>
      <c r="E114" s="68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2:14" ht="21" customHeight="1" x14ac:dyDescent="0.45">
      <c r="B115" s="68"/>
      <c r="C115" s="68"/>
      <c r="D115" s="68"/>
      <c r="E115" s="68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2:14" ht="21" customHeight="1" x14ac:dyDescent="0.45">
      <c r="B116" s="68"/>
      <c r="C116" s="68"/>
      <c r="D116" s="68"/>
      <c r="E116" s="68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2:14" ht="21" customHeight="1" x14ac:dyDescent="0.45">
      <c r="B117" s="68"/>
      <c r="C117" s="68"/>
      <c r="D117" s="68"/>
      <c r="E117" s="68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2:14" ht="21" customHeight="1" x14ac:dyDescent="0.45">
      <c r="B118" s="68"/>
      <c r="C118" s="68"/>
      <c r="D118" s="68"/>
      <c r="E118" s="68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2:14" ht="21" customHeight="1" x14ac:dyDescent="0.45">
      <c r="B119" s="68"/>
      <c r="C119" s="68"/>
      <c r="D119" s="68"/>
      <c r="E119" s="68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2:14" ht="21" customHeight="1" x14ac:dyDescent="0.45">
      <c r="B120" s="68"/>
      <c r="C120" s="68"/>
      <c r="D120" s="68"/>
      <c r="E120" s="68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2:14" ht="21" customHeight="1" x14ac:dyDescent="0.45">
      <c r="B121" s="68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2:14" ht="21" customHeight="1" x14ac:dyDescent="0.45"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2:14" ht="21" customHeight="1" x14ac:dyDescent="0.45"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2:14" ht="21" customHeight="1" x14ac:dyDescent="0.45"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2:14" ht="21" customHeight="1" x14ac:dyDescent="0.45"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2:14" ht="21" customHeight="1" x14ac:dyDescent="0.45"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2:14" ht="21" customHeight="1" x14ac:dyDescent="0.45"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2:14" ht="21" customHeight="1" x14ac:dyDescent="0.45"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6:14" ht="21" customHeight="1" x14ac:dyDescent="0.45"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6:14" ht="21" customHeight="1" x14ac:dyDescent="0.45"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6:14" ht="21" customHeight="1" x14ac:dyDescent="0.45"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6:14" ht="21" customHeight="1" x14ac:dyDescent="0.45"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6:14" ht="21" customHeight="1" x14ac:dyDescent="0.45"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6:14" ht="21" customHeight="1" x14ac:dyDescent="0.45"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6:14" ht="21" customHeight="1" x14ac:dyDescent="0.45"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6:14" ht="21" customHeight="1" x14ac:dyDescent="0.45"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6:14" ht="21" customHeight="1" x14ac:dyDescent="0.45">
      <c r="F137" s="10"/>
      <c r="G137" s="10"/>
      <c r="H137" s="10"/>
      <c r="I137" s="10"/>
      <c r="J137" s="10"/>
      <c r="K137" s="10"/>
      <c r="L137" s="10"/>
      <c r="M137" s="10"/>
      <c r="N137" s="10"/>
    </row>
  </sheetData>
  <sheetProtection selectLockedCells="1" selectUnlockedCells="1"/>
  <dataValidations count="10">
    <dataValidation type="list" allowBlank="1" showInputMessage="1" showErrorMessage="1" sqref="C7:D15 D30:D40 C29:C42 C44:C57 D45:D55 C59:C70 D60:D63 D70 C72:C83 D73:D76 D83 D89:D91 D97:D98 C100:C109 D101:D104 D113:D116 C113:C120 G7:G15 I8 C88:C98 D19:D27 C18:C27" xr:uid="{00000000-0002-0000-0000-000000000000}">
      <formula1>Lista_AgentesVentas</formula1>
    </dataValidation>
    <dataValidation type="list" allowBlank="1" showInputMessage="1" showErrorMessage="1" sqref="D41:D42 D56:D57" xr:uid="{00000000-0002-0000-0000-000001000000}">
      <formula1>Lista_RegionesVentas</formula1>
    </dataValidation>
    <dataValidation type="list" allowBlank="1" showInputMessage="1" showErrorMessage="1" sqref="E30:E42 D44 D29 E45:E57 D59 E60:E70 D72 B84:D86 E73:E86 D88 B110 D99:D100 E101:E109 B121 E112:E120 B99:C99 B112:D112 E89:E99" xr:uid="{00000000-0002-0000-0000-000002000000}">
      <formula1>Lista_CategoríasVentas</formula1>
    </dataValidation>
    <dataValidation allowBlank="1" showInputMessage="1" showErrorMessage="1" prompt="Escriba el nombre de su empresa en la celda B2._x000a__x000a_Borre la siguiente tabla y escriba los datos de entrada de la previsión. Para administrar las opciones disponibles para las listas desplegables, vaya a la pestaña Listas." sqref="A1" xr:uid="{00000000-0002-0000-0000-000004000000}"/>
    <dataValidation allowBlank="1" showInputMessage="1" showErrorMessage="1" prompt="Escriba el nombre de la empresa en esta celda." sqref="B2" xr:uid="{00000000-0002-0000-0000-000005000000}"/>
    <dataValidation allowBlank="1" showInputMessage="1" showErrorMessage="1" prompt="Esta celda contiene el título de la hoja de cálculo." sqref="B3" xr:uid="{C78B40ED-7B62-40EB-A8F0-1449A1A28576}"/>
    <dataValidation allowBlank="1" showInputMessage="1" showErrorMessage="1" prompt="Escriba el nombre de la oportunidad en esta columna bajo este encabezado." sqref="B6 G6:H6" xr:uid="{038E9A07-CC3D-4307-ACCF-C67A92133E5C}"/>
    <dataValidation allowBlank="1" showInputMessage="1" showErrorMessage="1" prompt="Seleccione el agente de ventas en la lista desplegable de cada celda de esta columna. Las opciones están definidas en la hoja de cálculo Listas. Presione ALT+FLECHA ABAJO para desplazarse por la lista y ENTRAR para realizar una selección." sqref="C6" xr:uid="{681F6F32-B3F6-4160-A716-DC2626C63C02}"/>
    <dataValidation allowBlank="1" showInputMessage="1" showErrorMessage="1" prompt="Seleccione la región de ventas en la lista desplegable de cada celda de esta columna. Las opciones están definidas en la hoja de cálculo Listas. Presione ALT+FLECHA ABAJO para desplazarse por la lista y ENTRAR para realizar una selección." sqref="D6" xr:uid="{E5902912-F2E1-48AF-BE1F-FAFE5AE0EE72}"/>
    <dataValidation allowBlank="1" showInputMessage="1" showErrorMessage="1" prompt="La previsión ponderada se calcula automáticamente en esta columna." sqref="E6 I6" xr:uid="{C08E7FFC-CA2D-48C5-95AE-128A69B9F1DB}"/>
  </dataValidations>
  <pageMargins left="0.25" right="0.25" top="0.75" bottom="0.75" header="0.3" footer="0.3"/>
  <pageSetup paperSize="9" scale="47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R21"/>
  <sheetViews>
    <sheetView showGridLines="0" zoomScaleNormal="100" workbookViewId="0"/>
  </sheetViews>
  <sheetFormatPr baseColWidth="10" defaultColWidth="8.59765625" defaultRowHeight="21" customHeight="1" x14ac:dyDescent="0.4"/>
  <cols>
    <col min="1" max="1" width="3.69921875" style="19" customWidth="1"/>
    <col min="2" max="2" width="22.3984375" style="28" customWidth="1"/>
    <col min="3" max="3" width="25.8984375" style="50" customWidth="1"/>
    <col min="4" max="4" width="22.59765625" style="50" customWidth="1"/>
    <col min="5" max="5" width="3.69921875" style="19" customWidth="1"/>
    <col min="6" max="14" width="11.19921875" style="19" customWidth="1"/>
    <col min="15" max="15" width="3.69921875" style="19" customWidth="1"/>
    <col min="16" max="16" width="7" style="21" customWidth="1"/>
    <col min="17" max="18" width="12" style="21" customWidth="1"/>
    <col min="19" max="16384" width="8.59765625" style="22"/>
  </cols>
  <sheetData>
    <row r="1" spans="1:18" s="3" customFormat="1" ht="20.100000000000001" customHeight="1" x14ac:dyDescent="0.45">
      <c r="A1" s="17"/>
      <c r="B1" s="17"/>
      <c r="C1" s="18"/>
      <c r="D1" s="18"/>
      <c r="E1" s="18"/>
      <c r="F1" s="17"/>
      <c r="G1" s="17"/>
      <c r="H1" s="17"/>
      <c r="I1" s="17"/>
      <c r="J1" s="17"/>
      <c r="K1" s="17"/>
      <c r="L1" s="17"/>
      <c r="M1" s="17"/>
      <c r="N1" s="17"/>
      <c r="O1" s="17" t="s">
        <v>41</v>
      </c>
    </row>
    <row r="2" spans="1:18" s="11" customFormat="1" ht="30" customHeight="1" x14ac:dyDescent="0.45">
      <c r="A2" s="29"/>
      <c r="B2" s="30" t="str">
        <f>NombreEmpresa</f>
        <v>HLP Manufacturing INC</v>
      </c>
      <c r="C2" s="31"/>
      <c r="D2" s="31"/>
      <c r="E2" s="31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8" s="15" customFormat="1" ht="80.099999999999994" customHeight="1" x14ac:dyDescent="1.2">
      <c r="A3" s="32"/>
      <c r="B3" s="33" t="s">
        <v>42</v>
      </c>
      <c r="C3" s="34"/>
      <c r="D3" s="34"/>
      <c r="E3" s="34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8" s="37" customFormat="1" ht="32.1" customHeight="1" x14ac:dyDescent="0.4">
      <c r="A4" s="35"/>
      <c r="B4" s="36" t="s">
        <v>2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8" ht="24" customHeight="1" x14ac:dyDescent="0.4">
      <c r="B5" s="53" t="s">
        <v>43</v>
      </c>
      <c r="C5" s="63">
        <f ca="1">DATE(YEAR(TODAY())+1,1,1)</f>
        <v>46023</v>
      </c>
      <c r="D5" s="54"/>
      <c r="F5" s="20"/>
      <c r="G5" s="20"/>
      <c r="H5" s="20"/>
      <c r="I5" s="20"/>
      <c r="J5" s="20"/>
      <c r="K5" s="20"/>
      <c r="L5" s="20"/>
      <c r="M5" s="20"/>
      <c r="N5" s="20"/>
    </row>
    <row r="6" spans="1:18" s="26" customFormat="1" ht="60" customHeight="1" x14ac:dyDescent="0.4">
      <c r="A6" s="23"/>
      <c r="B6" s="51" t="s">
        <v>44</v>
      </c>
      <c r="C6" s="52" t="s">
        <v>45</v>
      </c>
      <c r="D6" s="51" t="s">
        <v>46</v>
      </c>
      <c r="E6" s="23"/>
      <c r="F6" s="24"/>
      <c r="G6" s="24"/>
      <c r="H6" s="24"/>
      <c r="I6" s="24"/>
      <c r="J6" s="24"/>
      <c r="K6" s="24"/>
      <c r="L6" s="24"/>
      <c r="M6" s="24"/>
      <c r="N6" s="24"/>
      <c r="O6" s="23"/>
      <c r="P6" s="25" t="str">
        <f>B6</f>
        <v>Mes</v>
      </c>
      <c r="Q6" s="25" t="s">
        <v>47</v>
      </c>
      <c r="R6" s="25" t="s">
        <v>46</v>
      </c>
    </row>
    <row r="7" spans="1:18" ht="24" customHeight="1" x14ac:dyDescent="0.4">
      <c r="B7" s="64">
        <f ca="1">DATE(YEAR(Mes_inicial),MONTH(Mes_inicial)+0,1)</f>
        <v>46023</v>
      </c>
      <c r="C7" s="59" t="e">
        <f ca="1">SUMIFS(Tabla_EntradaPrevisión[total],#REF!,"&gt;="&amp;'Previsión de ventas'!B7,#REF!,"&lt;="&amp;DATE(YEAR('Previsión de ventas'!B7),MONTH('Previsión de ventas'!B7)+1,0))</f>
        <v>#REF!</v>
      </c>
      <c r="D7" s="59" t="e">
        <f t="shared" ref="D7:D18" ca="1" si="0">IF(ISNUMBER(D6),D6+C7,C7)</f>
        <v>#REF!</v>
      </c>
      <c r="F7" s="27"/>
      <c r="G7" s="27"/>
      <c r="H7" s="27"/>
      <c r="I7" s="27"/>
      <c r="J7" s="27"/>
      <c r="K7" s="27"/>
      <c r="L7" s="27"/>
      <c r="M7" s="27"/>
      <c r="N7" s="27"/>
      <c r="P7" s="65">
        <f t="shared" ref="P7:P8" ca="1" si="1">B7</f>
        <v>46023</v>
      </c>
      <c r="Q7" s="60" t="e">
        <f ca="1">C7</f>
        <v>#REF!</v>
      </c>
      <c r="R7" s="60" t="e">
        <f ca="1">D7-C7</f>
        <v>#REF!</v>
      </c>
    </row>
    <row r="8" spans="1:18" ht="24" customHeight="1" x14ac:dyDescent="0.4">
      <c r="B8" s="64">
        <f ca="1">DATE(YEAR(Mes_inicial),MONTH(Mes_inicial)+1,1)</f>
        <v>46054</v>
      </c>
      <c r="C8" s="59" t="e">
        <f ca="1">SUMIFS(Tabla_EntradaPrevisión[total],#REF!,"&gt;="&amp;'Previsión de ventas'!B8,#REF!,"&lt;="&amp;DATE(YEAR('Previsión de ventas'!B8),MONTH('Previsión de ventas'!B8)+1,0))</f>
        <v>#REF!</v>
      </c>
      <c r="D8" s="59" t="e">
        <f t="shared" ca="1" si="0"/>
        <v>#REF!</v>
      </c>
      <c r="F8" s="27"/>
      <c r="G8" s="27"/>
      <c r="H8" s="27"/>
      <c r="I8" s="27"/>
      <c r="J8" s="27"/>
      <c r="K8" s="27"/>
      <c r="L8" s="27"/>
      <c r="M8" s="27"/>
      <c r="N8" s="27"/>
      <c r="P8" s="65">
        <f t="shared" ca="1" si="1"/>
        <v>46054</v>
      </c>
      <c r="Q8" s="60" t="e">
        <f t="shared" ref="Q8" ca="1" si="2">C8</f>
        <v>#REF!</v>
      </c>
      <c r="R8" s="60" t="e">
        <f t="shared" ref="R8" ca="1" si="3">D8-C8</f>
        <v>#REF!</v>
      </c>
    </row>
    <row r="9" spans="1:18" ht="24" customHeight="1" x14ac:dyDescent="0.4">
      <c r="B9" s="64">
        <f ca="1">DATE(YEAR(Mes_inicial),MONTH(Mes_inicial)+2,1)</f>
        <v>46082</v>
      </c>
      <c r="C9" s="59" t="e">
        <f ca="1">SUMIFS(Tabla_EntradaPrevisión[total],#REF!,"&gt;="&amp;'Previsión de ventas'!B9,#REF!,"&lt;="&amp;DATE(YEAR('Previsión de ventas'!B9),MONTH('Previsión de ventas'!B9)+1,0))</f>
        <v>#REF!</v>
      </c>
      <c r="D9" s="59" t="e">
        <f ca="1">IF(ISNUMBER(D8),D8+C9,C9)</f>
        <v>#REF!</v>
      </c>
      <c r="F9" s="27"/>
      <c r="G9" s="27"/>
      <c r="H9" s="27"/>
      <c r="I9" s="27"/>
      <c r="J9" s="27"/>
      <c r="K9" s="27"/>
      <c r="L9" s="27"/>
      <c r="M9" s="27"/>
      <c r="N9" s="27"/>
      <c r="P9" s="65">
        <f t="shared" ref="P9:P18" ca="1" si="4">B9</f>
        <v>46082</v>
      </c>
      <c r="Q9" s="60" t="e">
        <f t="shared" ref="Q9:Q18" ca="1" si="5">C9</f>
        <v>#REF!</v>
      </c>
      <c r="R9" s="60" t="e">
        <f t="shared" ref="R9:R18" ca="1" si="6">D9-C9</f>
        <v>#REF!</v>
      </c>
    </row>
    <row r="10" spans="1:18" ht="24" customHeight="1" x14ac:dyDescent="0.4">
      <c r="B10" s="64">
        <f ca="1">DATE(YEAR(Mes_inicial),MONTH(Mes_inicial)+3,1)</f>
        <v>46113</v>
      </c>
      <c r="C10" s="59" t="e">
        <f ca="1">SUMIFS(Tabla_EntradaPrevisión[total],#REF!,"&gt;="&amp;'Previsión de ventas'!B10,#REF!,"&lt;="&amp;DATE(YEAR('Previsión de ventas'!B10),MONTH('Previsión de ventas'!B10)+1,0))</f>
        <v>#REF!</v>
      </c>
      <c r="D10" s="59" t="e">
        <f t="shared" ca="1" si="0"/>
        <v>#REF!</v>
      </c>
      <c r="F10" s="27"/>
      <c r="G10" s="27"/>
      <c r="H10" s="27"/>
      <c r="I10" s="27"/>
      <c r="J10" s="27"/>
      <c r="K10" s="27"/>
      <c r="L10" s="27"/>
      <c r="M10" s="27"/>
      <c r="N10" s="27"/>
      <c r="P10" s="65">
        <f t="shared" ca="1" si="4"/>
        <v>46113</v>
      </c>
      <c r="Q10" s="60" t="e">
        <f t="shared" ca="1" si="5"/>
        <v>#REF!</v>
      </c>
      <c r="R10" s="60" t="e">
        <f t="shared" ca="1" si="6"/>
        <v>#REF!</v>
      </c>
    </row>
    <row r="11" spans="1:18" ht="24" customHeight="1" x14ac:dyDescent="0.4">
      <c r="B11" s="64">
        <f ca="1">DATE(YEAR(Mes_inicial),MONTH(Mes_inicial)+4,1)</f>
        <v>46143</v>
      </c>
      <c r="C11" s="59" t="e">
        <f ca="1">SUMIFS(Tabla_EntradaPrevisión[total],#REF!,"&gt;="&amp;'Previsión de ventas'!B11,#REF!,"&lt;="&amp;DATE(YEAR('Previsión de ventas'!B11),MONTH('Previsión de ventas'!B11)+1,0))</f>
        <v>#REF!</v>
      </c>
      <c r="D11" s="59" t="e">
        <f t="shared" ca="1" si="0"/>
        <v>#REF!</v>
      </c>
      <c r="F11" s="27"/>
      <c r="G11" s="27"/>
      <c r="H11" s="27"/>
      <c r="I11" s="27"/>
      <c r="J11" s="27"/>
      <c r="K11" s="27"/>
      <c r="L11" s="27"/>
      <c r="M11" s="27"/>
      <c r="N11" s="27"/>
      <c r="P11" s="65">
        <f t="shared" ca="1" si="4"/>
        <v>46143</v>
      </c>
      <c r="Q11" s="60" t="e">
        <f t="shared" ca="1" si="5"/>
        <v>#REF!</v>
      </c>
      <c r="R11" s="60" t="e">
        <f t="shared" ca="1" si="6"/>
        <v>#REF!</v>
      </c>
    </row>
    <row r="12" spans="1:18" ht="24" customHeight="1" x14ac:dyDescent="0.4">
      <c r="B12" s="64">
        <f ca="1">DATE(YEAR(Mes_inicial),MONTH(Mes_inicial)+5,1)</f>
        <v>46174</v>
      </c>
      <c r="C12" s="59" t="e">
        <f ca="1">SUMIFS(Tabla_EntradaPrevisión[total],#REF!,"&gt;="&amp;'Previsión de ventas'!B12,#REF!,"&lt;="&amp;DATE(YEAR('Previsión de ventas'!B12),MONTH('Previsión de ventas'!B12)+1,0))</f>
        <v>#REF!</v>
      </c>
      <c r="D12" s="59" t="e">
        <f t="shared" ca="1" si="0"/>
        <v>#REF!</v>
      </c>
      <c r="F12" s="27"/>
      <c r="G12" s="27"/>
      <c r="H12" s="27"/>
      <c r="I12" s="27"/>
      <c r="J12" s="27"/>
      <c r="K12" s="27"/>
      <c r="L12" s="27"/>
      <c r="M12" s="27"/>
      <c r="N12" s="27"/>
      <c r="P12" s="65">
        <f t="shared" ca="1" si="4"/>
        <v>46174</v>
      </c>
      <c r="Q12" s="60" t="e">
        <f t="shared" ca="1" si="5"/>
        <v>#REF!</v>
      </c>
      <c r="R12" s="60" t="e">
        <f t="shared" ca="1" si="6"/>
        <v>#REF!</v>
      </c>
    </row>
    <row r="13" spans="1:18" ht="24" customHeight="1" x14ac:dyDescent="0.4">
      <c r="B13" s="64">
        <f ca="1">DATE(YEAR(Mes_inicial),MONTH(Mes_inicial)+6,1)</f>
        <v>46204</v>
      </c>
      <c r="C13" s="59" t="e">
        <f ca="1">SUMIFS(Tabla_EntradaPrevisión[total],#REF!,"&gt;="&amp;'Previsión de ventas'!B13,#REF!,"&lt;="&amp;DATE(YEAR('Previsión de ventas'!B13),MONTH('Previsión de ventas'!B13)+1,0))</f>
        <v>#REF!</v>
      </c>
      <c r="D13" s="59" t="e">
        <f t="shared" ca="1" si="0"/>
        <v>#REF!</v>
      </c>
      <c r="F13" s="27"/>
      <c r="G13" s="27"/>
      <c r="H13" s="27"/>
      <c r="I13" s="27"/>
      <c r="J13" s="27"/>
      <c r="K13" s="27"/>
      <c r="L13" s="27"/>
      <c r="M13" s="27"/>
      <c r="N13" s="27"/>
      <c r="P13" s="65">
        <f t="shared" ca="1" si="4"/>
        <v>46204</v>
      </c>
      <c r="Q13" s="60" t="e">
        <f t="shared" ca="1" si="5"/>
        <v>#REF!</v>
      </c>
      <c r="R13" s="60" t="e">
        <f t="shared" ca="1" si="6"/>
        <v>#REF!</v>
      </c>
    </row>
    <row r="14" spans="1:18" ht="24" customHeight="1" x14ac:dyDescent="0.4">
      <c r="B14" s="64">
        <f ca="1">DATE(YEAR(Mes_inicial),MONTH(Mes_inicial)+7,1)</f>
        <v>46235</v>
      </c>
      <c r="C14" s="59" t="e">
        <f ca="1">SUMIFS(Tabla_EntradaPrevisión[total],#REF!,"&gt;="&amp;'Previsión de ventas'!B14,#REF!,"&lt;="&amp;DATE(YEAR('Previsión de ventas'!B14),MONTH('Previsión de ventas'!B14)+1,0))</f>
        <v>#REF!</v>
      </c>
      <c r="D14" s="59" t="e">
        <f t="shared" ca="1" si="0"/>
        <v>#REF!</v>
      </c>
      <c r="F14" s="27"/>
      <c r="G14" s="27"/>
      <c r="H14" s="27"/>
      <c r="I14" s="27"/>
      <c r="J14" s="27"/>
      <c r="K14" s="27"/>
      <c r="L14" s="27"/>
      <c r="M14" s="27"/>
      <c r="N14" s="27"/>
      <c r="P14" s="65">
        <f t="shared" ca="1" si="4"/>
        <v>46235</v>
      </c>
      <c r="Q14" s="60" t="e">
        <f t="shared" ca="1" si="5"/>
        <v>#REF!</v>
      </c>
      <c r="R14" s="60" t="e">
        <f t="shared" ca="1" si="6"/>
        <v>#REF!</v>
      </c>
    </row>
    <row r="15" spans="1:18" ht="24" customHeight="1" x14ac:dyDescent="0.4">
      <c r="B15" s="64">
        <f ca="1">DATE(YEAR(Mes_inicial),MONTH(Mes_inicial)+8,1)</f>
        <v>46266</v>
      </c>
      <c r="C15" s="59" t="e">
        <f ca="1">SUMIFS(Tabla_EntradaPrevisión[total],#REF!,"&gt;="&amp;'Previsión de ventas'!B15,#REF!,"&lt;="&amp;DATE(YEAR('Previsión de ventas'!B15),MONTH('Previsión de ventas'!B15)+1,0))</f>
        <v>#REF!</v>
      </c>
      <c r="D15" s="59" t="e">
        <f t="shared" ca="1" si="0"/>
        <v>#REF!</v>
      </c>
      <c r="F15" s="27"/>
      <c r="G15" s="27"/>
      <c r="H15" s="27"/>
      <c r="I15" s="27"/>
      <c r="J15" s="27"/>
      <c r="K15" s="27"/>
      <c r="L15" s="27"/>
      <c r="M15" s="27"/>
      <c r="N15" s="27"/>
      <c r="P15" s="65">
        <f t="shared" ca="1" si="4"/>
        <v>46266</v>
      </c>
      <c r="Q15" s="60" t="e">
        <f t="shared" ca="1" si="5"/>
        <v>#REF!</v>
      </c>
      <c r="R15" s="60" t="e">
        <f t="shared" ca="1" si="6"/>
        <v>#REF!</v>
      </c>
    </row>
    <row r="16" spans="1:18" ht="24" customHeight="1" x14ac:dyDescent="0.4">
      <c r="B16" s="64">
        <f ca="1">DATE(YEAR(Mes_inicial),MONTH(Mes_inicial)+9,1)</f>
        <v>46296</v>
      </c>
      <c r="C16" s="59" t="e">
        <f ca="1">SUMIFS(Tabla_EntradaPrevisión[total],#REF!,"&gt;="&amp;'Previsión de ventas'!B16,#REF!,"&lt;="&amp;DATE(YEAR('Previsión de ventas'!B16),MONTH('Previsión de ventas'!B16)+1,0))</f>
        <v>#REF!</v>
      </c>
      <c r="D16" s="59" t="e">
        <f t="shared" ca="1" si="0"/>
        <v>#REF!</v>
      </c>
      <c r="F16" s="27"/>
      <c r="G16" s="27"/>
      <c r="H16" s="27"/>
      <c r="I16" s="27"/>
      <c r="J16" s="27"/>
      <c r="K16" s="27"/>
      <c r="L16" s="27"/>
      <c r="M16" s="27"/>
      <c r="N16" s="27"/>
      <c r="P16" s="65">
        <f t="shared" ca="1" si="4"/>
        <v>46296</v>
      </c>
      <c r="Q16" s="60" t="e">
        <f t="shared" ca="1" si="5"/>
        <v>#REF!</v>
      </c>
      <c r="R16" s="60" t="e">
        <f t="shared" ca="1" si="6"/>
        <v>#REF!</v>
      </c>
    </row>
    <row r="17" spans="2:18" ht="24" customHeight="1" x14ac:dyDescent="0.4">
      <c r="B17" s="64">
        <f ca="1">DATE(YEAR(Mes_inicial),MONTH(Mes_inicial)+10,1)</f>
        <v>46327</v>
      </c>
      <c r="C17" s="59" t="e">
        <f ca="1">SUMIFS(Tabla_EntradaPrevisión[total],#REF!,"&gt;="&amp;'Previsión de ventas'!B17,#REF!,"&lt;="&amp;DATE(YEAR('Previsión de ventas'!B17),MONTH('Previsión de ventas'!B17)+1,0))</f>
        <v>#REF!</v>
      </c>
      <c r="D17" s="59" t="e">
        <f t="shared" ca="1" si="0"/>
        <v>#REF!</v>
      </c>
      <c r="F17" s="27"/>
      <c r="G17" s="27"/>
      <c r="H17" s="27"/>
      <c r="I17" s="27"/>
      <c r="J17" s="27"/>
      <c r="K17" s="27"/>
      <c r="L17" s="27"/>
      <c r="M17" s="27"/>
      <c r="N17" s="27"/>
      <c r="P17" s="65">
        <f t="shared" ca="1" si="4"/>
        <v>46327</v>
      </c>
      <c r="Q17" s="60" t="e">
        <f t="shared" ca="1" si="5"/>
        <v>#REF!</v>
      </c>
      <c r="R17" s="60" t="e">
        <f t="shared" ca="1" si="6"/>
        <v>#REF!</v>
      </c>
    </row>
    <row r="18" spans="2:18" ht="24" customHeight="1" x14ac:dyDescent="0.4">
      <c r="B18" s="64">
        <f ca="1">DATE(YEAR(Mes_inicial),MONTH(Mes_inicial)+11,1)</f>
        <v>46357</v>
      </c>
      <c r="C18" s="59" t="e">
        <f ca="1">SUMIFS(Tabla_EntradaPrevisión[total],#REF!,"&gt;="&amp;'Previsión de ventas'!B18,#REF!,"&lt;="&amp;DATE(YEAR('Previsión de ventas'!B18),MONTH('Previsión de ventas'!B18)+1,0))</f>
        <v>#REF!</v>
      </c>
      <c r="D18" s="59" t="e">
        <f t="shared" ca="1" si="0"/>
        <v>#REF!</v>
      </c>
      <c r="F18" s="27"/>
      <c r="G18" s="27"/>
      <c r="H18" s="27"/>
      <c r="I18" s="27"/>
      <c r="J18" s="27"/>
      <c r="K18" s="27"/>
      <c r="L18" s="27"/>
      <c r="M18" s="27"/>
      <c r="N18" s="27"/>
      <c r="P18" s="65">
        <f t="shared" ca="1" si="4"/>
        <v>46357</v>
      </c>
      <c r="Q18" s="60" t="e">
        <f t="shared" ca="1" si="5"/>
        <v>#REF!</v>
      </c>
      <c r="R18" s="60" t="e">
        <f t="shared" ca="1" si="6"/>
        <v>#REF!</v>
      </c>
    </row>
    <row r="19" spans="2:18" ht="21" customHeight="1" x14ac:dyDescent="0.4">
      <c r="B19" s="61"/>
      <c r="C19" s="61"/>
      <c r="D19" s="61"/>
      <c r="O19" s="19" t="s">
        <v>41</v>
      </c>
    </row>
    <row r="20" spans="2:18" ht="21" customHeight="1" x14ac:dyDescent="0.4">
      <c r="B20" s="61"/>
      <c r="C20" s="61"/>
      <c r="D20" s="61"/>
    </row>
    <row r="21" spans="2:18" ht="21" customHeight="1" x14ac:dyDescent="0.4">
      <c r="C21" s="62"/>
      <c r="D21" s="61"/>
    </row>
  </sheetData>
  <dataValidations count="4">
    <dataValidation allowBlank="1" showInputMessage="1" showErrorMessage="1" prompt="Escriba una fecha de inicio en la celda C5. _x000a__x000a_La tabla y el gráfico mostrarán una previsión de un año con los datos de la pestaña Entrada de previsión." sqref="A1" xr:uid="{00000000-0002-0000-0100-000000000000}"/>
    <dataValidation allowBlank="1" showInputMessage="1" showErrorMessage="1" prompt="Escriba la fecha en la que se iniciará la previsión de un año." sqref="C5" xr:uid="{00000000-0002-0000-0100-000001000000}"/>
    <dataValidation allowBlank="1" showInputMessage="1" showErrorMessage="1" prompt="El nombre de la empresa se actualiza automáticamente en esta celda." sqref="B2" xr:uid="{CCA4D478-3292-42CE-A5AB-6A9482054F59}"/>
    <dataValidation allowBlank="1" showInputMessage="1" showErrorMessage="1" prompt="Esta celda contiene el título de la hoja de cálculo." sqref="B3" xr:uid="{A2EA1871-D355-4F08-A8F3-F85571C9F598}"/>
  </dataValidations>
  <pageMargins left="0.25" right="0.25" top="0.75" bottom="0.75" header="0.3" footer="0.3"/>
  <pageSetup paperSize="9" scale="53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  <pageSetUpPr fitToPage="1"/>
  </sheetPr>
  <dimension ref="A1:F100"/>
  <sheetViews>
    <sheetView showGridLines="0" workbookViewId="0"/>
  </sheetViews>
  <sheetFormatPr baseColWidth="10" defaultColWidth="8.59765625" defaultRowHeight="21" customHeight="1" x14ac:dyDescent="0.4"/>
  <cols>
    <col min="1" max="1" width="3.69921875" style="38" customWidth="1"/>
    <col min="2" max="2" width="25.59765625" style="40" customWidth="1"/>
    <col min="3" max="3" width="29.69921875" style="40" customWidth="1"/>
    <col min="4" max="4" width="26.8984375" style="40" customWidth="1"/>
    <col min="5" max="5" width="24" style="40" customWidth="1"/>
    <col min="6" max="6" width="3.69921875" style="38" customWidth="1"/>
    <col min="7" max="16384" width="8.59765625" style="22"/>
  </cols>
  <sheetData>
    <row r="1" spans="1:6" ht="20.100000000000001" customHeight="1" x14ac:dyDescent="0.45">
      <c r="B1" s="39"/>
    </row>
    <row r="2" spans="1:6" s="46" customFormat="1" ht="30" customHeight="1" x14ac:dyDescent="0.45">
      <c r="A2" s="43"/>
      <c r="B2" s="44" t="str">
        <f>NombreEmpresa</f>
        <v>HLP Manufacturing INC</v>
      </c>
      <c r="C2" s="45"/>
      <c r="D2" s="45"/>
      <c r="E2" s="45"/>
      <c r="F2" s="43"/>
    </row>
    <row r="3" spans="1:6" s="46" customFormat="1" ht="80.099999999999994" customHeight="1" x14ac:dyDescent="0.4">
      <c r="A3" s="43"/>
      <c r="B3" s="47" t="s">
        <v>48</v>
      </c>
      <c r="C3" s="45"/>
      <c r="D3" s="45"/>
      <c r="E3" s="45"/>
      <c r="F3" s="43"/>
    </row>
    <row r="4" spans="1:6" s="46" customFormat="1" ht="32.1" customHeight="1" x14ac:dyDescent="0.4">
      <c r="A4" s="43"/>
      <c r="B4" s="48" t="s">
        <v>2</v>
      </c>
      <c r="C4" s="45"/>
      <c r="D4" s="45"/>
      <c r="E4" s="45"/>
      <c r="F4" s="43"/>
    </row>
    <row r="5" spans="1:6" s="3" customFormat="1" ht="24" customHeight="1" x14ac:dyDescent="0.45">
      <c r="A5" s="41"/>
      <c r="B5" s="55"/>
      <c r="C5" s="56"/>
      <c r="D5" s="55"/>
      <c r="E5" s="55"/>
      <c r="F5" s="41"/>
    </row>
    <row r="6" spans="1:6" s="26" customFormat="1" ht="60" customHeight="1" x14ac:dyDescent="0.4">
      <c r="A6" s="42"/>
      <c r="B6" s="51" t="s">
        <v>49</v>
      </c>
      <c r="C6" s="51" t="s">
        <v>50</v>
      </c>
      <c r="D6" s="51" t="s">
        <v>51</v>
      </c>
      <c r="E6" s="51" t="s">
        <v>53</v>
      </c>
      <c r="F6" s="42"/>
    </row>
    <row r="7" spans="1:6" ht="24" customHeight="1" x14ac:dyDescent="0.4">
      <c r="B7" s="49" t="s">
        <v>3</v>
      </c>
      <c r="C7" s="49" t="s">
        <v>8</v>
      </c>
      <c r="D7" s="49" t="s">
        <v>26</v>
      </c>
      <c r="E7" s="49" t="s">
        <v>34</v>
      </c>
    </row>
    <row r="8" spans="1:6" ht="24" customHeight="1" x14ac:dyDescent="0.4">
      <c r="B8" s="49" t="s">
        <v>4</v>
      </c>
      <c r="C8" s="49" t="s">
        <v>9</v>
      </c>
      <c r="D8" s="49" t="s">
        <v>28</v>
      </c>
      <c r="E8" s="49" t="s">
        <v>33</v>
      </c>
    </row>
    <row r="9" spans="1:6" ht="24" customHeight="1" x14ac:dyDescent="0.4">
      <c r="B9" s="49" t="s">
        <v>5</v>
      </c>
      <c r="C9" s="49" t="s">
        <v>10</v>
      </c>
      <c r="D9" s="49" t="s">
        <v>27</v>
      </c>
      <c r="E9" s="49" t="s">
        <v>37</v>
      </c>
    </row>
    <row r="10" spans="1:6" ht="24" customHeight="1" x14ac:dyDescent="0.4">
      <c r="B10" s="49" t="s">
        <v>6</v>
      </c>
      <c r="C10" s="49" t="s">
        <v>11</v>
      </c>
      <c r="D10" s="49" t="s">
        <v>29</v>
      </c>
      <c r="E10" s="49" t="s">
        <v>38</v>
      </c>
    </row>
    <row r="11" spans="1:6" ht="24" customHeight="1" x14ac:dyDescent="0.4">
      <c r="B11" s="49" t="s">
        <v>7</v>
      </c>
      <c r="C11" s="49" t="s">
        <v>12</v>
      </c>
      <c r="D11" s="49" t="s">
        <v>30</v>
      </c>
      <c r="E11" s="49" t="s">
        <v>39</v>
      </c>
    </row>
    <row r="12" spans="1:6" ht="24" customHeight="1" x14ac:dyDescent="0.4">
      <c r="B12" s="49"/>
      <c r="C12" s="49" t="s">
        <v>13</v>
      </c>
      <c r="D12" s="49" t="s">
        <v>31</v>
      </c>
      <c r="E12" s="49" t="s">
        <v>40</v>
      </c>
    </row>
    <row r="13" spans="1:6" ht="24" customHeight="1" x14ac:dyDescent="0.4">
      <c r="B13" s="49"/>
      <c r="C13" s="49" t="s">
        <v>14</v>
      </c>
      <c r="D13" s="49" t="s">
        <v>52</v>
      </c>
      <c r="E13" s="49" t="s">
        <v>32</v>
      </c>
    </row>
    <row r="14" spans="1:6" ht="24" customHeight="1" x14ac:dyDescent="0.4">
      <c r="B14" s="49"/>
      <c r="C14" s="49" t="s">
        <v>15</v>
      </c>
      <c r="D14" s="49"/>
      <c r="E14" s="49" t="s">
        <v>36</v>
      </c>
    </row>
    <row r="15" spans="1:6" ht="24" customHeight="1" x14ac:dyDescent="0.4">
      <c r="B15" s="49"/>
      <c r="C15" s="49" t="s">
        <v>16</v>
      </c>
      <c r="D15" s="49"/>
      <c r="E15" s="49" t="s">
        <v>35</v>
      </c>
    </row>
    <row r="16" spans="1:6" ht="24" customHeight="1" x14ac:dyDescent="0.4">
      <c r="B16" s="49"/>
      <c r="C16" s="49" t="s">
        <v>17</v>
      </c>
      <c r="D16" s="49"/>
      <c r="E16" s="49"/>
    </row>
    <row r="17" spans="2:5" ht="24" customHeight="1" x14ac:dyDescent="0.4">
      <c r="B17" s="49"/>
      <c r="C17" s="49" t="s">
        <v>18</v>
      </c>
      <c r="D17" s="49"/>
      <c r="E17" s="49"/>
    </row>
    <row r="18" spans="2:5" ht="24" customHeight="1" x14ac:dyDescent="0.4">
      <c r="B18" s="49"/>
      <c r="C18" s="49" t="s">
        <v>19</v>
      </c>
      <c r="D18" s="49"/>
      <c r="E18" s="49"/>
    </row>
    <row r="19" spans="2:5" ht="24" customHeight="1" x14ac:dyDescent="0.4">
      <c r="B19" s="49"/>
      <c r="C19" s="49" t="s">
        <v>20</v>
      </c>
      <c r="D19" s="49"/>
      <c r="E19" s="49"/>
    </row>
    <row r="20" spans="2:5" ht="24" customHeight="1" x14ac:dyDescent="0.4">
      <c r="B20" s="49"/>
      <c r="C20" s="49" t="s">
        <v>21</v>
      </c>
      <c r="D20" s="49"/>
      <c r="E20" s="49"/>
    </row>
    <row r="21" spans="2:5" ht="24" customHeight="1" x14ac:dyDescent="0.4">
      <c r="B21" s="49"/>
      <c r="C21" s="49" t="s">
        <v>22</v>
      </c>
      <c r="D21" s="49"/>
      <c r="E21" s="49"/>
    </row>
    <row r="22" spans="2:5" ht="24" customHeight="1" x14ac:dyDescent="0.4">
      <c r="B22" s="49"/>
      <c r="C22" s="49" t="s">
        <v>23</v>
      </c>
      <c r="D22" s="49"/>
      <c r="E22" s="49"/>
    </row>
    <row r="23" spans="2:5" ht="24" customHeight="1" x14ac:dyDescent="0.4">
      <c r="B23" s="49"/>
      <c r="C23" s="49" t="s">
        <v>24</v>
      </c>
      <c r="D23" s="49"/>
      <c r="E23" s="49"/>
    </row>
    <row r="24" spans="2:5" ht="24" customHeight="1" x14ac:dyDescent="0.4">
      <c r="B24" s="49"/>
      <c r="C24" s="49" t="s">
        <v>25</v>
      </c>
      <c r="D24" s="49"/>
      <c r="E24" s="49"/>
    </row>
    <row r="25" spans="2:5" ht="24" customHeight="1" x14ac:dyDescent="0.4"/>
    <row r="26" spans="2:5" ht="24" customHeight="1" x14ac:dyDescent="0.4"/>
    <row r="27" spans="2:5" ht="24" customHeight="1" x14ac:dyDescent="0.4"/>
    <row r="28" spans="2:5" ht="24" customHeight="1" x14ac:dyDescent="0.4"/>
    <row r="29" spans="2:5" ht="24" customHeight="1" x14ac:dyDescent="0.4"/>
    <row r="30" spans="2:5" ht="24" customHeight="1" x14ac:dyDescent="0.4"/>
    <row r="31" spans="2:5" ht="24" customHeight="1" x14ac:dyDescent="0.4"/>
    <row r="32" spans="2:5" ht="24" customHeight="1" x14ac:dyDescent="0.4"/>
    <row r="33" ht="24" customHeight="1" x14ac:dyDescent="0.4"/>
    <row r="34" ht="24" customHeight="1" x14ac:dyDescent="0.4"/>
    <row r="35" ht="24" customHeight="1" x14ac:dyDescent="0.4"/>
    <row r="36" ht="24" customHeight="1" x14ac:dyDescent="0.4"/>
    <row r="37" ht="24" customHeight="1" x14ac:dyDescent="0.4"/>
    <row r="38" ht="24" customHeight="1" x14ac:dyDescent="0.4"/>
    <row r="39" ht="24" customHeight="1" x14ac:dyDescent="0.4"/>
    <row r="40" ht="24" customHeight="1" x14ac:dyDescent="0.4"/>
    <row r="41" ht="24" customHeight="1" x14ac:dyDescent="0.4"/>
    <row r="42" ht="24" customHeight="1" x14ac:dyDescent="0.4"/>
    <row r="43" ht="24" customHeight="1" x14ac:dyDescent="0.4"/>
    <row r="44" ht="24" customHeight="1" x14ac:dyDescent="0.4"/>
    <row r="45" ht="24" customHeight="1" x14ac:dyDescent="0.4"/>
    <row r="46" ht="24" customHeight="1" x14ac:dyDescent="0.4"/>
    <row r="47" ht="24" customHeight="1" x14ac:dyDescent="0.4"/>
    <row r="48" ht="24" customHeight="1" x14ac:dyDescent="0.4"/>
    <row r="49" ht="24" customHeight="1" x14ac:dyDescent="0.4"/>
    <row r="50" ht="24" customHeight="1" x14ac:dyDescent="0.4"/>
    <row r="51" ht="24" customHeight="1" x14ac:dyDescent="0.4"/>
    <row r="52" ht="24" customHeight="1" x14ac:dyDescent="0.4"/>
    <row r="53" ht="24" customHeight="1" x14ac:dyDescent="0.4"/>
    <row r="54" ht="24" customHeight="1" x14ac:dyDescent="0.4"/>
    <row r="55" ht="24" customHeight="1" x14ac:dyDescent="0.4"/>
    <row r="56" ht="24" customHeight="1" x14ac:dyDescent="0.4"/>
    <row r="57" ht="24" customHeight="1" x14ac:dyDescent="0.4"/>
    <row r="58" ht="24" customHeight="1" x14ac:dyDescent="0.4"/>
    <row r="59" ht="24" customHeight="1" x14ac:dyDescent="0.4"/>
    <row r="60" ht="24" customHeight="1" x14ac:dyDescent="0.4"/>
    <row r="61" ht="24" customHeight="1" x14ac:dyDescent="0.4"/>
    <row r="62" ht="24" customHeight="1" x14ac:dyDescent="0.4"/>
    <row r="63" ht="24" customHeight="1" x14ac:dyDescent="0.4"/>
    <row r="64" ht="24" customHeight="1" x14ac:dyDescent="0.4"/>
    <row r="65" ht="24" customHeight="1" x14ac:dyDescent="0.4"/>
    <row r="66" ht="24" customHeight="1" x14ac:dyDescent="0.4"/>
    <row r="67" ht="24" customHeight="1" x14ac:dyDescent="0.4"/>
    <row r="68" ht="24" customHeight="1" x14ac:dyDescent="0.4"/>
    <row r="69" ht="24" customHeight="1" x14ac:dyDescent="0.4"/>
    <row r="70" ht="24" customHeight="1" x14ac:dyDescent="0.4"/>
    <row r="71" ht="24" customHeight="1" x14ac:dyDescent="0.4"/>
    <row r="72" ht="24" customHeight="1" x14ac:dyDescent="0.4"/>
    <row r="73" ht="24" customHeight="1" x14ac:dyDescent="0.4"/>
    <row r="74" ht="24" customHeight="1" x14ac:dyDescent="0.4"/>
    <row r="75" ht="24" customHeight="1" x14ac:dyDescent="0.4"/>
    <row r="76" ht="24" customHeight="1" x14ac:dyDescent="0.4"/>
    <row r="77" ht="24" customHeight="1" x14ac:dyDescent="0.4"/>
    <row r="78" ht="24" customHeight="1" x14ac:dyDescent="0.4"/>
    <row r="79" ht="24" customHeight="1" x14ac:dyDescent="0.4"/>
    <row r="80" ht="24" customHeight="1" x14ac:dyDescent="0.4"/>
    <row r="81" ht="24" customHeight="1" x14ac:dyDescent="0.4"/>
    <row r="82" ht="24" customHeight="1" x14ac:dyDescent="0.4"/>
    <row r="83" ht="24" customHeight="1" x14ac:dyDescent="0.4"/>
    <row r="84" ht="24" customHeight="1" x14ac:dyDescent="0.4"/>
    <row r="85" ht="24" customHeight="1" x14ac:dyDescent="0.4"/>
    <row r="86" ht="24" customHeight="1" x14ac:dyDescent="0.4"/>
    <row r="87" ht="24" customHeight="1" x14ac:dyDescent="0.4"/>
    <row r="88" ht="24" customHeight="1" x14ac:dyDescent="0.4"/>
    <row r="89" ht="24" customHeight="1" x14ac:dyDescent="0.4"/>
    <row r="90" ht="24" customHeight="1" x14ac:dyDescent="0.4"/>
    <row r="91" ht="24" customHeight="1" x14ac:dyDescent="0.4"/>
    <row r="92" ht="24" customHeight="1" x14ac:dyDescent="0.4"/>
    <row r="93" ht="24" customHeight="1" x14ac:dyDescent="0.4"/>
    <row r="94" ht="24" customHeight="1" x14ac:dyDescent="0.4"/>
    <row r="95" ht="24" customHeight="1" x14ac:dyDescent="0.4"/>
    <row r="96" ht="24" customHeight="1" x14ac:dyDescent="0.4"/>
    <row r="97" ht="24" customHeight="1" x14ac:dyDescent="0.4"/>
    <row r="98" ht="24" customHeight="1" x14ac:dyDescent="0.4"/>
    <row r="99" ht="24" customHeight="1" x14ac:dyDescent="0.4"/>
    <row r="100" ht="24" customHeight="1" x14ac:dyDescent="0.4"/>
  </sheetData>
  <sortState xmlns:xlrd2="http://schemas.microsoft.com/office/spreadsheetml/2017/richdata2" ref="D7:D13">
    <sortCondition ref="D7:D13"/>
  </sortState>
  <dataValidations count="3">
    <dataValidation allowBlank="1" showInputMessage="1" showErrorMessage="1" prompt="En esta pestaña, puede administrar las opciones disponibles de los campos de lista desplegable de la pestaña Entradas de previsión." sqref="A1" xr:uid="{00000000-0002-0000-0200-000000000000}"/>
    <dataValidation allowBlank="1" showInputMessage="1" showErrorMessage="1" prompt="El nombre de la empresa se actualiza automáticamente en esta celda." sqref="B2" xr:uid="{A3CB8468-089C-4440-BF9B-88485DFC8840}"/>
    <dataValidation allowBlank="1" showInputMessage="1" showErrorMessage="1" prompt="Esta celda contiene el título de la hoja de cálculo." sqref="B3" xr:uid="{82B4657D-1FF4-4CAF-8A70-CC577B5183DD}"/>
  </dataValidations>
  <pageMargins left="0.25" right="0.25" top="0.75" bottom="0.75" header="0.3" footer="0.3"/>
  <pageSetup paperSize="9" scale="84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9014-CD6D-4861-9A44-AAC4FC54519D}">
  <dimension ref="A1"/>
  <sheetViews>
    <sheetView workbookViewId="0"/>
  </sheetViews>
  <sheetFormatPr baseColWidth="10" defaultRowHeight="16.8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2C2323D0-96D4-44AC-8DB1-B2F132513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AC8E4-29B6-44B2-9300-D4CFE1C46D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92549-A672-4553-ACC5-9F79753D49B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TM11628816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Entrada de previsión</vt:lpstr>
      <vt:lpstr>Previsión de ventas</vt:lpstr>
      <vt:lpstr>Listas</vt:lpstr>
      <vt:lpstr>Hoja1</vt:lpstr>
      <vt:lpstr>'Previsión de ventas'!Área_de_impresión</vt:lpstr>
      <vt:lpstr>Lista_AgentesVentas</vt:lpstr>
      <vt:lpstr>Lista_CategoríasVentas</vt:lpstr>
      <vt:lpstr>Lista_FasesVentas</vt:lpstr>
      <vt:lpstr>Lista_RegionesVentas</vt:lpstr>
      <vt:lpstr>Mes_inicial</vt:lpstr>
      <vt:lpstr>NombreEmpresa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2023-10-08T04:29:18Z</dcterms:created>
  <dcterms:modified xsi:type="dcterms:W3CDTF">2025-06-21T14:44:33Z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