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ietario\Documents\"/>
    </mc:Choice>
  </mc:AlternateContent>
  <xr:revisionPtr revIDLastSave="0" documentId="8_{F449E595-1CB1-438D-8B75-7CBE533E6CCE}" xr6:coauthVersionLast="47" xr6:coauthVersionMax="47" xr10:uidLastSave="{00000000-0000-0000-0000-000000000000}"/>
  <bookViews>
    <workbookView xWindow="-120" yWindow="-120" windowWidth="19440" windowHeight="11640" activeTab="3" xr2:uid="{CC3AA3AB-92A3-4EE7-A961-D1705AB5BD5C}"/>
  </bookViews>
  <sheets>
    <sheet name="NOMINA 2023" sheetId="4" r:id="rId1"/>
    <sheet name="NOMINA 2024" sheetId="5" r:id="rId2"/>
    <sheet name="FLUJO DE CAJA 2023" sheetId="1" r:id="rId3"/>
    <sheet name="FLUJO DE CAJA 2024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3" l="1"/>
  <c r="F4" i="3"/>
  <c r="F11" i="3"/>
  <c r="B9" i="3"/>
  <c r="F8" i="3"/>
  <c r="F7" i="3"/>
  <c r="F6" i="3"/>
  <c r="D4" i="1"/>
  <c r="C9" i="1"/>
  <c r="B9" i="1"/>
  <c r="D8" i="1"/>
  <c r="D7" i="1"/>
  <c r="D6" i="1"/>
  <c r="D9" i="1" l="1"/>
  <c r="D10" i="1" s="1"/>
</calcChain>
</file>

<file path=xl/sharedStrings.xml><?xml version="1.0" encoding="utf-8"?>
<sst xmlns="http://schemas.openxmlformats.org/spreadsheetml/2006/main" count="247" uniqueCount="91">
  <si>
    <t xml:space="preserve">EXTRESADO EN PESOS COLOMBIANOS </t>
  </si>
  <si>
    <t>FLUJO DE CAJA PROYECTADO MONAROS SAS 2023</t>
  </si>
  <si>
    <t xml:space="preserve">NOVIEMBRE </t>
  </si>
  <si>
    <t xml:space="preserve">DCIIEMBRE </t>
  </si>
  <si>
    <t>TOTAL</t>
  </si>
  <si>
    <t>EGRESOS</t>
  </si>
  <si>
    <t>NOMINA</t>
  </si>
  <si>
    <t xml:space="preserve">SEGURIDAD SOCIAL </t>
  </si>
  <si>
    <t xml:space="preserve">SERVIDORES </t>
  </si>
  <si>
    <t xml:space="preserve">TOTAL EGRESOS </t>
  </si>
  <si>
    <t>INGRESOS/VENTAS</t>
  </si>
  <si>
    <t>TOTAL INGRESOS/VENTAS</t>
  </si>
  <si>
    <t xml:space="preserve">TOTAL VENTAS- EGRESOS </t>
  </si>
  <si>
    <t xml:space="preserve">FEBRERO </t>
  </si>
  <si>
    <t>FLUJO DE CAJA MONAROS 2024</t>
  </si>
  <si>
    <t xml:space="preserve">EXPRESADO EN PESOS COLOMBIANOS </t>
  </si>
  <si>
    <t>ENERO</t>
  </si>
  <si>
    <t xml:space="preserve">MARZO </t>
  </si>
  <si>
    <t xml:space="preserve">ABRIL </t>
  </si>
  <si>
    <t xml:space="preserve">NOMINA </t>
  </si>
  <si>
    <t xml:space="preserve">SERIDORES </t>
  </si>
  <si>
    <t>BONOS TRIMESTRALES DESARROLLADORES DOS TRIMESTRES</t>
  </si>
  <si>
    <t xml:space="preserve">UTILIDAD/PERDIDA EL EJERCICIO </t>
  </si>
  <si>
    <t>NOMINA EMPLEADOS PRODUCTOPOLIS &amp; MONAROS SAS</t>
  </si>
  <si>
    <t>FECHA</t>
  </si>
  <si>
    <t>1 AL 15 DE SEPTOEMBRE 2024</t>
  </si>
  <si>
    <t>TOTAL DEVENGADO</t>
  </si>
  <si>
    <t>DEDUCCIONES</t>
  </si>
  <si>
    <t>APORTES PENSION</t>
  </si>
  <si>
    <t>PRESTAMOS Y OTROS</t>
  </si>
  <si>
    <t>TOTAL DEDUCIDO</t>
  </si>
  <si>
    <t>NETO A PAGAR</t>
  </si>
  <si>
    <t>FIRMA</t>
  </si>
  <si>
    <t>Ventas</t>
  </si>
  <si>
    <t>Comisiones</t>
  </si>
  <si>
    <t>EMPRESA</t>
  </si>
  <si>
    <t>NOMBRE</t>
  </si>
  <si>
    <t>TIPO DE CONTRATO</t>
  </si>
  <si>
    <t>CARGO</t>
  </si>
  <si>
    <t>SALARIO BASICO</t>
  </si>
  <si>
    <t>DIAS TRABAJADOS</t>
  </si>
  <si>
    <t>SALARIO BRUTO</t>
  </si>
  <si>
    <t>LIQUIDACION</t>
  </si>
  <si>
    <t>BONO CUMPLEAÑOS</t>
  </si>
  <si>
    <t>COMISIONES</t>
  </si>
  <si>
    <t>H. EXT FEST DIURNAS</t>
  </si>
  <si>
    <t>H. EXT FEST. NOCT.</t>
  </si>
  <si>
    <t>REC NOCTURNO</t>
  </si>
  <si>
    <t>SUB T0TAL DEVENGADO</t>
  </si>
  <si>
    <t>AUXILIO DE TRANSPORTE</t>
  </si>
  <si>
    <t>AUXILIO ALIMENTACION</t>
  </si>
  <si>
    <t>MONAROS</t>
  </si>
  <si>
    <t>TASLYNG ESTHER ARRIA SANTANA</t>
  </si>
  <si>
    <t>INDEFINIDO</t>
  </si>
  <si>
    <t>LIDER DE EXPERIENCIA Y VENTAS</t>
  </si>
  <si>
    <t>YANINI LOPEZ BLANCO</t>
  </si>
  <si>
    <t>OBRA LABOR</t>
  </si>
  <si>
    <t>AUX ADMON Y CONTABLE</t>
  </si>
  <si>
    <t>CARLOS PINILLA BAUTISTA</t>
  </si>
  <si>
    <t>DESARROLLADOR FULL STACK</t>
  </si>
  <si>
    <t>ANDRES FELIPE CHANGO RODRIGUEZ</t>
  </si>
  <si>
    <t>VENDEDOR</t>
  </si>
  <si>
    <t>-</t>
  </si>
  <si>
    <t>MIGUEL ANGEL CASTRO PALACIO</t>
  </si>
  <si>
    <t>TERMINO FIJO</t>
  </si>
  <si>
    <t>ANALISTA TI</t>
  </si>
  <si>
    <t>DEIVYD SANTIAGO RODRIGUEZ</t>
  </si>
  <si>
    <t>PROGRAMADOR DESARROLLO</t>
  </si>
  <si>
    <t>JAIRO ALFONSO AMAYA ARIAS</t>
  </si>
  <si>
    <t>ARTURO ALEJANDRO BRICEÑO ZAMBRANO</t>
  </si>
  <si>
    <t>PRESTACION DE SERVICIOS</t>
  </si>
  <si>
    <t>HARINSON SMITH ARREITA MONTES</t>
  </si>
  <si>
    <t>CEO</t>
  </si>
  <si>
    <t>OSNAIDER PAYARES MENESES</t>
  </si>
  <si>
    <t>PRESTACION DE SERVICOS</t>
  </si>
  <si>
    <t>HEAD OF PEOPLE</t>
  </si>
  <si>
    <t>VICTOR DANIEL VITOLA FLOREZ</t>
  </si>
  <si>
    <t>CONTRATO APRENDIZAJE</t>
  </si>
  <si>
    <t>APRENDIZ</t>
  </si>
  <si>
    <t>DANIELA ALEJANDRA ANGEL SARRIA</t>
  </si>
  <si>
    <t>DISEÑADOR UX/UI</t>
  </si>
  <si>
    <t>JESUS DAVID DIAZ DIAZ</t>
  </si>
  <si>
    <t>DESARROLLADOR</t>
  </si>
  <si>
    <t>ANA MARIA LOPEZ AYALA</t>
  </si>
  <si>
    <t>CUSTOMER EXPERIENCIE JUNIOR</t>
  </si>
  <si>
    <t>MARIA DOLLY ZEA ALVAREZ</t>
  </si>
  <si>
    <t>AUX DE SERVICIOS GENERALES</t>
  </si>
  <si>
    <t>JHON ALEJANDRO PENHA SANCHEZ</t>
  </si>
  <si>
    <t>ESTRATEGA DE MARKETING</t>
  </si>
  <si>
    <t>TOTALES</t>
  </si>
  <si>
    <t>TOTAL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</si>
</sst>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7" formatCode="_-&quot;$&quot;\ * #,##0.0_-;\-&quot;$&quot;\ * #,##0.0_-;_-&quot;$&quot;\ * &quot;-&quot;??_-;_-@_-"/>
    <numFmt numFmtId="168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Arial Black"/>
      <family val="2"/>
    </font>
    <font>
      <sz val="16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CCCCCC"/>
      </right>
      <top/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/>
    <xf numFmtId="0" fontId="2" fillId="0" borderId="1" xfId="0" applyFont="1" applyBorder="1" applyAlignment="1">
      <alignment horizontal="center"/>
    </xf>
    <xf numFmtId="0" fontId="0" fillId="0" borderId="1" xfId="0" applyBorder="1"/>
    <xf numFmtId="167" fontId="2" fillId="0" borderId="1" xfId="1" applyNumberFormat="1" applyFont="1" applyBorder="1"/>
    <xf numFmtId="168" fontId="2" fillId="0" borderId="1" xfId="1" applyNumberFormat="1" applyFont="1" applyBorder="1"/>
    <xf numFmtId="168" fontId="2" fillId="0" borderId="1" xfId="0" applyNumberFormat="1" applyFont="1" applyBorder="1"/>
    <xf numFmtId="168" fontId="0" fillId="0" borderId="1" xfId="1" applyNumberFormat="1" applyFont="1" applyBorder="1"/>
    <xf numFmtId="0" fontId="3" fillId="2" borderId="1" xfId="0" applyFont="1" applyFill="1" applyBorder="1" applyAlignment="1">
      <alignment horizontal="center"/>
    </xf>
    <xf numFmtId="44" fontId="2" fillId="0" borderId="1" xfId="0" applyNumberFormat="1" applyFont="1" applyBorder="1"/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8" fontId="0" fillId="0" borderId="1" xfId="1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168" fontId="2" fillId="0" borderId="1" xfId="1" applyNumberFormat="1" applyFont="1" applyBorder="1" applyAlignment="1">
      <alignment horizontal="center"/>
    </xf>
    <xf numFmtId="168" fontId="1" fillId="0" borderId="1" xfId="1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4" borderId="13" xfId="0" applyFill="1" applyBorder="1" applyAlignment="1">
      <alignment wrapText="1"/>
    </xf>
    <xf numFmtId="0" fontId="8" fillId="0" borderId="14" xfId="0" applyFont="1" applyBorder="1" applyAlignment="1">
      <alignment wrapText="1"/>
    </xf>
    <xf numFmtId="0" fontId="0" fillId="0" borderId="13" xfId="0" applyBorder="1" applyAlignment="1">
      <alignment wrapText="1"/>
    </xf>
    <xf numFmtId="6" fontId="8" fillId="0" borderId="13" xfId="0" applyNumberFormat="1" applyFont="1" applyBorder="1" applyAlignment="1">
      <alignment horizontal="right" wrapText="1"/>
    </xf>
    <xf numFmtId="0" fontId="0" fillId="0" borderId="4" xfId="0" applyBorder="1" applyAlignment="1">
      <alignment wrapText="1"/>
    </xf>
    <xf numFmtId="0" fontId="7" fillId="0" borderId="3" xfId="0" applyFont="1" applyBorder="1" applyAlignment="1">
      <alignment wrapText="1"/>
    </xf>
    <xf numFmtId="0" fontId="9" fillId="0" borderId="3" xfId="0" applyFont="1" applyBorder="1" applyAlignment="1">
      <alignment vertical="center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6" fontId="10" fillId="0" borderId="17" xfId="0" applyNumberFormat="1" applyFont="1" applyBorder="1" applyAlignment="1">
      <alignment horizontal="right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3" borderId="18" xfId="0" applyFill="1" applyBorder="1" applyAlignment="1">
      <alignment wrapText="1"/>
    </xf>
    <xf numFmtId="0" fontId="0" fillId="3" borderId="19" xfId="0" applyFill="1" applyBorder="1" applyAlignment="1">
      <alignment wrapText="1"/>
    </xf>
    <xf numFmtId="0" fontId="0" fillId="3" borderId="20" xfId="0" applyFill="1" applyBorder="1" applyAlignment="1">
      <alignment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wrapText="1"/>
    </xf>
    <xf numFmtId="0" fontId="0" fillId="5" borderId="13" xfId="0" applyFill="1" applyBorder="1" applyAlignment="1">
      <alignment wrapText="1"/>
    </xf>
    <xf numFmtId="6" fontId="0" fillId="5" borderId="13" xfId="0" applyNumberFormat="1" applyFill="1" applyBorder="1" applyAlignment="1">
      <alignment horizontal="right" wrapText="1"/>
    </xf>
    <xf numFmtId="0" fontId="0" fillId="5" borderId="13" xfId="0" applyFill="1" applyBorder="1" applyAlignment="1">
      <alignment horizontal="center" wrapText="1"/>
    </xf>
    <xf numFmtId="4" fontId="7" fillId="5" borderId="13" xfId="0" applyNumberFormat="1" applyFont="1" applyFill="1" applyBorder="1" applyAlignment="1">
      <alignment horizontal="right" wrapText="1"/>
    </xf>
    <xf numFmtId="6" fontId="7" fillId="5" borderId="13" xfId="0" applyNumberFormat="1" applyFont="1" applyFill="1" applyBorder="1" applyAlignment="1">
      <alignment horizontal="right" wrapText="1"/>
    </xf>
    <xf numFmtId="0" fontId="0" fillId="5" borderId="3" xfId="0" applyFill="1" applyBorder="1" applyAlignment="1">
      <alignment wrapText="1"/>
    </xf>
    <xf numFmtId="0" fontId="0" fillId="5" borderId="0" xfId="0" applyFill="1"/>
    <xf numFmtId="0" fontId="7" fillId="5" borderId="13" xfId="0" applyFont="1" applyFill="1" applyBorder="1" applyAlignment="1">
      <alignment wrapText="1"/>
    </xf>
    <xf numFmtId="3" fontId="7" fillId="5" borderId="13" xfId="0" applyNumberFormat="1" applyFont="1" applyFill="1" applyBorder="1" applyAlignment="1">
      <alignment horizontal="right" wrapText="1"/>
    </xf>
    <xf numFmtId="0" fontId="7" fillId="5" borderId="13" xfId="0" applyFont="1" applyFill="1" applyBorder="1" applyAlignment="1">
      <alignment horizontal="center" wrapText="1"/>
    </xf>
    <xf numFmtId="0" fontId="7" fillId="5" borderId="13" xfId="0" applyFont="1" applyFill="1" applyBorder="1" applyAlignment="1">
      <alignment horizontal="right" wrapText="1"/>
    </xf>
    <xf numFmtId="6" fontId="0" fillId="5" borderId="11" xfId="0" applyNumberFormat="1" applyFill="1" applyBorder="1" applyAlignment="1">
      <alignment horizontal="right" wrapText="1"/>
    </xf>
    <xf numFmtId="0" fontId="7" fillId="5" borderId="13" xfId="0" applyFont="1" applyFill="1" applyBorder="1" applyAlignment="1">
      <alignment vertical="center" wrapText="1"/>
    </xf>
    <xf numFmtId="0" fontId="8" fillId="5" borderId="14" xfId="0" applyFont="1" applyFill="1" applyBorder="1" applyAlignment="1">
      <alignment wrapText="1"/>
    </xf>
    <xf numFmtId="6" fontId="8" fillId="5" borderId="13" xfId="0" applyNumberFormat="1" applyFont="1" applyFill="1" applyBorder="1" applyAlignment="1">
      <alignment horizontal="right" wrapText="1"/>
    </xf>
    <xf numFmtId="0" fontId="0" fillId="5" borderId="4" xfId="0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9" fillId="5" borderId="3" xfId="0" applyFont="1" applyFill="1" applyBorder="1" applyAlignment="1">
      <alignment vertical="center"/>
    </xf>
    <xf numFmtId="0" fontId="0" fillId="5" borderId="16" xfId="0" applyFill="1" applyBorder="1" applyAlignment="1">
      <alignment wrapText="1"/>
    </xf>
    <xf numFmtId="0" fontId="0" fillId="5" borderId="17" xfId="0" applyFill="1" applyBorder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840D-88CF-43EF-B13A-9B369CF1F92B}">
  <dimension ref="A1:Z1003"/>
  <sheetViews>
    <sheetView topLeftCell="A28" workbookViewId="0">
      <selection activeCell="B41" sqref="B41"/>
    </sheetView>
  </sheetViews>
  <sheetFormatPr baseColWidth="10" defaultRowHeight="15" x14ac:dyDescent="0.25"/>
  <cols>
    <col min="2" max="2" width="45" customWidth="1"/>
    <col min="3" max="3" width="35.28515625" customWidth="1"/>
    <col min="4" max="4" width="32.85546875" customWidth="1"/>
  </cols>
  <sheetData>
    <row r="1" spans="1:26" ht="15" customHeight="1" thickBot="1" x14ac:dyDescent="0.3">
      <c r="A1" s="23"/>
      <c r="B1" s="38" t="s">
        <v>23</v>
      </c>
      <c r="C1" s="39"/>
      <c r="D1" s="39"/>
      <c r="E1" s="39"/>
      <c r="F1" s="39"/>
      <c r="G1" s="39"/>
      <c r="H1" s="40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" customHeight="1" thickBot="1" x14ac:dyDescent="0.3">
      <c r="A2" s="23"/>
      <c r="B2" s="41"/>
      <c r="C2" s="42"/>
      <c r="D2" s="42"/>
      <c r="E2" s="42"/>
      <c r="F2" s="42"/>
      <c r="G2" s="42"/>
      <c r="H2" s="43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" customHeight="1" thickBot="1" x14ac:dyDescent="0.3">
      <c r="A3" s="23"/>
      <c r="B3" s="24" t="s">
        <v>24</v>
      </c>
      <c r="C3" s="25"/>
      <c r="D3" s="44" t="s">
        <v>25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6"/>
      <c r="Q3" s="26"/>
      <c r="R3" s="26"/>
      <c r="S3" s="26"/>
      <c r="T3" s="26"/>
      <c r="U3" s="26"/>
      <c r="V3" s="26"/>
      <c r="W3" s="26"/>
      <c r="X3" s="26"/>
      <c r="Y3" s="26"/>
      <c r="Z3" s="22"/>
    </row>
    <row r="4" spans="1:26" ht="15" customHeight="1" thickTop="1" thickBot="1" x14ac:dyDescent="0.3">
      <c r="A4" s="27"/>
      <c r="B4" s="47"/>
      <c r="C4" s="48"/>
      <c r="D4" s="48"/>
      <c r="E4" s="48"/>
      <c r="F4" s="49"/>
      <c r="G4" s="50"/>
      <c r="H4" s="51"/>
      <c r="I4" s="51"/>
      <c r="J4" s="51"/>
      <c r="K4" s="51"/>
      <c r="L4" s="51"/>
      <c r="M4" s="51"/>
      <c r="N4" s="51"/>
      <c r="O4" s="51"/>
      <c r="P4" s="52"/>
      <c r="Q4" s="53" t="s">
        <v>26</v>
      </c>
      <c r="R4" s="55" t="s">
        <v>27</v>
      </c>
      <c r="S4" s="55" t="s">
        <v>28</v>
      </c>
      <c r="T4" s="55" t="s">
        <v>29</v>
      </c>
      <c r="U4" s="55" t="s">
        <v>30</v>
      </c>
      <c r="V4" s="55" t="s">
        <v>31</v>
      </c>
      <c r="W4" s="55" t="s">
        <v>32</v>
      </c>
      <c r="X4" s="55" t="s">
        <v>33</v>
      </c>
      <c r="Y4" s="57" t="s">
        <v>34</v>
      </c>
      <c r="Z4" s="22"/>
    </row>
    <row r="5" spans="1:26" ht="15" customHeight="1" thickBot="1" x14ac:dyDescent="0.3">
      <c r="A5" s="55" t="s">
        <v>35</v>
      </c>
      <c r="B5" s="55" t="s">
        <v>36</v>
      </c>
      <c r="C5" s="55" t="s">
        <v>37</v>
      </c>
      <c r="D5" s="55" t="s">
        <v>38</v>
      </c>
      <c r="E5" s="55" t="s">
        <v>39</v>
      </c>
      <c r="F5" s="55" t="s">
        <v>40</v>
      </c>
      <c r="G5" s="55" t="s">
        <v>41</v>
      </c>
      <c r="H5" s="55" t="s">
        <v>42</v>
      </c>
      <c r="I5" s="55" t="s">
        <v>43</v>
      </c>
      <c r="J5" s="55" t="s">
        <v>44</v>
      </c>
      <c r="K5" s="55" t="s">
        <v>45</v>
      </c>
      <c r="L5" s="55" t="s">
        <v>46</v>
      </c>
      <c r="M5" s="55" t="s">
        <v>47</v>
      </c>
      <c r="N5" s="55" t="s">
        <v>48</v>
      </c>
      <c r="O5" s="55" t="s">
        <v>49</v>
      </c>
      <c r="P5" s="55" t="s">
        <v>50</v>
      </c>
      <c r="Q5" s="54"/>
      <c r="R5" s="56"/>
      <c r="S5" s="56"/>
      <c r="T5" s="56"/>
      <c r="U5" s="56"/>
      <c r="V5" s="56"/>
      <c r="W5" s="56"/>
      <c r="X5" s="56"/>
      <c r="Y5" s="58"/>
      <c r="Z5" s="22"/>
    </row>
    <row r="6" spans="1:26" ht="15" customHeight="1" thickBot="1" x14ac:dyDescent="0.3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28"/>
      <c r="R6" s="28"/>
      <c r="S6" s="28"/>
      <c r="T6" s="28"/>
      <c r="U6" s="28"/>
      <c r="V6" s="28"/>
      <c r="W6" s="28"/>
      <c r="X6" s="28"/>
      <c r="Y6" s="28"/>
      <c r="Z6" s="22"/>
    </row>
    <row r="7" spans="1:26" s="66" customFormat="1" ht="15" customHeight="1" thickBot="1" x14ac:dyDescent="0.3">
      <c r="A7" s="59" t="s">
        <v>51</v>
      </c>
      <c r="B7" s="60" t="s">
        <v>52</v>
      </c>
      <c r="C7" s="60" t="s">
        <v>53</v>
      </c>
      <c r="D7" s="60" t="s">
        <v>54</v>
      </c>
      <c r="E7" s="61">
        <v>1400000</v>
      </c>
      <c r="F7" s="62">
        <v>30</v>
      </c>
      <c r="G7" s="61">
        <v>1400000</v>
      </c>
      <c r="H7" s="60"/>
      <c r="I7" s="60"/>
      <c r="J7" s="60"/>
      <c r="K7" s="60"/>
      <c r="L7" s="60"/>
      <c r="M7" s="60"/>
      <c r="N7" s="61">
        <v>1400000</v>
      </c>
      <c r="O7" s="61">
        <v>162000</v>
      </c>
      <c r="P7" s="61">
        <v>438000</v>
      </c>
      <c r="Q7" s="63">
        <v>2000000</v>
      </c>
      <c r="R7" s="63">
        <v>56000</v>
      </c>
      <c r="S7" s="63">
        <v>56000</v>
      </c>
      <c r="T7" s="60"/>
      <c r="U7" s="63">
        <v>112000</v>
      </c>
      <c r="V7" s="64">
        <v>1888000</v>
      </c>
      <c r="W7" s="60"/>
      <c r="X7" s="60"/>
      <c r="Y7" s="60"/>
      <c r="Z7" s="65"/>
    </row>
    <row r="8" spans="1:26" s="66" customFormat="1" ht="15" customHeight="1" thickBot="1" x14ac:dyDescent="0.3">
      <c r="A8" s="59" t="s">
        <v>51</v>
      </c>
      <c r="B8" s="67" t="s">
        <v>55</v>
      </c>
      <c r="C8" s="67" t="s">
        <v>56</v>
      </c>
      <c r="D8" s="67" t="s">
        <v>57</v>
      </c>
      <c r="E8" s="68">
        <v>1300000</v>
      </c>
      <c r="F8" s="69">
        <v>30</v>
      </c>
      <c r="G8" s="64">
        <v>1300000</v>
      </c>
      <c r="H8" s="64">
        <v>0</v>
      </c>
      <c r="I8" s="64">
        <v>0</v>
      </c>
      <c r="J8" s="64">
        <v>0</v>
      </c>
      <c r="K8" s="60"/>
      <c r="L8" s="64">
        <v>0</v>
      </c>
      <c r="M8" s="64">
        <v>0</v>
      </c>
      <c r="N8" s="64">
        <v>1300000</v>
      </c>
      <c r="O8" s="64">
        <v>162000</v>
      </c>
      <c r="P8" s="63">
        <v>200000</v>
      </c>
      <c r="Q8" s="64">
        <v>1662000</v>
      </c>
      <c r="R8" s="64">
        <v>52000</v>
      </c>
      <c r="S8" s="64">
        <v>52000</v>
      </c>
      <c r="T8" s="60"/>
      <c r="U8" s="64">
        <v>104000</v>
      </c>
      <c r="V8" s="64">
        <v>1558000</v>
      </c>
      <c r="W8" s="60"/>
      <c r="X8" s="60"/>
      <c r="Y8" s="60"/>
      <c r="Z8" s="65"/>
    </row>
    <row r="9" spans="1:26" s="66" customFormat="1" ht="15" customHeight="1" thickBot="1" x14ac:dyDescent="0.3">
      <c r="A9" s="59" t="s">
        <v>51</v>
      </c>
      <c r="B9" s="67" t="s">
        <v>58</v>
      </c>
      <c r="C9" s="67" t="s">
        <v>56</v>
      </c>
      <c r="D9" s="67" t="s">
        <v>59</v>
      </c>
      <c r="E9" s="68">
        <v>1500000</v>
      </c>
      <c r="F9" s="69">
        <v>30</v>
      </c>
      <c r="G9" s="64">
        <v>1500000</v>
      </c>
      <c r="H9" s="60"/>
      <c r="I9" s="60"/>
      <c r="J9" s="60"/>
      <c r="K9" s="60"/>
      <c r="L9" s="60"/>
      <c r="M9" s="60"/>
      <c r="N9" s="64">
        <v>1500000</v>
      </c>
      <c r="O9" s="64">
        <v>162000</v>
      </c>
      <c r="P9" s="64">
        <v>438000</v>
      </c>
      <c r="Q9" s="64">
        <v>2100000</v>
      </c>
      <c r="R9" s="64">
        <v>60000</v>
      </c>
      <c r="S9" s="64">
        <v>60000</v>
      </c>
      <c r="T9" s="60"/>
      <c r="U9" s="64">
        <v>120000</v>
      </c>
      <c r="V9" s="64">
        <v>1980000</v>
      </c>
      <c r="W9" s="60"/>
      <c r="X9" s="60"/>
      <c r="Y9" s="60"/>
      <c r="Z9" s="65"/>
    </row>
    <row r="10" spans="1:26" s="66" customFormat="1" ht="15" customHeight="1" thickBot="1" x14ac:dyDescent="0.3">
      <c r="A10" s="59" t="s">
        <v>51</v>
      </c>
      <c r="B10" s="67" t="s">
        <v>60</v>
      </c>
      <c r="C10" s="67" t="s">
        <v>53</v>
      </c>
      <c r="D10" s="67" t="s">
        <v>61</v>
      </c>
      <c r="E10" s="68">
        <v>1300000</v>
      </c>
      <c r="F10" s="69">
        <v>30</v>
      </c>
      <c r="G10" s="64">
        <v>1300000</v>
      </c>
      <c r="H10" s="64">
        <v>0</v>
      </c>
      <c r="I10" s="64">
        <v>0</v>
      </c>
      <c r="J10" s="60"/>
      <c r="K10" s="60"/>
      <c r="L10" s="60"/>
      <c r="M10" s="60"/>
      <c r="N10" s="64">
        <v>1300000</v>
      </c>
      <c r="O10" s="64">
        <v>162000</v>
      </c>
      <c r="P10" s="70" t="s">
        <v>62</v>
      </c>
      <c r="Q10" s="63">
        <v>1462000</v>
      </c>
      <c r="R10" s="63">
        <v>52000</v>
      </c>
      <c r="S10" s="63">
        <v>52000</v>
      </c>
      <c r="T10" s="60"/>
      <c r="U10" s="63">
        <v>104000</v>
      </c>
      <c r="V10" s="71">
        <v>1358000</v>
      </c>
      <c r="W10" s="60"/>
      <c r="X10" s="60"/>
      <c r="Y10" s="70" t="s">
        <v>62</v>
      </c>
      <c r="Z10" s="65"/>
    </row>
    <row r="11" spans="1:26" s="66" customFormat="1" ht="15" customHeight="1" thickBot="1" x14ac:dyDescent="0.3">
      <c r="A11" s="59" t="s">
        <v>51</v>
      </c>
      <c r="B11" s="67" t="s">
        <v>63</v>
      </c>
      <c r="C11" s="67" t="s">
        <v>64</v>
      </c>
      <c r="D11" s="67" t="s">
        <v>65</v>
      </c>
      <c r="E11" s="68">
        <v>1500000</v>
      </c>
      <c r="F11" s="69">
        <v>30</v>
      </c>
      <c r="G11" s="64">
        <v>1500000</v>
      </c>
      <c r="H11" s="64">
        <v>0</v>
      </c>
      <c r="I11" s="64">
        <v>0</v>
      </c>
      <c r="J11" s="60"/>
      <c r="K11" s="60"/>
      <c r="L11" s="60"/>
      <c r="M11" s="60"/>
      <c r="N11" s="64">
        <v>1500000</v>
      </c>
      <c r="O11" s="64">
        <v>162000</v>
      </c>
      <c r="P11" s="63">
        <v>600000</v>
      </c>
      <c r="Q11" s="63">
        <v>2262000</v>
      </c>
      <c r="R11" s="63">
        <v>60000</v>
      </c>
      <c r="S11" s="63">
        <v>60000</v>
      </c>
      <c r="T11" s="60"/>
      <c r="U11" s="63">
        <v>120000</v>
      </c>
      <c r="V11" s="64">
        <v>2142000</v>
      </c>
      <c r="W11" s="60"/>
      <c r="X11" s="60"/>
      <c r="Y11" s="60"/>
      <c r="Z11" s="65"/>
    </row>
    <row r="12" spans="1:26" s="66" customFormat="1" ht="15" customHeight="1" thickBot="1" x14ac:dyDescent="0.3">
      <c r="A12" s="59" t="s">
        <v>51</v>
      </c>
      <c r="B12" s="67" t="s">
        <v>66</v>
      </c>
      <c r="C12" s="67" t="s">
        <v>64</v>
      </c>
      <c r="D12" s="67" t="s">
        <v>67</v>
      </c>
      <c r="E12" s="68">
        <v>1500000</v>
      </c>
      <c r="F12" s="69">
        <v>30</v>
      </c>
      <c r="G12" s="64">
        <v>1500000</v>
      </c>
      <c r="H12" s="64">
        <v>0</v>
      </c>
      <c r="I12" s="60"/>
      <c r="J12" s="60"/>
      <c r="K12" s="60"/>
      <c r="L12" s="60"/>
      <c r="M12" s="60"/>
      <c r="N12" s="64">
        <v>1500000</v>
      </c>
      <c r="O12" s="64">
        <v>162000</v>
      </c>
      <c r="P12" s="63">
        <v>376000</v>
      </c>
      <c r="Q12" s="63">
        <v>2038000</v>
      </c>
      <c r="R12" s="63">
        <v>60000</v>
      </c>
      <c r="S12" s="63">
        <v>60000</v>
      </c>
      <c r="T12" s="60"/>
      <c r="U12" s="63">
        <v>120000</v>
      </c>
      <c r="V12" s="64">
        <v>1918000</v>
      </c>
      <c r="W12" s="60"/>
      <c r="X12" s="60"/>
      <c r="Y12" s="60"/>
      <c r="Z12" s="65"/>
    </row>
    <row r="13" spans="1:26" s="66" customFormat="1" ht="15" customHeight="1" thickBot="1" x14ac:dyDescent="0.3">
      <c r="A13" s="59" t="s">
        <v>51</v>
      </c>
      <c r="B13" s="67" t="s">
        <v>68</v>
      </c>
      <c r="C13" s="67" t="s">
        <v>53</v>
      </c>
      <c r="D13" s="67" t="s">
        <v>65</v>
      </c>
      <c r="E13" s="68">
        <v>1875920</v>
      </c>
      <c r="F13" s="69">
        <v>30</v>
      </c>
      <c r="G13" s="64">
        <v>1875920</v>
      </c>
      <c r="H13" s="64">
        <v>0</v>
      </c>
      <c r="I13" s="64">
        <v>0</v>
      </c>
      <c r="J13" s="60"/>
      <c r="K13" s="60"/>
      <c r="L13" s="60"/>
      <c r="M13" s="60"/>
      <c r="N13" s="64">
        <v>1875920</v>
      </c>
      <c r="O13" s="64">
        <v>162000</v>
      </c>
      <c r="P13" s="60"/>
      <c r="Q13" s="63">
        <v>2037920</v>
      </c>
      <c r="R13" s="63">
        <v>75036.800000000003</v>
      </c>
      <c r="S13" s="63">
        <v>75036.800000000003</v>
      </c>
      <c r="T13" s="60"/>
      <c r="U13" s="63">
        <v>150073.60000000001</v>
      </c>
      <c r="V13" s="64">
        <v>1887846</v>
      </c>
      <c r="W13" s="60"/>
      <c r="X13" s="60"/>
      <c r="Y13" s="60"/>
      <c r="Z13" s="65"/>
    </row>
    <row r="14" spans="1:26" s="66" customFormat="1" ht="15" customHeight="1" thickBot="1" x14ac:dyDescent="0.3">
      <c r="A14" s="59" t="s">
        <v>51</v>
      </c>
      <c r="B14" s="67" t="s">
        <v>69</v>
      </c>
      <c r="C14" s="67" t="s">
        <v>70</v>
      </c>
      <c r="D14" s="67" t="s">
        <v>65</v>
      </c>
      <c r="E14" s="68">
        <v>1200000</v>
      </c>
      <c r="F14" s="69">
        <v>30</v>
      </c>
      <c r="G14" s="64">
        <v>1200000</v>
      </c>
      <c r="H14" s="64">
        <v>0</v>
      </c>
      <c r="I14" s="60"/>
      <c r="J14" s="60"/>
      <c r="K14" s="60"/>
      <c r="L14" s="60"/>
      <c r="M14" s="60"/>
      <c r="N14" s="64">
        <v>1200000</v>
      </c>
      <c r="O14" s="60"/>
      <c r="P14" s="60"/>
      <c r="Q14" s="63">
        <v>1200000</v>
      </c>
      <c r="R14" s="60"/>
      <c r="S14" s="60"/>
      <c r="T14" s="60"/>
      <c r="U14" s="60"/>
      <c r="V14" s="64">
        <v>1200000</v>
      </c>
      <c r="W14" s="60"/>
      <c r="X14" s="60"/>
      <c r="Y14" s="60"/>
      <c r="Z14" s="65"/>
    </row>
    <row r="15" spans="1:26" s="66" customFormat="1" ht="15" customHeight="1" thickBot="1" x14ac:dyDescent="0.3">
      <c r="A15" s="59" t="s">
        <v>51</v>
      </c>
      <c r="B15" s="67" t="s">
        <v>71</v>
      </c>
      <c r="C15" s="67" t="s">
        <v>70</v>
      </c>
      <c r="D15" s="67" t="s">
        <v>72</v>
      </c>
      <c r="E15" s="68">
        <v>2000000</v>
      </c>
      <c r="F15" s="69">
        <v>30</v>
      </c>
      <c r="G15" s="64">
        <v>2000000</v>
      </c>
      <c r="H15" s="64">
        <v>0</v>
      </c>
      <c r="I15" s="64">
        <v>0</v>
      </c>
      <c r="J15" s="60"/>
      <c r="K15" s="60"/>
      <c r="L15" s="60"/>
      <c r="M15" s="60"/>
      <c r="N15" s="64">
        <v>2000000</v>
      </c>
      <c r="O15" s="60"/>
      <c r="P15" s="60"/>
      <c r="Q15" s="63">
        <v>2000000</v>
      </c>
      <c r="R15" s="60"/>
      <c r="S15" s="60"/>
      <c r="T15" s="60"/>
      <c r="U15" s="60"/>
      <c r="V15" s="64">
        <v>2000000</v>
      </c>
      <c r="W15" s="60"/>
      <c r="X15" s="60"/>
      <c r="Y15" s="60"/>
      <c r="Z15" s="65"/>
    </row>
    <row r="16" spans="1:26" s="66" customFormat="1" ht="15" customHeight="1" thickBot="1" x14ac:dyDescent="0.3">
      <c r="A16" s="59" t="s">
        <v>51</v>
      </c>
      <c r="B16" s="67" t="s">
        <v>73</v>
      </c>
      <c r="C16" s="72" t="s">
        <v>74</v>
      </c>
      <c r="D16" s="67" t="s">
        <v>75</v>
      </c>
      <c r="E16" s="68">
        <v>1500000</v>
      </c>
      <c r="F16" s="69">
        <v>30</v>
      </c>
      <c r="G16" s="64">
        <v>1500000</v>
      </c>
      <c r="H16" s="64">
        <v>0</v>
      </c>
      <c r="I16" s="64">
        <v>0</v>
      </c>
      <c r="J16" s="60"/>
      <c r="K16" s="60"/>
      <c r="L16" s="60"/>
      <c r="M16" s="60"/>
      <c r="N16" s="64">
        <v>1500000</v>
      </c>
      <c r="O16" s="60"/>
      <c r="P16" s="60"/>
      <c r="Q16" s="64">
        <v>1500000</v>
      </c>
      <c r="R16" s="60"/>
      <c r="S16" s="60"/>
      <c r="T16" s="60"/>
      <c r="U16" s="60"/>
      <c r="V16" s="64">
        <v>1500000</v>
      </c>
      <c r="W16" s="60"/>
      <c r="X16" s="60"/>
      <c r="Y16" s="60"/>
      <c r="Z16" s="65"/>
    </row>
    <row r="17" spans="1:26" s="66" customFormat="1" ht="15" customHeight="1" thickBot="1" x14ac:dyDescent="0.3">
      <c r="A17" s="59" t="s">
        <v>51</v>
      </c>
      <c r="B17" s="67" t="s">
        <v>76</v>
      </c>
      <c r="C17" s="72" t="s">
        <v>77</v>
      </c>
      <c r="D17" s="72" t="s">
        <v>78</v>
      </c>
      <c r="E17" s="68">
        <v>650000</v>
      </c>
      <c r="F17" s="69">
        <v>30</v>
      </c>
      <c r="G17" s="64">
        <v>650000</v>
      </c>
      <c r="H17" s="64">
        <v>0</v>
      </c>
      <c r="I17" s="64">
        <v>0</v>
      </c>
      <c r="J17" s="60"/>
      <c r="K17" s="60"/>
      <c r="L17" s="60"/>
      <c r="M17" s="60"/>
      <c r="N17" s="64">
        <v>650000</v>
      </c>
      <c r="O17" s="60"/>
      <c r="P17" s="60"/>
      <c r="Q17" s="64">
        <v>650000</v>
      </c>
      <c r="R17" s="60"/>
      <c r="S17" s="60"/>
      <c r="T17" s="60"/>
      <c r="U17" s="60"/>
      <c r="V17" s="64">
        <v>650000</v>
      </c>
      <c r="W17" s="60"/>
      <c r="X17" s="60"/>
      <c r="Y17" s="60"/>
      <c r="Z17" s="65"/>
    </row>
    <row r="18" spans="1:26" s="66" customFormat="1" ht="15" customHeight="1" thickBot="1" x14ac:dyDescent="0.3">
      <c r="A18" s="59" t="s">
        <v>51</v>
      </c>
      <c r="B18" s="67" t="s">
        <v>79</v>
      </c>
      <c r="C18" s="72" t="s">
        <v>70</v>
      </c>
      <c r="D18" s="72" t="s">
        <v>80</v>
      </c>
      <c r="E18" s="68">
        <v>2500000</v>
      </c>
      <c r="F18" s="69">
        <v>30</v>
      </c>
      <c r="G18" s="64">
        <v>2500000</v>
      </c>
      <c r="H18" s="60"/>
      <c r="I18" s="60"/>
      <c r="J18" s="60"/>
      <c r="K18" s="60"/>
      <c r="L18" s="60"/>
      <c r="M18" s="60"/>
      <c r="N18" s="64">
        <v>2500000</v>
      </c>
      <c r="O18" s="60"/>
      <c r="P18" s="60"/>
      <c r="Q18" s="60"/>
      <c r="R18" s="60"/>
      <c r="S18" s="60"/>
      <c r="T18" s="60"/>
      <c r="U18" s="60"/>
      <c r="V18" s="64">
        <v>2500000</v>
      </c>
      <c r="W18" s="60"/>
      <c r="X18" s="60"/>
      <c r="Y18" s="60"/>
      <c r="Z18" s="65"/>
    </row>
    <row r="19" spans="1:26" s="66" customFormat="1" ht="15" customHeight="1" thickBot="1" x14ac:dyDescent="0.3">
      <c r="A19" s="59" t="s">
        <v>51</v>
      </c>
      <c r="B19" s="67" t="s">
        <v>81</v>
      </c>
      <c r="C19" s="72" t="s">
        <v>70</v>
      </c>
      <c r="D19" s="72" t="s">
        <v>82</v>
      </c>
      <c r="E19" s="68">
        <v>3000000</v>
      </c>
      <c r="F19" s="69">
        <v>30</v>
      </c>
      <c r="G19" s="64">
        <v>3000000</v>
      </c>
      <c r="H19" s="60"/>
      <c r="I19" s="60"/>
      <c r="J19" s="60"/>
      <c r="K19" s="60"/>
      <c r="L19" s="60"/>
      <c r="M19" s="60"/>
      <c r="N19" s="64">
        <v>3000000</v>
      </c>
      <c r="O19" s="60"/>
      <c r="P19" s="60"/>
      <c r="Q19" s="60"/>
      <c r="R19" s="60"/>
      <c r="S19" s="60"/>
      <c r="T19" s="60"/>
      <c r="U19" s="60"/>
      <c r="V19" s="64">
        <v>3000000</v>
      </c>
      <c r="W19" s="60"/>
      <c r="X19" s="60"/>
      <c r="Y19" s="60"/>
      <c r="Z19" s="65"/>
    </row>
    <row r="20" spans="1:26" s="66" customFormat="1" ht="15" customHeight="1" thickBot="1" x14ac:dyDescent="0.3">
      <c r="A20" s="59" t="s">
        <v>51</v>
      </c>
      <c r="B20" s="67" t="s">
        <v>83</v>
      </c>
      <c r="C20" s="72" t="s">
        <v>56</v>
      </c>
      <c r="D20" s="72" t="s">
        <v>84</v>
      </c>
      <c r="E20" s="68">
        <v>1300000</v>
      </c>
      <c r="F20" s="69">
        <v>30</v>
      </c>
      <c r="G20" s="64">
        <v>1300000</v>
      </c>
      <c r="H20" s="60"/>
      <c r="I20" s="60"/>
      <c r="J20" s="60"/>
      <c r="K20" s="60"/>
      <c r="L20" s="60"/>
      <c r="M20" s="60"/>
      <c r="N20" s="64">
        <v>1300000</v>
      </c>
      <c r="O20" s="64">
        <v>162000</v>
      </c>
      <c r="P20" s="60"/>
      <c r="Q20" s="64">
        <v>1462000</v>
      </c>
      <c r="R20" s="64">
        <v>52000</v>
      </c>
      <c r="S20" s="64">
        <v>52000</v>
      </c>
      <c r="T20" s="60"/>
      <c r="U20" s="64">
        <v>104000</v>
      </c>
      <c r="V20" s="64">
        <v>1358000</v>
      </c>
      <c r="W20" s="60"/>
      <c r="X20" s="60"/>
      <c r="Y20" s="60"/>
      <c r="Z20" s="65"/>
    </row>
    <row r="21" spans="1:26" s="66" customFormat="1" ht="15" customHeight="1" thickBot="1" x14ac:dyDescent="0.3">
      <c r="A21" s="59" t="s">
        <v>51</v>
      </c>
      <c r="B21" s="67" t="s">
        <v>85</v>
      </c>
      <c r="C21" s="72" t="s">
        <v>56</v>
      </c>
      <c r="D21" s="72" t="s">
        <v>86</v>
      </c>
      <c r="E21" s="68">
        <v>1300000</v>
      </c>
      <c r="F21" s="69">
        <v>30</v>
      </c>
      <c r="G21" s="64">
        <v>1300000</v>
      </c>
      <c r="H21" s="60"/>
      <c r="I21" s="60"/>
      <c r="J21" s="60"/>
      <c r="K21" s="60"/>
      <c r="L21" s="60"/>
      <c r="M21" s="60"/>
      <c r="N21" s="64">
        <v>1300000</v>
      </c>
      <c r="O21" s="64">
        <v>162000</v>
      </c>
      <c r="P21" s="60"/>
      <c r="Q21" s="64">
        <v>1462000</v>
      </c>
      <c r="R21" s="64">
        <v>52000</v>
      </c>
      <c r="S21" s="64">
        <v>52000</v>
      </c>
      <c r="T21" s="60"/>
      <c r="U21" s="64">
        <v>104000</v>
      </c>
      <c r="V21" s="64">
        <v>1358000</v>
      </c>
      <c r="W21" s="60"/>
      <c r="X21" s="60"/>
      <c r="Y21" s="60"/>
      <c r="Z21" s="65"/>
    </row>
    <row r="22" spans="1:26" s="66" customFormat="1" ht="15" customHeight="1" thickBot="1" x14ac:dyDescent="0.3">
      <c r="A22" s="59" t="s">
        <v>51</v>
      </c>
      <c r="B22" s="67" t="s">
        <v>87</v>
      </c>
      <c r="C22" s="72" t="s">
        <v>56</v>
      </c>
      <c r="D22" s="72" t="s">
        <v>59</v>
      </c>
      <c r="E22" s="68">
        <v>1400000</v>
      </c>
      <c r="F22" s="69">
        <v>30</v>
      </c>
      <c r="G22" s="64">
        <v>1400000</v>
      </c>
      <c r="H22" s="60"/>
      <c r="I22" s="60"/>
      <c r="J22" s="60"/>
      <c r="K22" s="60"/>
      <c r="L22" s="60"/>
      <c r="M22" s="60"/>
      <c r="N22" s="64">
        <v>1400000</v>
      </c>
      <c r="O22" s="64">
        <v>162000</v>
      </c>
      <c r="P22" s="63">
        <v>438000</v>
      </c>
      <c r="Q22" s="64">
        <v>2000000</v>
      </c>
      <c r="R22" s="64">
        <v>56000</v>
      </c>
      <c r="S22" s="64">
        <v>56000</v>
      </c>
      <c r="T22" s="60"/>
      <c r="U22" s="64">
        <v>112000</v>
      </c>
      <c r="V22" s="64">
        <v>1888000</v>
      </c>
      <c r="W22" s="60"/>
      <c r="X22" s="60"/>
      <c r="Y22" s="60"/>
      <c r="Z22" s="65"/>
    </row>
    <row r="23" spans="1:26" s="66" customFormat="1" ht="15" customHeight="1" thickBot="1" x14ac:dyDescent="0.3">
      <c r="A23" s="59" t="s">
        <v>51</v>
      </c>
      <c r="B23" s="67" t="s">
        <v>88</v>
      </c>
      <c r="C23" s="72" t="s">
        <v>56</v>
      </c>
      <c r="D23" s="72" t="s">
        <v>88</v>
      </c>
      <c r="E23" s="68">
        <v>2438000</v>
      </c>
      <c r="F23" s="69">
        <v>30</v>
      </c>
      <c r="G23" s="64">
        <v>2438000</v>
      </c>
      <c r="H23" s="60"/>
      <c r="I23" s="60"/>
      <c r="J23" s="60"/>
      <c r="K23" s="60"/>
      <c r="L23" s="60"/>
      <c r="M23" s="60"/>
      <c r="N23" s="64">
        <v>2438000</v>
      </c>
      <c r="O23" s="64">
        <v>162000</v>
      </c>
      <c r="P23" s="63">
        <v>1000000</v>
      </c>
      <c r="Q23" s="64">
        <v>3600000</v>
      </c>
      <c r="R23" s="64">
        <v>97520</v>
      </c>
      <c r="S23" s="64">
        <v>97520</v>
      </c>
      <c r="T23" s="60"/>
      <c r="U23" s="64">
        <v>195040</v>
      </c>
      <c r="V23" s="64">
        <v>3404960</v>
      </c>
      <c r="W23" s="60"/>
      <c r="X23" s="60"/>
      <c r="Y23" s="60"/>
      <c r="Z23" s="65"/>
    </row>
    <row r="24" spans="1:26" s="66" customFormat="1" ht="15" customHeight="1" thickBot="1" x14ac:dyDescent="0.3">
      <c r="A24" s="59" t="s">
        <v>51</v>
      </c>
      <c r="B24" s="67" t="s">
        <v>59</v>
      </c>
      <c r="C24" s="72" t="s">
        <v>56</v>
      </c>
      <c r="D24" s="72" t="s">
        <v>59</v>
      </c>
      <c r="E24" s="68">
        <v>1500000</v>
      </c>
      <c r="F24" s="69">
        <v>30</v>
      </c>
      <c r="G24" s="64">
        <v>1500000</v>
      </c>
      <c r="H24" s="60"/>
      <c r="I24" s="60"/>
      <c r="J24" s="60"/>
      <c r="K24" s="60"/>
      <c r="L24" s="60"/>
      <c r="M24" s="60"/>
      <c r="N24" s="64">
        <v>1500000</v>
      </c>
      <c r="O24" s="64">
        <v>162000</v>
      </c>
      <c r="P24" s="64">
        <v>438000</v>
      </c>
      <c r="Q24" s="64">
        <v>2100000</v>
      </c>
      <c r="R24" s="64">
        <v>60000</v>
      </c>
      <c r="S24" s="64">
        <v>60000</v>
      </c>
      <c r="T24" s="60"/>
      <c r="U24" s="64">
        <v>120000</v>
      </c>
      <c r="V24" s="64">
        <v>1980000</v>
      </c>
      <c r="W24" s="60"/>
      <c r="X24" s="60"/>
      <c r="Y24" s="60"/>
      <c r="Z24" s="65"/>
    </row>
    <row r="25" spans="1:26" s="66" customFormat="1" ht="15" customHeight="1" thickBot="1" x14ac:dyDescent="0.3">
      <c r="A25" s="59" t="s">
        <v>51</v>
      </c>
      <c r="B25" s="67" t="s">
        <v>59</v>
      </c>
      <c r="C25" s="72" t="s">
        <v>56</v>
      </c>
      <c r="D25" s="72" t="s">
        <v>59</v>
      </c>
      <c r="E25" s="68">
        <v>1500000</v>
      </c>
      <c r="F25" s="69">
        <v>30</v>
      </c>
      <c r="G25" s="64">
        <v>1500000</v>
      </c>
      <c r="H25" s="60"/>
      <c r="I25" s="60"/>
      <c r="J25" s="60"/>
      <c r="K25" s="60"/>
      <c r="L25" s="60"/>
      <c r="M25" s="60"/>
      <c r="N25" s="64">
        <v>1500000</v>
      </c>
      <c r="O25" s="64">
        <v>162000</v>
      </c>
      <c r="P25" s="64">
        <v>438000</v>
      </c>
      <c r="Q25" s="64">
        <v>2100000</v>
      </c>
      <c r="R25" s="64">
        <v>60000</v>
      </c>
      <c r="S25" s="64">
        <v>60000</v>
      </c>
      <c r="T25" s="60"/>
      <c r="U25" s="64">
        <v>120000</v>
      </c>
      <c r="V25" s="64">
        <v>1980000</v>
      </c>
      <c r="W25" s="60"/>
      <c r="X25" s="60"/>
      <c r="Y25" s="60"/>
      <c r="Z25" s="65"/>
    </row>
    <row r="26" spans="1:26" ht="15" customHeight="1" thickBot="1" x14ac:dyDescent="0.3">
      <c r="A26" s="29" t="s">
        <v>89</v>
      </c>
      <c r="B26" s="30"/>
      <c r="C26" s="30"/>
      <c r="D26" s="30"/>
      <c r="E26" s="31">
        <v>14325920</v>
      </c>
      <c r="F26" s="30"/>
      <c r="G26" s="31">
        <v>14325920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14325920</v>
      </c>
      <c r="O26" s="31">
        <v>972000</v>
      </c>
      <c r="P26" s="31">
        <v>0</v>
      </c>
      <c r="Q26" s="31">
        <v>16911920</v>
      </c>
      <c r="R26" s="31">
        <v>359037</v>
      </c>
      <c r="S26" s="31">
        <v>359037</v>
      </c>
      <c r="T26" s="31">
        <v>0</v>
      </c>
      <c r="U26" s="31">
        <v>718074</v>
      </c>
      <c r="V26" s="31">
        <v>35550806</v>
      </c>
      <c r="W26" s="30"/>
      <c r="X26" s="30"/>
      <c r="Y26" s="30"/>
      <c r="Z26" s="22"/>
    </row>
    <row r="27" spans="1:26" ht="15" customHeight="1" thickBot="1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" customHeight="1" thickBot="1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32"/>
      <c r="W28" s="33"/>
      <c r="X28" s="22"/>
      <c r="Y28" s="22"/>
      <c r="Z28" s="22"/>
    </row>
    <row r="29" spans="1:26" ht="15" customHeight="1" thickBot="1" x14ac:dyDescent="0.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34" t="s">
        <v>90</v>
      </c>
      <c r="S29" s="22"/>
      <c r="T29" s="22"/>
      <c r="U29" s="35"/>
      <c r="V29" s="36"/>
      <c r="W29" s="22"/>
      <c r="X29" s="22"/>
      <c r="Y29" s="22"/>
      <c r="Z29" s="22"/>
    </row>
    <row r="30" spans="1:26" ht="15" customHeight="1" thickBot="1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" customHeight="1" thickBot="1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" customHeight="1" thickBot="1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" customHeight="1" thickBot="1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" customHeight="1" thickBot="1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" customHeight="1" thickBot="1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" customHeight="1" thickBot="1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" customHeight="1" thickBot="1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32"/>
      <c r="W37" s="33"/>
      <c r="X37" s="22"/>
      <c r="Y37" s="22"/>
      <c r="Z37" s="22"/>
    </row>
    <row r="38" spans="1:26" ht="15" customHeight="1" thickBot="1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34" t="s">
        <v>90</v>
      </c>
      <c r="S38" s="22"/>
      <c r="T38" s="22"/>
      <c r="U38" s="35"/>
      <c r="V38" s="37">
        <v>10074000</v>
      </c>
      <c r="W38" s="22"/>
      <c r="X38" s="22"/>
      <c r="Y38" s="22"/>
      <c r="Z38" s="22"/>
    </row>
    <row r="39" spans="1:26" ht="15" customHeight="1" thickBot="1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" customHeight="1" thickBot="1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thickBot="1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thickBot="1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75" thickBot="1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thickBot="1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thickBot="1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thickBot="1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thickBot="1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75" thickBot="1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thickBot="1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thickBot="1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thickBot="1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thickBot="1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75" thickBot="1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75" thickBot="1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75" thickBot="1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75" thickBot="1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75" thickBot="1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thickBot="1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75" thickBot="1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thickBot="1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thickBot="1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thickBot="1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thickBot="1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thickBo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75" thickBo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75" thickBo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75" thickBot="1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75" thickBot="1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thickBo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thickBo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75" thickBo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thickBo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thickBo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thickBo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thickBo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thickBo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thickBo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thickBo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thickBo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75" thickBo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thickBo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thickBo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thickBo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thickBo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thickBo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thickBo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thickBo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thickBo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thickBot="1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thickBot="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thickBot="1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thickBot="1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thickBot="1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thickBot="1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thickBot="1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thickBot="1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thickBot="1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thickBot="1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thickBot="1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thickBot="1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thickBot="1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thickBot="1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thickBot="1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thickBot="1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thickBot="1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thickBot="1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thickBot="1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thickBot="1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thickBot="1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thickBot="1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thickBot="1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thickBot="1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thickBot="1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thickBot="1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thickBot="1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thickBot="1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thickBot="1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thickBot="1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thickBot="1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thickBot="1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thickBot="1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thickBot="1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thickBot="1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thickBot="1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thickBot="1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thickBot="1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thickBot="1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thickBot="1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thickBot="1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thickBot="1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thickBot="1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thickBot="1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thickBot="1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thickBot="1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thickBot="1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thickBot="1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thickBot="1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thickBot="1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thickBot="1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thickBot="1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thickBot="1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thickBot="1" x14ac:dyDescent="0.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thickBot="1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thickBot="1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thickBot="1" x14ac:dyDescent="0.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thickBot="1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thickBot="1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thickBot="1" x14ac:dyDescent="0.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thickBot="1" x14ac:dyDescent="0.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thickBot="1" x14ac:dyDescent="0.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thickBot="1" x14ac:dyDescent="0.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thickBot="1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thickBot="1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thickBot="1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thickBot="1" x14ac:dyDescent="0.3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thickBot="1" x14ac:dyDescent="0.3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thickBot="1" x14ac:dyDescent="0.3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thickBot="1" x14ac:dyDescent="0.3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thickBot="1" x14ac:dyDescent="0.3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thickBot="1" x14ac:dyDescent="0.3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thickBot="1" x14ac:dyDescent="0.3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thickBot="1" x14ac:dyDescent="0.3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thickBot="1" x14ac:dyDescent="0.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thickBot="1" x14ac:dyDescent="0.3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thickBot="1" x14ac:dyDescent="0.3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thickBot="1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thickBot="1" x14ac:dyDescent="0.3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thickBot="1" x14ac:dyDescent="0.3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thickBot="1" x14ac:dyDescent="0.3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thickBot="1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thickBot="1" x14ac:dyDescent="0.3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thickBot="1" x14ac:dyDescent="0.3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thickBot="1" x14ac:dyDescent="0.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thickBot="1" x14ac:dyDescent="0.3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thickBot="1" x14ac:dyDescent="0.3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thickBot="1" x14ac:dyDescent="0.3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thickBot="1" x14ac:dyDescent="0.3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thickBot="1" x14ac:dyDescent="0.3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thickBot="1" x14ac:dyDescent="0.3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thickBot="1" x14ac:dyDescent="0.3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thickBot="1" x14ac:dyDescent="0.3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thickBot="1" x14ac:dyDescent="0.3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thickBot="1" x14ac:dyDescent="0.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thickBot="1" x14ac:dyDescent="0.3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thickBot="1" x14ac:dyDescent="0.3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thickBot="1" x14ac:dyDescent="0.3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thickBot="1" x14ac:dyDescent="0.3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thickBot="1" x14ac:dyDescent="0.3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thickBot="1" x14ac:dyDescent="0.3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thickBot="1" x14ac:dyDescent="0.3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thickBot="1" x14ac:dyDescent="0.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thickBot="1" x14ac:dyDescent="0.3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thickBot="1" x14ac:dyDescent="0.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thickBot="1" x14ac:dyDescent="0.3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thickBot="1" x14ac:dyDescent="0.3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thickBot="1" x14ac:dyDescent="0.3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thickBot="1" x14ac:dyDescent="0.3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thickBot="1" x14ac:dyDescent="0.3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thickBot="1" x14ac:dyDescent="0.3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thickBot="1" x14ac:dyDescent="0.3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thickBot="1" x14ac:dyDescent="0.3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thickBot="1" x14ac:dyDescent="0.3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thickBot="1" x14ac:dyDescent="0.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thickBot="1" x14ac:dyDescent="0.3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thickBot="1" x14ac:dyDescent="0.3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thickBot="1" x14ac:dyDescent="0.3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thickBot="1" x14ac:dyDescent="0.3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thickBot="1" x14ac:dyDescent="0.3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thickBot="1" x14ac:dyDescent="0.3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thickBot="1" x14ac:dyDescent="0.3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thickBot="1" x14ac:dyDescent="0.3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thickBot="1" x14ac:dyDescent="0.3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thickBot="1" x14ac:dyDescent="0.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thickBot="1" x14ac:dyDescent="0.3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thickBot="1" x14ac:dyDescent="0.3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thickBot="1" x14ac:dyDescent="0.3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thickBot="1" x14ac:dyDescent="0.3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thickBot="1" x14ac:dyDescent="0.3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thickBot="1" x14ac:dyDescent="0.3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thickBot="1" x14ac:dyDescent="0.3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thickBot="1" x14ac:dyDescent="0.3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thickBot="1" x14ac:dyDescent="0.3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thickBot="1" x14ac:dyDescent="0.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75" thickBot="1" x14ac:dyDescent="0.3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75" thickBot="1" x14ac:dyDescent="0.3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thickBot="1" x14ac:dyDescent="0.3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75" thickBot="1" x14ac:dyDescent="0.3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75" thickBot="1" x14ac:dyDescent="0.3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75" thickBot="1" x14ac:dyDescent="0.3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75" thickBot="1" x14ac:dyDescent="0.3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75" thickBot="1" x14ac:dyDescent="0.3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thickBot="1" x14ac:dyDescent="0.3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75" thickBot="1" x14ac:dyDescent="0.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75" thickBot="1" x14ac:dyDescent="0.3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75" thickBot="1" x14ac:dyDescent="0.3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75" thickBot="1" x14ac:dyDescent="0.3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75" thickBot="1" x14ac:dyDescent="0.3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.75" thickBot="1" x14ac:dyDescent="0.3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.75" thickBot="1" x14ac:dyDescent="0.3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75" thickBot="1" x14ac:dyDescent="0.3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.75" thickBot="1" x14ac:dyDescent="0.3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.75" thickBot="1" x14ac:dyDescent="0.3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75" thickBot="1" x14ac:dyDescent="0.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.75" thickBot="1" x14ac:dyDescent="0.3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75" thickBot="1" x14ac:dyDescent="0.3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.75" thickBot="1" x14ac:dyDescent="0.3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75" thickBot="1" x14ac:dyDescent="0.3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75" thickBot="1" x14ac:dyDescent="0.3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.75" thickBot="1" x14ac:dyDescent="0.3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.75" thickBot="1" x14ac:dyDescent="0.3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75" thickBot="1" x14ac:dyDescent="0.3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75" thickBot="1" x14ac:dyDescent="0.3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.75" thickBot="1" x14ac:dyDescent="0.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.75" thickBot="1" x14ac:dyDescent="0.3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.75" thickBot="1" x14ac:dyDescent="0.3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75" thickBot="1" x14ac:dyDescent="0.3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.75" thickBot="1" x14ac:dyDescent="0.3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.75" thickBot="1" x14ac:dyDescent="0.3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.75" thickBot="1" x14ac:dyDescent="0.3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75" thickBot="1" x14ac:dyDescent="0.3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.75" thickBot="1" x14ac:dyDescent="0.3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thickBot="1" x14ac:dyDescent="0.3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75" thickBot="1" x14ac:dyDescent="0.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thickBot="1" x14ac:dyDescent="0.3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75" thickBot="1" x14ac:dyDescent="0.3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75" thickBot="1" x14ac:dyDescent="0.3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75" thickBot="1" x14ac:dyDescent="0.3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75" thickBot="1" x14ac:dyDescent="0.3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.75" thickBot="1" x14ac:dyDescent="0.3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.75" thickBot="1" x14ac:dyDescent="0.3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.75" thickBot="1" x14ac:dyDescent="0.3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75" thickBot="1" x14ac:dyDescent="0.3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.75" thickBot="1" x14ac:dyDescent="0.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.75" thickBot="1" x14ac:dyDescent="0.3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.75" thickBot="1" x14ac:dyDescent="0.3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.75" thickBot="1" x14ac:dyDescent="0.3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.75" thickBot="1" x14ac:dyDescent="0.3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.75" thickBot="1" x14ac:dyDescent="0.3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.75" thickBot="1" x14ac:dyDescent="0.3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.75" thickBot="1" x14ac:dyDescent="0.3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.75" thickBot="1" x14ac:dyDescent="0.3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.75" thickBot="1" x14ac:dyDescent="0.3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.75" thickBot="1" x14ac:dyDescent="0.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75" thickBot="1" x14ac:dyDescent="0.3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75" thickBot="1" x14ac:dyDescent="0.3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75" thickBot="1" x14ac:dyDescent="0.3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.75" thickBot="1" x14ac:dyDescent="0.3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.75" thickBot="1" x14ac:dyDescent="0.3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75" thickBot="1" x14ac:dyDescent="0.3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.75" thickBot="1" x14ac:dyDescent="0.3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.75" thickBot="1" x14ac:dyDescent="0.3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.75" thickBot="1" x14ac:dyDescent="0.3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.75" thickBot="1" x14ac:dyDescent="0.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.75" thickBot="1" x14ac:dyDescent="0.3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.75" thickBot="1" x14ac:dyDescent="0.3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75" thickBot="1" x14ac:dyDescent="0.3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.75" thickBot="1" x14ac:dyDescent="0.3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75" thickBot="1" x14ac:dyDescent="0.3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.75" thickBot="1" x14ac:dyDescent="0.3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75" thickBot="1" x14ac:dyDescent="0.3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.75" thickBot="1" x14ac:dyDescent="0.3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.75" thickBot="1" x14ac:dyDescent="0.3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.75" thickBot="1" x14ac:dyDescent="0.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.75" thickBot="1" x14ac:dyDescent="0.3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.75" thickBot="1" x14ac:dyDescent="0.3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.75" thickBot="1" x14ac:dyDescent="0.3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.75" thickBot="1" x14ac:dyDescent="0.3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.75" thickBot="1" x14ac:dyDescent="0.3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.75" thickBot="1" x14ac:dyDescent="0.3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.75" thickBot="1" x14ac:dyDescent="0.3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.75" thickBot="1" x14ac:dyDescent="0.3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.75" thickBot="1" x14ac:dyDescent="0.3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.75" thickBot="1" x14ac:dyDescent="0.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.75" thickBot="1" x14ac:dyDescent="0.3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.75" thickBot="1" x14ac:dyDescent="0.3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.75" thickBot="1" x14ac:dyDescent="0.3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.75" thickBot="1" x14ac:dyDescent="0.3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.75" thickBot="1" x14ac:dyDescent="0.3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.75" thickBot="1" x14ac:dyDescent="0.3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.75" thickBot="1" x14ac:dyDescent="0.3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.75" thickBot="1" x14ac:dyDescent="0.3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.75" thickBot="1" x14ac:dyDescent="0.3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.75" thickBot="1" x14ac:dyDescent="0.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.75" thickBot="1" x14ac:dyDescent="0.3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.75" thickBot="1" x14ac:dyDescent="0.3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.75" thickBot="1" x14ac:dyDescent="0.3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.75" thickBot="1" x14ac:dyDescent="0.3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.75" thickBot="1" x14ac:dyDescent="0.3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.75" thickBot="1" x14ac:dyDescent="0.3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.75" thickBot="1" x14ac:dyDescent="0.3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.75" thickBot="1" x14ac:dyDescent="0.3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.75" thickBot="1" x14ac:dyDescent="0.3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.75" thickBot="1" x14ac:dyDescent="0.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.75" thickBot="1" x14ac:dyDescent="0.3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.75" thickBot="1" x14ac:dyDescent="0.3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.75" thickBot="1" x14ac:dyDescent="0.3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.75" thickBot="1" x14ac:dyDescent="0.3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.75" thickBot="1" x14ac:dyDescent="0.3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.75" thickBot="1" x14ac:dyDescent="0.3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.75" thickBot="1" x14ac:dyDescent="0.3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.75" thickBot="1" x14ac:dyDescent="0.3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.75" thickBot="1" x14ac:dyDescent="0.3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.75" thickBot="1" x14ac:dyDescent="0.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.75" thickBot="1" x14ac:dyDescent="0.3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.75" thickBot="1" x14ac:dyDescent="0.3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.75" thickBot="1" x14ac:dyDescent="0.3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.75" thickBot="1" x14ac:dyDescent="0.3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.75" thickBot="1" x14ac:dyDescent="0.3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.75" thickBot="1" x14ac:dyDescent="0.3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.75" thickBot="1" x14ac:dyDescent="0.3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.75" thickBot="1" x14ac:dyDescent="0.3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.75" thickBot="1" x14ac:dyDescent="0.3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.75" thickBot="1" x14ac:dyDescent="0.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.75" thickBot="1" x14ac:dyDescent="0.3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.75" thickBot="1" x14ac:dyDescent="0.3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.75" thickBot="1" x14ac:dyDescent="0.3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.75" thickBot="1" x14ac:dyDescent="0.3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.75" thickBot="1" x14ac:dyDescent="0.3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.75" thickBot="1" x14ac:dyDescent="0.3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.75" thickBot="1" x14ac:dyDescent="0.3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.75" thickBot="1" x14ac:dyDescent="0.3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.75" thickBot="1" x14ac:dyDescent="0.3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.75" thickBot="1" x14ac:dyDescent="0.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.75" thickBot="1" x14ac:dyDescent="0.3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.75" thickBot="1" x14ac:dyDescent="0.3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.75" thickBot="1" x14ac:dyDescent="0.3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.75" thickBot="1" x14ac:dyDescent="0.3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.75" thickBot="1" x14ac:dyDescent="0.3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.75" thickBot="1" x14ac:dyDescent="0.3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.75" thickBot="1" x14ac:dyDescent="0.3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.75" thickBot="1" x14ac:dyDescent="0.3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.75" thickBot="1" x14ac:dyDescent="0.3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.75" thickBot="1" x14ac:dyDescent="0.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.75" thickBot="1" x14ac:dyDescent="0.3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.75" thickBot="1" x14ac:dyDescent="0.3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.75" thickBot="1" x14ac:dyDescent="0.3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.75" thickBot="1" x14ac:dyDescent="0.3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.75" thickBot="1" x14ac:dyDescent="0.3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.75" thickBot="1" x14ac:dyDescent="0.3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.75" thickBot="1" x14ac:dyDescent="0.3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.75" thickBot="1" x14ac:dyDescent="0.3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.75" thickBot="1" x14ac:dyDescent="0.3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.75" thickBot="1" x14ac:dyDescent="0.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.75" thickBot="1" x14ac:dyDescent="0.3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.75" thickBot="1" x14ac:dyDescent="0.3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.75" thickBot="1" x14ac:dyDescent="0.3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.75" thickBot="1" x14ac:dyDescent="0.3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.75" thickBot="1" x14ac:dyDescent="0.3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.75" thickBot="1" x14ac:dyDescent="0.3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.75" thickBot="1" x14ac:dyDescent="0.3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.75" thickBot="1" x14ac:dyDescent="0.3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.75" thickBot="1" x14ac:dyDescent="0.3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.75" thickBot="1" x14ac:dyDescent="0.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.75" thickBot="1" x14ac:dyDescent="0.3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.75" thickBot="1" x14ac:dyDescent="0.3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.75" thickBot="1" x14ac:dyDescent="0.3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.75" thickBot="1" x14ac:dyDescent="0.3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.75" thickBot="1" x14ac:dyDescent="0.3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.75" thickBot="1" x14ac:dyDescent="0.3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.75" thickBot="1" x14ac:dyDescent="0.3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.75" thickBot="1" x14ac:dyDescent="0.3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.75" thickBot="1" x14ac:dyDescent="0.3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.75" thickBot="1" x14ac:dyDescent="0.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.75" thickBot="1" x14ac:dyDescent="0.3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.75" thickBot="1" x14ac:dyDescent="0.3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.75" thickBot="1" x14ac:dyDescent="0.3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.75" thickBot="1" x14ac:dyDescent="0.3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.75" thickBot="1" x14ac:dyDescent="0.3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.75" thickBot="1" x14ac:dyDescent="0.3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.75" thickBot="1" x14ac:dyDescent="0.3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.75" thickBot="1" x14ac:dyDescent="0.3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.75" thickBot="1" x14ac:dyDescent="0.3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.75" thickBot="1" x14ac:dyDescent="0.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.75" thickBot="1" x14ac:dyDescent="0.3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.75" thickBot="1" x14ac:dyDescent="0.3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.75" thickBot="1" x14ac:dyDescent="0.3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.75" thickBot="1" x14ac:dyDescent="0.3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.75" thickBot="1" x14ac:dyDescent="0.3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.75" thickBot="1" x14ac:dyDescent="0.3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.75" thickBot="1" x14ac:dyDescent="0.3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.75" thickBot="1" x14ac:dyDescent="0.3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.75" thickBot="1" x14ac:dyDescent="0.3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.75" thickBot="1" x14ac:dyDescent="0.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.75" thickBot="1" x14ac:dyDescent="0.3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.75" thickBot="1" x14ac:dyDescent="0.3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.75" thickBot="1" x14ac:dyDescent="0.3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.75" thickBot="1" x14ac:dyDescent="0.3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.75" thickBot="1" x14ac:dyDescent="0.3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.75" thickBot="1" x14ac:dyDescent="0.3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.75" thickBot="1" x14ac:dyDescent="0.3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.75" thickBot="1" x14ac:dyDescent="0.3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.75" thickBot="1" x14ac:dyDescent="0.3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.75" thickBot="1" x14ac:dyDescent="0.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.75" thickBot="1" x14ac:dyDescent="0.3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.75" thickBot="1" x14ac:dyDescent="0.3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.75" thickBot="1" x14ac:dyDescent="0.3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.75" thickBot="1" x14ac:dyDescent="0.3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.75" thickBot="1" x14ac:dyDescent="0.3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.75" thickBot="1" x14ac:dyDescent="0.3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.75" thickBot="1" x14ac:dyDescent="0.3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.75" thickBot="1" x14ac:dyDescent="0.3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.75" thickBot="1" x14ac:dyDescent="0.3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.75" thickBot="1" x14ac:dyDescent="0.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.75" thickBot="1" x14ac:dyDescent="0.3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.75" thickBot="1" x14ac:dyDescent="0.3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.75" thickBot="1" x14ac:dyDescent="0.3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.75" thickBot="1" x14ac:dyDescent="0.3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.75" thickBot="1" x14ac:dyDescent="0.3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.75" thickBot="1" x14ac:dyDescent="0.3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.75" thickBot="1" x14ac:dyDescent="0.3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.75" thickBot="1" x14ac:dyDescent="0.3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.75" thickBot="1" x14ac:dyDescent="0.3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.75" thickBot="1" x14ac:dyDescent="0.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.75" thickBot="1" x14ac:dyDescent="0.3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.75" thickBot="1" x14ac:dyDescent="0.3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.75" thickBot="1" x14ac:dyDescent="0.3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.75" thickBot="1" x14ac:dyDescent="0.3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.75" thickBot="1" x14ac:dyDescent="0.3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.75" thickBot="1" x14ac:dyDescent="0.3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.75" thickBot="1" x14ac:dyDescent="0.3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.75" thickBot="1" x14ac:dyDescent="0.3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.75" thickBot="1" x14ac:dyDescent="0.3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.75" thickBot="1" x14ac:dyDescent="0.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.75" thickBot="1" x14ac:dyDescent="0.3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.75" thickBot="1" x14ac:dyDescent="0.3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.75" thickBot="1" x14ac:dyDescent="0.3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.75" thickBot="1" x14ac:dyDescent="0.3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.75" thickBot="1" x14ac:dyDescent="0.3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.75" thickBot="1" x14ac:dyDescent="0.3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.75" thickBot="1" x14ac:dyDescent="0.3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.75" thickBot="1" x14ac:dyDescent="0.3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.75" thickBot="1" x14ac:dyDescent="0.3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.75" thickBot="1" x14ac:dyDescent="0.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.75" thickBot="1" x14ac:dyDescent="0.3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.75" thickBot="1" x14ac:dyDescent="0.3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.75" thickBot="1" x14ac:dyDescent="0.3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.75" thickBot="1" x14ac:dyDescent="0.3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.75" thickBot="1" x14ac:dyDescent="0.3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.75" thickBot="1" x14ac:dyDescent="0.3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.75" thickBot="1" x14ac:dyDescent="0.3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.75" thickBot="1" x14ac:dyDescent="0.3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.75" thickBot="1" x14ac:dyDescent="0.3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.75" thickBot="1" x14ac:dyDescent="0.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.75" thickBot="1" x14ac:dyDescent="0.3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.75" thickBot="1" x14ac:dyDescent="0.3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.75" thickBot="1" x14ac:dyDescent="0.3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.75" thickBot="1" x14ac:dyDescent="0.3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.75" thickBot="1" x14ac:dyDescent="0.3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.75" thickBot="1" x14ac:dyDescent="0.3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.75" thickBot="1" x14ac:dyDescent="0.3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.75" thickBot="1" x14ac:dyDescent="0.3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.75" thickBot="1" x14ac:dyDescent="0.3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.75" thickBot="1" x14ac:dyDescent="0.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.75" thickBot="1" x14ac:dyDescent="0.3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.75" thickBot="1" x14ac:dyDescent="0.3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.75" thickBot="1" x14ac:dyDescent="0.3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.75" thickBot="1" x14ac:dyDescent="0.3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.75" thickBot="1" x14ac:dyDescent="0.3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.75" thickBot="1" x14ac:dyDescent="0.3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.75" thickBot="1" x14ac:dyDescent="0.3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.75" thickBot="1" x14ac:dyDescent="0.3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.75" thickBot="1" x14ac:dyDescent="0.3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.75" thickBot="1" x14ac:dyDescent="0.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.75" thickBot="1" x14ac:dyDescent="0.3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.75" thickBot="1" x14ac:dyDescent="0.3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.75" thickBot="1" x14ac:dyDescent="0.3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.75" thickBot="1" x14ac:dyDescent="0.3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.75" thickBot="1" x14ac:dyDescent="0.3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.75" thickBot="1" x14ac:dyDescent="0.3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.75" thickBot="1" x14ac:dyDescent="0.3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.75" thickBot="1" x14ac:dyDescent="0.3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.75" thickBot="1" x14ac:dyDescent="0.3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.75" thickBot="1" x14ac:dyDescent="0.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.75" thickBot="1" x14ac:dyDescent="0.3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.75" thickBot="1" x14ac:dyDescent="0.3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.75" thickBot="1" x14ac:dyDescent="0.3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.75" thickBot="1" x14ac:dyDescent="0.3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.75" thickBot="1" x14ac:dyDescent="0.3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.75" thickBot="1" x14ac:dyDescent="0.3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.75" thickBot="1" x14ac:dyDescent="0.3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.75" thickBot="1" x14ac:dyDescent="0.3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.75" thickBot="1" x14ac:dyDescent="0.3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.75" thickBot="1" x14ac:dyDescent="0.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.75" thickBot="1" x14ac:dyDescent="0.3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.75" thickBot="1" x14ac:dyDescent="0.3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.75" thickBot="1" x14ac:dyDescent="0.3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.75" thickBot="1" x14ac:dyDescent="0.3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.75" thickBot="1" x14ac:dyDescent="0.3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.75" thickBot="1" x14ac:dyDescent="0.3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.75" thickBot="1" x14ac:dyDescent="0.3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.75" thickBot="1" x14ac:dyDescent="0.3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.75" thickBot="1" x14ac:dyDescent="0.3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.75" thickBot="1" x14ac:dyDescent="0.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.75" thickBot="1" x14ac:dyDescent="0.3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.75" thickBot="1" x14ac:dyDescent="0.3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.75" thickBot="1" x14ac:dyDescent="0.3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.75" thickBot="1" x14ac:dyDescent="0.3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.75" thickBot="1" x14ac:dyDescent="0.3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.75" thickBot="1" x14ac:dyDescent="0.3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.75" thickBot="1" x14ac:dyDescent="0.3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.75" thickBot="1" x14ac:dyDescent="0.3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.75" thickBot="1" x14ac:dyDescent="0.3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.75" thickBot="1" x14ac:dyDescent="0.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.75" thickBot="1" x14ac:dyDescent="0.3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.75" thickBot="1" x14ac:dyDescent="0.3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.75" thickBot="1" x14ac:dyDescent="0.3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.75" thickBot="1" x14ac:dyDescent="0.3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.75" thickBot="1" x14ac:dyDescent="0.3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.75" thickBot="1" x14ac:dyDescent="0.3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.75" thickBot="1" x14ac:dyDescent="0.3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.75" thickBot="1" x14ac:dyDescent="0.3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.75" thickBot="1" x14ac:dyDescent="0.3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.75" thickBot="1" x14ac:dyDescent="0.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.75" thickBot="1" x14ac:dyDescent="0.3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.75" thickBot="1" x14ac:dyDescent="0.3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.75" thickBot="1" x14ac:dyDescent="0.3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.75" thickBot="1" x14ac:dyDescent="0.3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.75" thickBot="1" x14ac:dyDescent="0.3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.75" thickBot="1" x14ac:dyDescent="0.3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.75" thickBot="1" x14ac:dyDescent="0.3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.75" thickBot="1" x14ac:dyDescent="0.3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.75" thickBot="1" x14ac:dyDescent="0.3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.75" thickBot="1" x14ac:dyDescent="0.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.75" thickBot="1" x14ac:dyDescent="0.3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.75" thickBot="1" x14ac:dyDescent="0.3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.75" thickBot="1" x14ac:dyDescent="0.3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.75" thickBot="1" x14ac:dyDescent="0.3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.75" thickBot="1" x14ac:dyDescent="0.3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.75" thickBot="1" x14ac:dyDescent="0.3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.75" thickBot="1" x14ac:dyDescent="0.3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.75" thickBot="1" x14ac:dyDescent="0.3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.75" thickBot="1" x14ac:dyDescent="0.3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.75" thickBot="1" x14ac:dyDescent="0.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.75" thickBot="1" x14ac:dyDescent="0.3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.75" thickBot="1" x14ac:dyDescent="0.3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.75" thickBot="1" x14ac:dyDescent="0.3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.75" thickBot="1" x14ac:dyDescent="0.3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.75" thickBot="1" x14ac:dyDescent="0.3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.75" thickBot="1" x14ac:dyDescent="0.3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.75" thickBot="1" x14ac:dyDescent="0.3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.75" thickBot="1" x14ac:dyDescent="0.3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.75" thickBot="1" x14ac:dyDescent="0.3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.75" thickBot="1" x14ac:dyDescent="0.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.75" thickBot="1" x14ac:dyDescent="0.3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.75" thickBot="1" x14ac:dyDescent="0.3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.75" thickBot="1" x14ac:dyDescent="0.3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.75" thickBot="1" x14ac:dyDescent="0.3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.75" thickBot="1" x14ac:dyDescent="0.3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.75" thickBot="1" x14ac:dyDescent="0.3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.75" thickBot="1" x14ac:dyDescent="0.3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.75" thickBot="1" x14ac:dyDescent="0.3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.75" thickBot="1" x14ac:dyDescent="0.3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.75" thickBot="1" x14ac:dyDescent="0.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.75" thickBot="1" x14ac:dyDescent="0.3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.75" thickBot="1" x14ac:dyDescent="0.3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.75" thickBot="1" x14ac:dyDescent="0.3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.75" thickBot="1" x14ac:dyDescent="0.3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.75" thickBot="1" x14ac:dyDescent="0.3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.75" thickBot="1" x14ac:dyDescent="0.3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.75" thickBot="1" x14ac:dyDescent="0.3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.75" thickBot="1" x14ac:dyDescent="0.3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.75" thickBot="1" x14ac:dyDescent="0.3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.75" thickBot="1" x14ac:dyDescent="0.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.75" thickBot="1" x14ac:dyDescent="0.3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.75" thickBot="1" x14ac:dyDescent="0.3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.75" thickBot="1" x14ac:dyDescent="0.3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.75" thickBot="1" x14ac:dyDescent="0.3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.75" thickBot="1" x14ac:dyDescent="0.3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.75" thickBot="1" x14ac:dyDescent="0.3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.75" thickBot="1" x14ac:dyDescent="0.3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.75" thickBot="1" x14ac:dyDescent="0.3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.75" thickBot="1" x14ac:dyDescent="0.3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.75" thickBot="1" x14ac:dyDescent="0.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.75" thickBot="1" x14ac:dyDescent="0.3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.75" thickBot="1" x14ac:dyDescent="0.3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.75" thickBot="1" x14ac:dyDescent="0.3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.75" thickBot="1" x14ac:dyDescent="0.3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.75" thickBot="1" x14ac:dyDescent="0.3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.75" thickBot="1" x14ac:dyDescent="0.3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.75" thickBot="1" x14ac:dyDescent="0.3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.75" thickBot="1" x14ac:dyDescent="0.3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.75" thickBot="1" x14ac:dyDescent="0.3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.75" thickBot="1" x14ac:dyDescent="0.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.75" thickBot="1" x14ac:dyDescent="0.3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.75" thickBot="1" x14ac:dyDescent="0.3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.75" thickBot="1" x14ac:dyDescent="0.3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.75" thickBot="1" x14ac:dyDescent="0.3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.75" thickBot="1" x14ac:dyDescent="0.3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.75" thickBot="1" x14ac:dyDescent="0.3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.75" thickBot="1" x14ac:dyDescent="0.3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.75" thickBot="1" x14ac:dyDescent="0.3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.75" thickBot="1" x14ac:dyDescent="0.3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.75" thickBot="1" x14ac:dyDescent="0.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.75" thickBot="1" x14ac:dyDescent="0.3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.75" thickBot="1" x14ac:dyDescent="0.3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.75" thickBot="1" x14ac:dyDescent="0.3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.75" thickBot="1" x14ac:dyDescent="0.3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.75" thickBot="1" x14ac:dyDescent="0.3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.75" thickBot="1" x14ac:dyDescent="0.3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.75" thickBot="1" x14ac:dyDescent="0.3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.75" thickBot="1" x14ac:dyDescent="0.3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.75" thickBot="1" x14ac:dyDescent="0.3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.75" thickBot="1" x14ac:dyDescent="0.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.75" thickBot="1" x14ac:dyDescent="0.3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.75" thickBot="1" x14ac:dyDescent="0.3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.75" thickBot="1" x14ac:dyDescent="0.3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.75" thickBot="1" x14ac:dyDescent="0.3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.75" thickBot="1" x14ac:dyDescent="0.3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.75" thickBot="1" x14ac:dyDescent="0.3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.75" thickBot="1" x14ac:dyDescent="0.3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.75" thickBot="1" x14ac:dyDescent="0.3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.75" thickBot="1" x14ac:dyDescent="0.3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.75" thickBot="1" x14ac:dyDescent="0.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.75" thickBot="1" x14ac:dyDescent="0.3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.75" thickBot="1" x14ac:dyDescent="0.3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.75" thickBot="1" x14ac:dyDescent="0.3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.75" thickBot="1" x14ac:dyDescent="0.3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.75" thickBot="1" x14ac:dyDescent="0.3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.75" thickBot="1" x14ac:dyDescent="0.3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.75" thickBot="1" x14ac:dyDescent="0.3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.75" thickBot="1" x14ac:dyDescent="0.3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.75" thickBot="1" x14ac:dyDescent="0.3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.75" thickBot="1" x14ac:dyDescent="0.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.75" thickBot="1" x14ac:dyDescent="0.3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.75" thickBot="1" x14ac:dyDescent="0.3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.75" thickBot="1" x14ac:dyDescent="0.3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.75" thickBot="1" x14ac:dyDescent="0.3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.75" thickBot="1" x14ac:dyDescent="0.3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.75" thickBot="1" x14ac:dyDescent="0.3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.75" thickBot="1" x14ac:dyDescent="0.3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.75" thickBot="1" x14ac:dyDescent="0.3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.75" thickBot="1" x14ac:dyDescent="0.3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.75" thickBot="1" x14ac:dyDescent="0.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.75" thickBot="1" x14ac:dyDescent="0.3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.75" thickBot="1" x14ac:dyDescent="0.3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.75" thickBot="1" x14ac:dyDescent="0.3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.75" thickBot="1" x14ac:dyDescent="0.3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.75" thickBot="1" x14ac:dyDescent="0.3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.75" thickBot="1" x14ac:dyDescent="0.3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.75" thickBot="1" x14ac:dyDescent="0.3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.75" thickBot="1" x14ac:dyDescent="0.3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.75" thickBot="1" x14ac:dyDescent="0.3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.75" thickBot="1" x14ac:dyDescent="0.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.75" thickBot="1" x14ac:dyDescent="0.3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.75" thickBot="1" x14ac:dyDescent="0.3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.75" thickBot="1" x14ac:dyDescent="0.3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.75" thickBot="1" x14ac:dyDescent="0.3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.75" thickBot="1" x14ac:dyDescent="0.3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.75" thickBot="1" x14ac:dyDescent="0.3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.75" thickBot="1" x14ac:dyDescent="0.3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.75" thickBot="1" x14ac:dyDescent="0.3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.75" thickBot="1" x14ac:dyDescent="0.3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.75" thickBot="1" x14ac:dyDescent="0.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.75" thickBot="1" x14ac:dyDescent="0.3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.75" thickBot="1" x14ac:dyDescent="0.3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.75" thickBot="1" x14ac:dyDescent="0.3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.75" thickBot="1" x14ac:dyDescent="0.3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.75" thickBot="1" x14ac:dyDescent="0.3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.75" thickBot="1" x14ac:dyDescent="0.3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.75" thickBot="1" x14ac:dyDescent="0.3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.75" thickBot="1" x14ac:dyDescent="0.3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.75" thickBot="1" x14ac:dyDescent="0.3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.75" thickBot="1" x14ac:dyDescent="0.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.75" thickBot="1" x14ac:dyDescent="0.3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.75" thickBot="1" x14ac:dyDescent="0.3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.75" thickBot="1" x14ac:dyDescent="0.3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.75" thickBot="1" x14ac:dyDescent="0.3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.75" thickBot="1" x14ac:dyDescent="0.3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.75" thickBot="1" x14ac:dyDescent="0.3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.75" thickBot="1" x14ac:dyDescent="0.3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.75" thickBot="1" x14ac:dyDescent="0.3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.75" thickBot="1" x14ac:dyDescent="0.3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.75" thickBot="1" x14ac:dyDescent="0.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.75" thickBot="1" x14ac:dyDescent="0.3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.75" thickBot="1" x14ac:dyDescent="0.3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.75" thickBot="1" x14ac:dyDescent="0.3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.75" thickBot="1" x14ac:dyDescent="0.3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.75" thickBot="1" x14ac:dyDescent="0.3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.75" thickBot="1" x14ac:dyDescent="0.3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.75" thickBot="1" x14ac:dyDescent="0.3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.75" thickBot="1" x14ac:dyDescent="0.3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.75" thickBot="1" x14ac:dyDescent="0.3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.75" thickBot="1" x14ac:dyDescent="0.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.75" thickBot="1" x14ac:dyDescent="0.3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.75" thickBot="1" x14ac:dyDescent="0.3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.75" thickBot="1" x14ac:dyDescent="0.3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.75" thickBot="1" x14ac:dyDescent="0.3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.75" thickBot="1" x14ac:dyDescent="0.3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.75" thickBot="1" x14ac:dyDescent="0.3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.75" thickBot="1" x14ac:dyDescent="0.3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.75" thickBot="1" x14ac:dyDescent="0.3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.75" thickBot="1" x14ac:dyDescent="0.3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.75" thickBot="1" x14ac:dyDescent="0.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.75" thickBot="1" x14ac:dyDescent="0.3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.75" thickBot="1" x14ac:dyDescent="0.3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.75" thickBot="1" x14ac:dyDescent="0.3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.75" thickBot="1" x14ac:dyDescent="0.3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.75" thickBot="1" x14ac:dyDescent="0.3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.75" thickBot="1" x14ac:dyDescent="0.3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.75" thickBot="1" x14ac:dyDescent="0.3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.75" thickBot="1" x14ac:dyDescent="0.3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.75" thickBot="1" x14ac:dyDescent="0.3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.75" thickBot="1" x14ac:dyDescent="0.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.75" thickBot="1" x14ac:dyDescent="0.3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.75" thickBot="1" x14ac:dyDescent="0.3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.75" thickBot="1" x14ac:dyDescent="0.3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.75" thickBot="1" x14ac:dyDescent="0.3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.75" thickBot="1" x14ac:dyDescent="0.3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.75" thickBot="1" x14ac:dyDescent="0.3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.75" thickBot="1" x14ac:dyDescent="0.3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.75" thickBot="1" x14ac:dyDescent="0.3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.75" thickBot="1" x14ac:dyDescent="0.3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.75" thickBot="1" x14ac:dyDescent="0.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.75" thickBot="1" x14ac:dyDescent="0.3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.75" thickBot="1" x14ac:dyDescent="0.3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.75" thickBot="1" x14ac:dyDescent="0.3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.75" thickBot="1" x14ac:dyDescent="0.3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.75" thickBot="1" x14ac:dyDescent="0.3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.75" thickBot="1" x14ac:dyDescent="0.3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.75" thickBot="1" x14ac:dyDescent="0.3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.75" thickBot="1" x14ac:dyDescent="0.3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.75" thickBot="1" x14ac:dyDescent="0.3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.75" thickBot="1" x14ac:dyDescent="0.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.75" thickBot="1" x14ac:dyDescent="0.3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.75" thickBot="1" x14ac:dyDescent="0.3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.75" thickBot="1" x14ac:dyDescent="0.3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.75" thickBot="1" x14ac:dyDescent="0.3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.75" thickBot="1" x14ac:dyDescent="0.3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.75" thickBot="1" x14ac:dyDescent="0.3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.75" thickBot="1" x14ac:dyDescent="0.3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.75" thickBot="1" x14ac:dyDescent="0.3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.75" thickBot="1" x14ac:dyDescent="0.3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.75" thickBot="1" x14ac:dyDescent="0.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.75" thickBot="1" x14ac:dyDescent="0.3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.75" thickBot="1" x14ac:dyDescent="0.3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.75" thickBot="1" x14ac:dyDescent="0.3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.75" thickBot="1" x14ac:dyDescent="0.3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.75" thickBot="1" x14ac:dyDescent="0.3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.75" thickBot="1" x14ac:dyDescent="0.3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.75" thickBot="1" x14ac:dyDescent="0.3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.75" thickBot="1" x14ac:dyDescent="0.3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.75" thickBot="1" x14ac:dyDescent="0.3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.75" thickBot="1" x14ac:dyDescent="0.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.75" thickBot="1" x14ac:dyDescent="0.3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.75" thickBot="1" x14ac:dyDescent="0.3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.75" thickBot="1" x14ac:dyDescent="0.3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.75" thickBot="1" x14ac:dyDescent="0.3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.75" thickBot="1" x14ac:dyDescent="0.3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.75" thickBot="1" x14ac:dyDescent="0.3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.75" thickBot="1" x14ac:dyDescent="0.3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.75" thickBot="1" x14ac:dyDescent="0.3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.75" thickBot="1" x14ac:dyDescent="0.3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.75" thickBot="1" x14ac:dyDescent="0.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.75" thickBot="1" x14ac:dyDescent="0.3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.75" thickBot="1" x14ac:dyDescent="0.3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.75" thickBot="1" x14ac:dyDescent="0.3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.75" thickBot="1" x14ac:dyDescent="0.3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.75" thickBot="1" x14ac:dyDescent="0.3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.75" thickBot="1" x14ac:dyDescent="0.3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.75" thickBot="1" x14ac:dyDescent="0.3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.75" thickBot="1" x14ac:dyDescent="0.3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.75" thickBot="1" x14ac:dyDescent="0.3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.75" thickBot="1" x14ac:dyDescent="0.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.75" thickBot="1" x14ac:dyDescent="0.3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.75" thickBot="1" x14ac:dyDescent="0.3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.75" thickBot="1" x14ac:dyDescent="0.3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.75" thickBot="1" x14ac:dyDescent="0.3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.75" thickBot="1" x14ac:dyDescent="0.3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.75" thickBot="1" x14ac:dyDescent="0.3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.75" thickBot="1" x14ac:dyDescent="0.3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.75" thickBot="1" x14ac:dyDescent="0.3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.75" thickBot="1" x14ac:dyDescent="0.3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.75" thickBot="1" x14ac:dyDescent="0.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.75" thickBot="1" x14ac:dyDescent="0.3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.75" thickBot="1" x14ac:dyDescent="0.3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.75" thickBot="1" x14ac:dyDescent="0.3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.75" thickBot="1" x14ac:dyDescent="0.3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.75" thickBot="1" x14ac:dyDescent="0.3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.75" thickBot="1" x14ac:dyDescent="0.3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.75" thickBot="1" x14ac:dyDescent="0.3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.75" thickBot="1" x14ac:dyDescent="0.3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.75" thickBot="1" x14ac:dyDescent="0.3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.75" thickBot="1" x14ac:dyDescent="0.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.75" thickBot="1" x14ac:dyDescent="0.3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.75" thickBot="1" x14ac:dyDescent="0.3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.75" thickBot="1" x14ac:dyDescent="0.3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.75" thickBot="1" x14ac:dyDescent="0.3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.75" thickBot="1" x14ac:dyDescent="0.3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.75" thickBot="1" x14ac:dyDescent="0.3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.75" thickBot="1" x14ac:dyDescent="0.3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.75" thickBot="1" x14ac:dyDescent="0.3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.75" thickBot="1" x14ac:dyDescent="0.3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.75" thickBot="1" x14ac:dyDescent="0.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.75" thickBot="1" x14ac:dyDescent="0.3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.75" thickBot="1" x14ac:dyDescent="0.3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.75" thickBot="1" x14ac:dyDescent="0.3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.75" thickBot="1" x14ac:dyDescent="0.3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.75" thickBot="1" x14ac:dyDescent="0.3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.75" thickBot="1" x14ac:dyDescent="0.3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.75" thickBot="1" x14ac:dyDescent="0.3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.75" thickBot="1" x14ac:dyDescent="0.3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.75" thickBot="1" x14ac:dyDescent="0.3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.75" thickBot="1" x14ac:dyDescent="0.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.75" thickBot="1" x14ac:dyDescent="0.3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.75" thickBot="1" x14ac:dyDescent="0.3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.75" thickBot="1" x14ac:dyDescent="0.3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.75" thickBot="1" x14ac:dyDescent="0.3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.75" thickBot="1" x14ac:dyDescent="0.3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.75" thickBot="1" x14ac:dyDescent="0.3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.75" thickBot="1" x14ac:dyDescent="0.3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.75" thickBot="1" x14ac:dyDescent="0.3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.75" thickBot="1" x14ac:dyDescent="0.3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.75" thickBot="1" x14ac:dyDescent="0.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.75" thickBot="1" x14ac:dyDescent="0.3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.75" thickBot="1" x14ac:dyDescent="0.3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.75" thickBot="1" x14ac:dyDescent="0.3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.75" thickBot="1" x14ac:dyDescent="0.3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.75" thickBot="1" x14ac:dyDescent="0.3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.75" thickBot="1" x14ac:dyDescent="0.3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.75" thickBot="1" x14ac:dyDescent="0.3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.75" thickBot="1" x14ac:dyDescent="0.3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.75" thickBot="1" x14ac:dyDescent="0.3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.75" thickBot="1" x14ac:dyDescent="0.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.75" thickBot="1" x14ac:dyDescent="0.3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.75" thickBot="1" x14ac:dyDescent="0.3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.75" thickBot="1" x14ac:dyDescent="0.3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.75" thickBot="1" x14ac:dyDescent="0.3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.75" thickBot="1" x14ac:dyDescent="0.3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.75" thickBot="1" x14ac:dyDescent="0.3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.75" thickBot="1" x14ac:dyDescent="0.3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.75" thickBot="1" x14ac:dyDescent="0.3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.75" thickBot="1" x14ac:dyDescent="0.3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.75" thickBot="1" x14ac:dyDescent="0.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.75" thickBot="1" x14ac:dyDescent="0.3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.75" thickBot="1" x14ac:dyDescent="0.3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.75" thickBot="1" x14ac:dyDescent="0.3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.75" thickBot="1" x14ac:dyDescent="0.3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.75" thickBot="1" x14ac:dyDescent="0.3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.75" thickBot="1" x14ac:dyDescent="0.3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.75" thickBot="1" x14ac:dyDescent="0.3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.75" thickBot="1" x14ac:dyDescent="0.3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.75" thickBot="1" x14ac:dyDescent="0.3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.75" thickBot="1" x14ac:dyDescent="0.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.75" thickBot="1" x14ac:dyDescent="0.3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.75" thickBot="1" x14ac:dyDescent="0.3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.75" thickBot="1" x14ac:dyDescent="0.3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.75" thickBot="1" x14ac:dyDescent="0.3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.75" thickBot="1" x14ac:dyDescent="0.3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.75" thickBot="1" x14ac:dyDescent="0.3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.75" thickBot="1" x14ac:dyDescent="0.3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.75" thickBot="1" x14ac:dyDescent="0.3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.75" thickBot="1" x14ac:dyDescent="0.3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.75" thickBot="1" x14ac:dyDescent="0.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.75" thickBot="1" x14ac:dyDescent="0.3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.75" thickBot="1" x14ac:dyDescent="0.3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.75" thickBot="1" x14ac:dyDescent="0.3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.75" thickBot="1" x14ac:dyDescent="0.3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.75" thickBot="1" x14ac:dyDescent="0.3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.75" thickBot="1" x14ac:dyDescent="0.3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.75" thickBot="1" x14ac:dyDescent="0.3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.75" thickBot="1" x14ac:dyDescent="0.3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.75" thickBot="1" x14ac:dyDescent="0.3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.75" thickBot="1" x14ac:dyDescent="0.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.75" thickBot="1" x14ac:dyDescent="0.3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.75" thickBot="1" x14ac:dyDescent="0.3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.75" thickBot="1" x14ac:dyDescent="0.3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.75" thickBot="1" x14ac:dyDescent="0.3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.75" thickBot="1" x14ac:dyDescent="0.3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.75" thickBot="1" x14ac:dyDescent="0.3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.75" thickBot="1" x14ac:dyDescent="0.3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.75" thickBot="1" x14ac:dyDescent="0.3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.75" thickBot="1" x14ac:dyDescent="0.3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.75" thickBot="1" x14ac:dyDescent="0.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.75" thickBot="1" x14ac:dyDescent="0.3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.75" thickBot="1" x14ac:dyDescent="0.3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.75" thickBot="1" x14ac:dyDescent="0.3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.75" thickBot="1" x14ac:dyDescent="0.3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.75" thickBot="1" x14ac:dyDescent="0.3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.75" thickBot="1" x14ac:dyDescent="0.3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.75" thickBot="1" x14ac:dyDescent="0.3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.75" thickBot="1" x14ac:dyDescent="0.3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.75" thickBot="1" x14ac:dyDescent="0.3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.75" thickBot="1" x14ac:dyDescent="0.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.75" thickBot="1" x14ac:dyDescent="0.3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.75" thickBot="1" x14ac:dyDescent="0.3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.75" thickBot="1" x14ac:dyDescent="0.3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.75" thickBot="1" x14ac:dyDescent="0.3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.75" thickBot="1" x14ac:dyDescent="0.3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.75" thickBot="1" x14ac:dyDescent="0.3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.75" thickBot="1" x14ac:dyDescent="0.3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.75" thickBot="1" x14ac:dyDescent="0.3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.75" thickBot="1" x14ac:dyDescent="0.3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.75" thickBot="1" x14ac:dyDescent="0.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.75" thickBot="1" x14ac:dyDescent="0.3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.75" thickBot="1" x14ac:dyDescent="0.3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.75" thickBot="1" x14ac:dyDescent="0.3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.75" thickBot="1" x14ac:dyDescent="0.3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.75" thickBot="1" x14ac:dyDescent="0.3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.75" thickBot="1" x14ac:dyDescent="0.3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.75" thickBot="1" x14ac:dyDescent="0.3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.75" thickBot="1" x14ac:dyDescent="0.3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.75" thickBot="1" x14ac:dyDescent="0.3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.75" thickBot="1" x14ac:dyDescent="0.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.75" thickBot="1" x14ac:dyDescent="0.3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.75" thickBot="1" x14ac:dyDescent="0.3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.75" thickBot="1" x14ac:dyDescent="0.3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.75" thickBot="1" x14ac:dyDescent="0.3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.75" thickBot="1" x14ac:dyDescent="0.3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.75" thickBot="1" x14ac:dyDescent="0.3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.75" thickBot="1" x14ac:dyDescent="0.3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.75" thickBot="1" x14ac:dyDescent="0.3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.75" thickBot="1" x14ac:dyDescent="0.3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.75" thickBot="1" x14ac:dyDescent="0.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.75" thickBot="1" x14ac:dyDescent="0.3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.75" thickBot="1" x14ac:dyDescent="0.3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.75" thickBot="1" x14ac:dyDescent="0.3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.75" thickBot="1" x14ac:dyDescent="0.3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.75" thickBot="1" x14ac:dyDescent="0.3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.75" thickBot="1" x14ac:dyDescent="0.3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.75" thickBot="1" x14ac:dyDescent="0.3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.75" thickBot="1" x14ac:dyDescent="0.3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.75" thickBot="1" x14ac:dyDescent="0.3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.75" thickBot="1" x14ac:dyDescent="0.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.75" thickBot="1" x14ac:dyDescent="0.3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.75" thickBot="1" x14ac:dyDescent="0.3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.75" thickBot="1" x14ac:dyDescent="0.3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.75" thickBot="1" x14ac:dyDescent="0.3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.75" thickBot="1" x14ac:dyDescent="0.3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.75" thickBot="1" x14ac:dyDescent="0.3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.75" thickBot="1" x14ac:dyDescent="0.3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.75" thickBot="1" x14ac:dyDescent="0.3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.75" thickBot="1" x14ac:dyDescent="0.3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.75" thickBot="1" x14ac:dyDescent="0.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.75" thickBot="1" x14ac:dyDescent="0.3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.75" thickBot="1" x14ac:dyDescent="0.3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.75" thickBot="1" x14ac:dyDescent="0.3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.75" thickBot="1" x14ac:dyDescent="0.3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.75" thickBot="1" x14ac:dyDescent="0.3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.75" thickBot="1" x14ac:dyDescent="0.3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.75" thickBot="1" x14ac:dyDescent="0.3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.75" thickBot="1" x14ac:dyDescent="0.3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.75" thickBot="1" x14ac:dyDescent="0.3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.75" thickBot="1" x14ac:dyDescent="0.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.75" thickBot="1" x14ac:dyDescent="0.3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.75" thickBot="1" x14ac:dyDescent="0.3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.75" thickBot="1" x14ac:dyDescent="0.3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.75" thickBot="1" x14ac:dyDescent="0.3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.75" thickBot="1" x14ac:dyDescent="0.3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.75" thickBot="1" x14ac:dyDescent="0.3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.75" thickBot="1" x14ac:dyDescent="0.3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.75" thickBot="1" x14ac:dyDescent="0.3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.75" thickBot="1" x14ac:dyDescent="0.3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.75" thickBot="1" x14ac:dyDescent="0.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.75" thickBot="1" x14ac:dyDescent="0.3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.75" thickBot="1" x14ac:dyDescent="0.3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.75" thickBot="1" x14ac:dyDescent="0.3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.75" thickBot="1" x14ac:dyDescent="0.3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.75" thickBot="1" x14ac:dyDescent="0.3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5.75" thickBot="1" x14ac:dyDescent="0.3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5.75" thickBot="1" x14ac:dyDescent="0.3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spans="1:26" ht="15.75" thickBot="1" x14ac:dyDescent="0.3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spans="1:26" ht="15.75" thickBot="1" x14ac:dyDescent="0.3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spans="1:26" ht="15.75" thickBot="1" x14ac:dyDescent="0.3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</sheetData>
  <mergeCells count="29">
    <mergeCell ref="N5:N6"/>
    <mergeCell ref="O5:O6"/>
    <mergeCell ref="P5:P6"/>
    <mergeCell ref="Y4:Y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S4:S5"/>
    <mergeCell ref="T4:T5"/>
    <mergeCell ref="U4:U5"/>
    <mergeCell ref="V4:V5"/>
    <mergeCell ref="W4:W5"/>
    <mergeCell ref="X4:X5"/>
    <mergeCell ref="B1:H2"/>
    <mergeCell ref="D3:P3"/>
    <mergeCell ref="B4:F4"/>
    <mergeCell ref="G4:P4"/>
    <mergeCell ref="Q4:Q5"/>
    <mergeCell ref="R4:R5"/>
    <mergeCell ref="J5:J6"/>
    <mergeCell ref="K5:K6"/>
    <mergeCell ref="L5:L6"/>
    <mergeCell ref="M5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4698-4749-4482-BDCD-2AC2FC14ABF1}">
  <dimension ref="A1:Z1003"/>
  <sheetViews>
    <sheetView workbookViewId="0">
      <selection activeCell="C45" sqref="C45"/>
    </sheetView>
  </sheetViews>
  <sheetFormatPr baseColWidth="10" defaultRowHeight="15" x14ac:dyDescent="0.25"/>
  <cols>
    <col min="2" max="2" width="37.140625" customWidth="1"/>
    <col min="3" max="3" width="41.7109375" customWidth="1"/>
    <col min="4" max="4" width="33.5703125" customWidth="1"/>
  </cols>
  <sheetData>
    <row r="1" spans="1:26" ht="15" customHeight="1" thickBot="1" x14ac:dyDescent="0.3">
      <c r="A1" s="23"/>
      <c r="B1" s="38" t="s">
        <v>23</v>
      </c>
      <c r="C1" s="39"/>
      <c r="D1" s="39"/>
      <c r="E1" s="39"/>
      <c r="F1" s="39"/>
      <c r="G1" s="39"/>
      <c r="H1" s="40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" customHeight="1" thickBot="1" x14ac:dyDescent="0.3">
      <c r="A2" s="23"/>
      <c r="B2" s="41"/>
      <c r="C2" s="42"/>
      <c r="D2" s="42"/>
      <c r="E2" s="42"/>
      <c r="F2" s="42"/>
      <c r="G2" s="42"/>
      <c r="H2" s="43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" customHeight="1" thickBot="1" x14ac:dyDescent="0.3">
      <c r="A3" s="23"/>
      <c r="B3" s="24" t="s">
        <v>24</v>
      </c>
      <c r="C3" s="25"/>
      <c r="D3" s="44" t="s">
        <v>25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6"/>
      <c r="Q3" s="26"/>
      <c r="R3" s="26"/>
      <c r="S3" s="26"/>
      <c r="T3" s="26"/>
      <c r="U3" s="26"/>
      <c r="V3" s="26"/>
      <c r="W3" s="26"/>
      <c r="X3" s="26"/>
      <c r="Y3" s="26"/>
      <c r="Z3" s="22"/>
    </row>
    <row r="4" spans="1:26" ht="15" customHeight="1" thickTop="1" thickBot="1" x14ac:dyDescent="0.3">
      <c r="A4" s="27"/>
      <c r="B4" s="47"/>
      <c r="C4" s="48"/>
      <c r="D4" s="48"/>
      <c r="E4" s="48"/>
      <c r="F4" s="49"/>
      <c r="G4" s="50"/>
      <c r="H4" s="51"/>
      <c r="I4" s="51"/>
      <c r="J4" s="51"/>
      <c r="K4" s="51"/>
      <c r="L4" s="51"/>
      <c r="M4" s="51"/>
      <c r="N4" s="51"/>
      <c r="O4" s="51"/>
      <c r="P4" s="52"/>
      <c r="Q4" s="53" t="s">
        <v>26</v>
      </c>
      <c r="R4" s="55" t="s">
        <v>27</v>
      </c>
      <c r="S4" s="55" t="s">
        <v>28</v>
      </c>
      <c r="T4" s="55" t="s">
        <v>29</v>
      </c>
      <c r="U4" s="55" t="s">
        <v>30</v>
      </c>
      <c r="V4" s="55" t="s">
        <v>31</v>
      </c>
      <c r="W4" s="55" t="s">
        <v>32</v>
      </c>
      <c r="X4" s="55" t="s">
        <v>33</v>
      </c>
      <c r="Y4" s="57" t="s">
        <v>34</v>
      </c>
      <c r="Z4" s="22"/>
    </row>
    <row r="5" spans="1:26" ht="15" customHeight="1" thickBot="1" x14ac:dyDescent="0.3">
      <c r="A5" s="55" t="s">
        <v>35</v>
      </c>
      <c r="B5" s="55" t="s">
        <v>36</v>
      </c>
      <c r="C5" s="55" t="s">
        <v>37</v>
      </c>
      <c r="D5" s="55" t="s">
        <v>38</v>
      </c>
      <c r="E5" s="55" t="s">
        <v>39</v>
      </c>
      <c r="F5" s="55" t="s">
        <v>40</v>
      </c>
      <c r="G5" s="55" t="s">
        <v>41</v>
      </c>
      <c r="H5" s="55" t="s">
        <v>42</v>
      </c>
      <c r="I5" s="55" t="s">
        <v>43</v>
      </c>
      <c r="J5" s="55" t="s">
        <v>44</v>
      </c>
      <c r="K5" s="55" t="s">
        <v>45</v>
      </c>
      <c r="L5" s="55" t="s">
        <v>46</v>
      </c>
      <c r="M5" s="55" t="s">
        <v>47</v>
      </c>
      <c r="N5" s="55" t="s">
        <v>48</v>
      </c>
      <c r="O5" s="55" t="s">
        <v>49</v>
      </c>
      <c r="P5" s="55" t="s">
        <v>50</v>
      </c>
      <c r="Q5" s="54"/>
      <c r="R5" s="56"/>
      <c r="S5" s="56"/>
      <c r="T5" s="56"/>
      <c r="U5" s="56"/>
      <c r="V5" s="56"/>
      <c r="W5" s="56"/>
      <c r="X5" s="56"/>
      <c r="Y5" s="58"/>
      <c r="Z5" s="22"/>
    </row>
    <row r="6" spans="1:26" ht="15" customHeight="1" thickBot="1" x14ac:dyDescent="0.3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28"/>
      <c r="R6" s="28"/>
      <c r="S6" s="28"/>
      <c r="T6" s="28"/>
      <c r="U6" s="28"/>
      <c r="V6" s="28"/>
      <c r="W6" s="28"/>
      <c r="X6" s="28"/>
      <c r="Y6" s="28"/>
      <c r="Z6" s="22"/>
    </row>
    <row r="7" spans="1:26" s="66" customFormat="1" ht="15" customHeight="1" thickBot="1" x14ac:dyDescent="0.3">
      <c r="A7" s="59" t="s">
        <v>51</v>
      </c>
      <c r="B7" s="60" t="s">
        <v>52</v>
      </c>
      <c r="C7" s="60" t="s">
        <v>53</v>
      </c>
      <c r="D7" s="60" t="s">
        <v>54</v>
      </c>
      <c r="E7" s="61">
        <v>1512000</v>
      </c>
      <c r="F7" s="62">
        <v>30</v>
      </c>
      <c r="G7" s="61">
        <v>1512000</v>
      </c>
      <c r="H7" s="60"/>
      <c r="I7" s="60"/>
      <c r="J7" s="60"/>
      <c r="K7" s="60"/>
      <c r="L7" s="60"/>
      <c r="M7" s="60"/>
      <c r="N7" s="61">
        <v>1512000</v>
      </c>
      <c r="O7" s="61">
        <v>175000</v>
      </c>
      <c r="P7" s="61">
        <v>513000</v>
      </c>
      <c r="Q7" s="63">
        <v>2200000</v>
      </c>
      <c r="R7" s="63">
        <v>60480</v>
      </c>
      <c r="S7" s="63">
        <v>60480</v>
      </c>
      <c r="T7" s="60"/>
      <c r="U7" s="63">
        <v>120960</v>
      </c>
      <c r="V7" s="64">
        <v>2079040</v>
      </c>
      <c r="W7" s="60"/>
      <c r="X7" s="60"/>
      <c r="Y7" s="60"/>
      <c r="Z7" s="65"/>
    </row>
    <row r="8" spans="1:26" s="66" customFormat="1" ht="15" customHeight="1" thickBot="1" x14ac:dyDescent="0.3">
      <c r="A8" s="59" t="s">
        <v>51</v>
      </c>
      <c r="B8" s="67" t="s">
        <v>55</v>
      </c>
      <c r="C8" s="67" t="s">
        <v>56</v>
      </c>
      <c r="D8" s="67" t="s">
        <v>57</v>
      </c>
      <c r="E8" s="68">
        <v>1404000</v>
      </c>
      <c r="F8" s="69">
        <v>30</v>
      </c>
      <c r="G8" s="64">
        <v>1404000</v>
      </c>
      <c r="H8" s="64">
        <v>0</v>
      </c>
      <c r="I8" s="64">
        <v>0</v>
      </c>
      <c r="J8" s="64">
        <v>0</v>
      </c>
      <c r="K8" s="60"/>
      <c r="L8" s="64">
        <v>0</v>
      </c>
      <c r="M8" s="64">
        <v>0</v>
      </c>
      <c r="N8" s="64">
        <v>1404000</v>
      </c>
      <c r="O8" s="64">
        <v>175000</v>
      </c>
      <c r="P8" s="63">
        <v>200000</v>
      </c>
      <c r="Q8" s="64">
        <v>1779000</v>
      </c>
      <c r="R8" s="64">
        <v>56160</v>
      </c>
      <c r="S8" s="64">
        <v>56160</v>
      </c>
      <c r="T8" s="60"/>
      <c r="U8" s="64">
        <v>112320</v>
      </c>
      <c r="V8" s="64">
        <v>1666680</v>
      </c>
      <c r="W8" s="60"/>
      <c r="X8" s="60"/>
      <c r="Y8" s="60"/>
      <c r="Z8" s="65"/>
    </row>
    <row r="9" spans="1:26" s="66" customFormat="1" ht="15" customHeight="1" thickBot="1" x14ac:dyDescent="0.3">
      <c r="A9" s="59" t="s">
        <v>51</v>
      </c>
      <c r="B9" s="67" t="s">
        <v>58</v>
      </c>
      <c r="C9" s="67" t="s">
        <v>56</v>
      </c>
      <c r="D9" s="67" t="s">
        <v>59</v>
      </c>
      <c r="E9" s="68">
        <v>1620000</v>
      </c>
      <c r="F9" s="69">
        <v>30</v>
      </c>
      <c r="G9" s="64">
        <v>1620000</v>
      </c>
      <c r="H9" s="60"/>
      <c r="I9" s="60"/>
      <c r="J9" s="60"/>
      <c r="K9" s="60"/>
      <c r="L9" s="60"/>
      <c r="M9" s="60"/>
      <c r="N9" s="64">
        <v>1620000</v>
      </c>
      <c r="O9" s="64">
        <v>175000</v>
      </c>
      <c r="P9" s="64">
        <v>455000</v>
      </c>
      <c r="Q9" s="64">
        <v>2250000</v>
      </c>
      <c r="R9" s="64">
        <v>64800</v>
      </c>
      <c r="S9" s="64">
        <v>64800</v>
      </c>
      <c r="T9" s="60"/>
      <c r="U9" s="64">
        <v>129600</v>
      </c>
      <c r="V9" s="64">
        <v>2120400</v>
      </c>
      <c r="W9" s="60"/>
      <c r="X9" s="60"/>
      <c r="Y9" s="60"/>
      <c r="Z9" s="65"/>
    </row>
    <row r="10" spans="1:26" s="66" customFormat="1" ht="15" customHeight="1" thickBot="1" x14ac:dyDescent="0.3">
      <c r="A10" s="59" t="s">
        <v>51</v>
      </c>
      <c r="B10" s="67" t="s">
        <v>60</v>
      </c>
      <c r="C10" s="67" t="s">
        <v>53</v>
      </c>
      <c r="D10" s="67" t="s">
        <v>61</v>
      </c>
      <c r="E10" s="68">
        <v>1404000</v>
      </c>
      <c r="F10" s="69">
        <v>30</v>
      </c>
      <c r="G10" s="64">
        <v>1404000</v>
      </c>
      <c r="H10" s="64">
        <v>0</v>
      </c>
      <c r="I10" s="64">
        <v>0</v>
      </c>
      <c r="J10" s="60"/>
      <c r="K10" s="60"/>
      <c r="L10" s="60"/>
      <c r="M10" s="60"/>
      <c r="N10" s="64">
        <v>1404000</v>
      </c>
      <c r="O10" s="64">
        <v>175000</v>
      </c>
      <c r="P10" s="70" t="s">
        <v>62</v>
      </c>
      <c r="Q10" s="63">
        <v>1579000</v>
      </c>
      <c r="R10" s="63">
        <v>56160</v>
      </c>
      <c r="S10" s="63">
        <v>56160</v>
      </c>
      <c r="T10" s="60"/>
      <c r="U10" s="63">
        <v>112320</v>
      </c>
      <c r="V10" s="71">
        <v>1466680</v>
      </c>
      <c r="W10" s="60"/>
      <c r="X10" s="60"/>
      <c r="Y10" s="70" t="s">
        <v>62</v>
      </c>
      <c r="Z10" s="65"/>
    </row>
    <row r="11" spans="1:26" s="66" customFormat="1" ht="15" customHeight="1" thickBot="1" x14ac:dyDescent="0.3">
      <c r="A11" s="59" t="s">
        <v>51</v>
      </c>
      <c r="B11" s="67" t="s">
        <v>63</v>
      </c>
      <c r="C11" s="67" t="s">
        <v>64</v>
      </c>
      <c r="D11" s="67" t="s">
        <v>65</v>
      </c>
      <c r="E11" s="68">
        <v>1620000</v>
      </c>
      <c r="F11" s="69">
        <v>30</v>
      </c>
      <c r="G11" s="64">
        <v>1620000</v>
      </c>
      <c r="H11" s="64">
        <v>0</v>
      </c>
      <c r="I11" s="64">
        <v>0</v>
      </c>
      <c r="J11" s="60"/>
      <c r="K11" s="60"/>
      <c r="L11" s="60"/>
      <c r="M11" s="60"/>
      <c r="N11" s="64">
        <v>1620000</v>
      </c>
      <c r="O11" s="64">
        <v>175000</v>
      </c>
      <c r="P11" s="63">
        <v>605000</v>
      </c>
      <c r="Q11" s="63">
        <v>2400000</v>
      </c>
      <c r="R11" s="63">
        <v>64800</v>
      </c>
      <c r="S11" s="63">
        <v>64800</v>
      </c>
      <c r="T11" s="60"/>
      <c r="U11" s="63">
        <v>129600</v>
      </c>
      <c r="V11" s="64">
        <v>2270400</v>
      </c>
      <c r="W11" s="60"/>
      <c r="X11" s="60"/>
      <c r="Y11" s="60"/>
      <c r="Z11" s="65"/>
    </row>
    <row r="12" spans="1:26" s="66" customFormat="1" ht="15" customHeight="1" thickBot="1" x14ac:dyDescent="0.3">
      <c r="A12" s="59" t="s">
        <v>51</v>
      </c>
      <c r="B12" s="67" t="s">
        <v>66</v>
      </c>
      <c r="C12" s="67" t="s">
        <v>64</v>
      </c>
      <c r="D12" s="67" t="s">
        <v>67</v>
      </c>
      <c r="E12" s="68">
        <v>1620000</v>
      </c>
      <c r="F12" s="69">
        <v>30</v>
      </c>
      <c r="G12" s="64">
        <v>1620000</v>
      </c>
      <c r="H12" s="64">
        <v>0</v>
      </c>
      <c r="I12" s="60"/>
      <c r="J12" s="60"/>
      <c r="K12" s="60"/>
      <c r="L12" s="60"/>
      <c r="M12" s="60"/>
      <c r="N12" s="64">
        <v>1620000</v>
      </c>
      <c r="O12" s="64">
        <v>175000</v>
      </c>
      <c r="P12" s="63">
        <v>375000</v>
      </c>
      <c r="Q12" s="63">
        <v>2170000</v>
      </c>
      <c r="R12" s="63">
        <v>64800</v>
      </c>
      <c r="S12" s="63">
        <v>64800</v>
      </c>
      <c r="T12" s="60"/>
      <c r="U12" s="63">
        <v>129600</v>
      </c>
      <c r="V12" s="64">
        <v>2040400</v>
      </c>
      <c r="W12" s="60"/>
      <c r="X12" s="60"/>
      <c r="Y12" s="60"/>
      <c r="Z12" s="65"/>
    </row>
    <row r="13" spans="1:26" s="66" customFormat="1" ht="15" customHeight="1" thickBot="1" x14ac:dyDescent="0.3">
      <c r="A13" s="59" t="s">
        <v>51</v>
      </c>
      <c r="B13" s="67" t="s">
        <v>68</v>
      </c>
      <c r="C13" s="67" t="s">
        <v>53</v>
      </c>
      <c r="D13" s="67" t="s">
        <v>65</v>
      </c>
      <c r="E13" s="68">
        <v>2025000</v>
      </c>
      <c r="F13" s="69">
        <v>30</v>
      </c>
      <c r="G13" s="64">
        <v>2025000</v>
      </c>
      <c r="H13" s="64">
        <v>0</v>
      </c>
      <c r="I13" s="64">
        <v>0</v>
      </c>
      <c r="J13" s="60"/>
      <c r="K13" s="60"/>
      <c r="L13" s="60"/>
      <c r="M13" s="60"/>
      <c r="N13" s="64">
        <v>2025000</v>
      </c>
      <c r="O13" s="64">
        <v>175000</v>
      </c>
      <c r="P13" s="60"/>
      <c r="Q13" s="63">
        <v>2200000</v>
      </c>
      <c r="R13" s="63">
        <v>81000</v>
      </c>
      <c r="S13" s="63">
        <v>81000</v>
      </c>
      <c r="T13" s="60"/>
      <c r="U13" s="63">
        <v>162000</v>
      </c>
      <c r="V13" s="64">
        <v>2038000</v>
      </c>
      <c r="W13" s="60"/>
      <c r="X13" s="60"/>
      <c r="Y13" s="60"/>
      <c r="Z13" s="65"/>
    </row>
    <row r="14" spans="1:26" s="66" customFormat="1" ht="15" customHeight="1" thickBot="1" x14ac:dyDescent="0.3">
      <c r="A14" s="59" t="s">
        <v>51</v>
      </c>
      <c r="B14" s="67" t="s">
        <v>69</v>
      </c>
      <c r="C14" s="67" t="s">
        <v>70</v>
      </c>
      <c r="D14" s="67" t="s">
        <v>65</v>
      </c>
      <c r="E14" s="68">
        <v>1200000</v>
      </c>
      <c r="F14" s="69">
        <v>30</v>
      </c>
      <c r="G14" s="64">
        <v>1200000</v>
      </c>
      <c r="H14" s="64">
        <v>0</v>
      </c>
      <c r="I14" s="60"/>
      <c r="J14" s="60"/>
      <c r="K14" s="60"/>
      <c r="L14" s="60"/>
      <c r="M14" s="60"/>
      <c r="N14" s="64">
        <v>1200000</v>
      </c>
      <c r="O14" s="60"/>
      <c r="P14" s="60"/>
      <c r="Q14" s="63">
        <v>1200000</v>
      </c>
      <c r="R14" s="60"/>
      <c r="S14" s="60"/>
      <c r="T14" s="60"/>
      <c r="U14" s="60"/>
      <c r="V14" s="64">
        <v>1200000</v>
      </c>
      <c r="W14" s="60"/>
      <c r="X14" s="60"/>
      <c r="Y14" s="60"/>
      <c r="Z14" s="65"/>
    </row>
    <row r="15" spans="1:26" s="66" customFormat="1" ht="15" customHeight="1" thickBot="1" x14ac:dyDescent="0.3">
      <c r="A15" s="59" t="s">
        <v>51</v>
      </c>
      <c r="B15" s="67" t="s">
        <v>71</v>
      </c>
      <c r="C15" s="67" t="s">
        <v>70</v>
      </c>
      <c r="D15" s="67" t="s">
        <v>72</v>
      </c>
      <c r="E15" s="68">
        <v>2000000</v>
      </c>
      <c r="F15" s="69">
        <v>30</v>
      </c>
      <c r="G15" s="64">
        <v>2000000</v>
      </c>
      <c r="H15" s="64">
        <v>0</v>
      </c>
      <c r="I15" s="64">
        <v>0</v>
      </c>
      <c r="J15" s="60"/>
      <c r="K15" s="60"/>
      <c r="L15" s="60"/>
      <c r="M15" s="60"/>
      <c r="N15" s="64">
        <v>2000000</v>
      </c>
      <c r="O15" s="60"/>
      <c r="P15" s="60"/>
      <c r="Q15" s="63">
        <v>2000000</v>
      </c>
      <c r="R15" s="60"/>
      <c r="S15" s="60"/>
      <c r="T15" s="60"/>
      <c r="U15" s="60"/>
      <c r="V15" s="64">
        <v>2000000</v>
      </c>
      <c r="W15" s="60"/>
      <c r="X15" s="60"/>
      <c r="Y15" s="60"/>
      <c r="Z15" s="65"/>
    </row>
    <row r="16" spans="1:26" s="66" customFormat="1" ht="15" customHeight="1" thickBot="1" x14ac:dyDescent="0.3">
      <c r="A16" s="59" t="s">
        <v>51</v>
      </c>
      <c r="B16" s="67" t="s">
        <v>73</v>
      </c>
      <c r="C16" s="72" t="s">
        <v>74</v>
      </c>
      <c r="D16" s="67" t="s">
        <v>75</v>
      </c>
      <c r="E16" s="68">
        <v>1500000</v>
      </c>
      <c r="F16" s="69">
        <v>30</v>
      </c>
      <c r="G16" s="64">
        <v>1500000</v>
      </c>
      <c r="H16" s="64">
        <v>0</v>
      </c>
      <c r="I16" s="64">
        <v>0</v>
      </c>
      <c r="J16" s="60"/>
      <c r="K16" s="60"/>
      <c r="L16" s="60"/>
      <c r="M16" s="60"/>
      <c r="N16" s="64">
        <v>1500000</v>
      </c>
      <c r="O16" s="60"/>
      <c r="P16" s="60"/>
      <c r="Q16" s="64">
        <v>1500000</v>
      </c>
      <c r="R16" s="60"/>
      <c r="S16" s="60"/>
      <c r="T16" s="60"/>
      <c r="U16" s="60"/>
      <c r="V16" s="64">
        <v>1500000</v>
      </c>
      <c r="W16" s="60"/>
      <c r="X16" s="60"/>
      <c r="Y16" s="60"/>
      <c r="Z16" s="65"/>
    </row>
    <row r="17" spans="1:26" s="66" customFormat="1" ht="15" customHeight="1" thickBot="1" x14ac:dyDescent="0.3">
      <c r="A17" s="59" t="s">
        <v>51</v>
      </c>
      <c r="B17" s="67" t="s">
        <v>76</v>
      </c>
      <c r="C17" s="72" t="s">
        <v>77</v>
      </c>
      <c r="D17" s="72" t="s">
        <v>78</v>
      </c>
      <c r="E17" s="68">
        <v>650000</v>
      </c>
      <c r="F17" s="69">
        <v>30</v>
      </c>
      <c r="G17" s="64">
        <v>650000</v>
      </c>
      <c r="H17" s="64">
        <v>0</v>
      </c>
      <c r="I17" s="64">
        <v>0</v>
      </c>
      <c r="J17" s="60"/>
      <c r="K17" s="60"/>
      <c r="L17" s="60"/>
      <c r="M17" s="60"/>
      <c r="N17" s="64">
        <v>650000</v>
      </c>
      <c r="O17" s="60"/>
      <c r="P17" s="60"/>
      <c r="Q17" s="64">
        <v>650000</v>
      </c>
      <c r="R17" s="60"/>
      <c r="S17" s="60"/>
      <c r="T17" s="60"/>
      <c r="U17" s="60"/>
      <c r="V17" s="64">
        <v>650000</v>
      </c>
      <c r="W17" s="60"/>
      <c r="X17" s="60"/>
      <c r="Y17" s="60"/>
      <c r="Z17" s="65"/>
    </row>
    <row r="18" spans="1:26" s="66" customFormat="1" ht="15" customHeight="1" thickBot="1" x14ac:dyDescent="0.3">
      <c r="A18" s="59" t="s">
        <v>51</v>
      </c>
      <c r="B18" s="67" t="s">
        <v>79</v>
      </c>
      <c r="C18" s="72" t="s">
        <v>70</v>
      </c>
      <c r="D18" s="72" t="s">
        <v>80</v>
      </c>
      <c r="E18" s="68">
        <v>2500000</v>
      </c>
      <c r="F18" s="69">
        <v>30</v>
      </c>
      <c r="G18" s="64">
        <v>2500000</v>
      </c>
      <c r="H18" s="60"/>
      <c r="I18" s="60"/>
      <c r="J18" s="60"/>
      <c r="K18" s="60"/>
      <c r="L18" s="60"/>
      <c r="M18" s="60"/>
      <c r="N18" s="64">
        <v>2500000</v>
      </c>
      <c r="O18" s="60"/>
      <c r="P18" s="60"/>
      <c r="Q18" s="60"/>
      <c r="R18" s="60"/>
      <c r="S18" s="60"/>
      <c r="T18" s="60"/>
      <c r="U18" s="60"/>
      <c r="V18" s="64">
        <v>2500000</v>
      </c>
      <c r="W18" s="60"/>
      <c r="X18" s="60"/>
      <c r="Y18" s="60"/>
      <c r="Z18" s="65"/>
    </row>
    <row r="19" spans="1:26" s="66" customFormat="1" ht="15" customHeight="1" thickBot="1" x14ac:dyDescent="0.3">
      <c r="A19" s="59" t="s">
        <v>51</v>
      </c>
      <c r="B19" s="67" t="s">
        <v>81</v>
      </c>
      <c r="C19" s="72" t="s">
        <v>70</v>
      </c>
      <c r="D19" s="72" t="s">
        <v>82</v>
      </c>
      <c r="E19" s="68">
        <v>3000000</v>
      </c>
      <c r="F19" s="69">
        <v>30</v>
      </c>
      <c r="G19" s="64">
        <v>3000000</v>
      </c>
      <c r="H19" s="60"/>
      <c r="I19" s="60"/>
      <c r="J19" s="60"/>
      <c r="K19" s="60"/>
      <c r="L19" s="60"/>
      <c r="M19" s="60"/>
      <c r="N19" s="64">
        <v>3000000</v>
      </c>
      <c r="O19" s="60"/>
      <c r="P19" s="60"/>
      <c r="Q19" s="60"/>
      <c r="R19" s="60"/>
      <c r="S19" s="60"/>
      <c r="T19" s="60"/>
      <c r="U19" s="60"/>
      <c r="V19" s="64">
        <v>3000000</v>
      </c>
      <c r="W19" s="60"/>
      <c r="X19" s="60"/>
      <c r="Y19" s="60"/>
      <c r="Z19" s="65"/>
    </row>
    <row r="20" spans="1:26" s="66" customFormat="1" ht="15" customHeight="1" thickBot="1" x14ac:dyDescent="0.3">
      <c r="A20" s="59" t="s">
        <v>51</v>
      </c>
      <c r="B20" s="67" t="s">
        <v>83</v>
      </c>
      <c r="C20" s="72" t="s">
        <v>56</v>
      </c>
      <c r="D20" s="72" t="s">
        <v>84</v>
      </c>
      <c r="E20" s="68">
        <v>1404000</v>
      </c>
      <c r="F20" s="69">
        <v>30</v>
      </c>
      <c r="G20" s="64">
        <v>1404000</v>
      </c>
      <c r="H20" s="60"/>
      <c r="I20" s="60"/>
      <c r="J20" s="60"/>
      <c r="K20" s="60"/>
      <c r="L20" s="60"/>
      <c r="M20" s="60"/>
      <c r="N20" s="64">
        <v>1404000</v>
      </c>
      <c r="O20" s="64">
        <v>175000</v>
      </c>
      <c r="P20" s="60"/>
      <c r="Q20" s="64">
        <v>1579000</v>
      </c>
      <c r="R20" s="64">
        <v>56160</v>
      </c>
      <c r="S20" s="64">
        <v>56160</v>
      </c>
      <c r="T20" s="60"/>
      <c r="U20" s="64">
        <v>112320</v>
      </c>
      <c r="V20" s="64">
        <v>1466680</v>
      </c>
      <c r="W20" s="60"/>
      <c r="X20" s="60"/>
      <c r="Y20" s="60"/>
      <c r="Z20" s="65"/>
    </row>
    <row r="21" spans="1:26" s="66" customFormat="1" ht="15" customHeight="1" thickBot="1" x14ac:dyDescent="0.3">
      <c r="A21" s="59" t="s">
        <v>51</v>
      </c>
      <c r="B21" s="67" t="s">
        <v>85</v>
      </c>
      <c r="C21" s="72" t="s">
        <v>56</v>
      </c>
      <c r="D21" s="72" t="s">
        <v>86</v>
      </c>
      <c r="E21" s="68">
        <v>1404000</v>
      </c>
      <c r="F21" s="69">
        <v>30</v>
      </c>
      <c r="G21" s="64">
        <v>1404000</v>
      </c>
      <c r="H21" s="60"/>
      <c r="I21" s="60"/>
      <c r="J21" s="60"/>
      <c r="K21" s="60"/>
      <c r="L21" s="60"/>
      <c r="M21" s="60"/>
      <c r="N21" s="64">
        <v>1404000</v>
      </c>
      <c r="O21" s="64">
        <v>175000</v>
      </c>
      <c r="P21" s="60"/>
      <c r="Q21" s="64">
        <v>1579000</v>
      </c>
      <c r="R21" s="64">
        <v>52000</v>
      </c>
      <c r="S21" s="64">
        <v>52000</v>
      </c>
      <c r="T21" s="60"/>
      <c r="U21" s="64">
        <v>104000</v>
      </c>
      <c r="V21" s="64">
        <v>1475000</v>
      </c>
      <c r="W21" s="60"/>
      <c r="X21" s="60"/>
      <c r="Y21" s="60"/>
      <c r="Z21" s="65"/>
    </row>
    <row r="22" spans="1:26" s="66" customFormat="1" ht="15" customHeight="1" thickBot="1" x14ac:dyDescent="0.3">
      <c r="A22" s="59" t="s">
        <v>51</v>
      </c>
      <c r="B22" s="67" t="s">
        <v>87</v>
      </c>
      <c r="C22" s="72" t="s">
        <v>56</v>
      </c>
      <c r="D22" s="72" t="s">
        <v>59</v>
      </c>
      <c r="E22" s="68">
        <v>1512000</v>
      </c>
      <c r="F22" s="69">
        <v>30</v>
      </c>
      <c r="G22" s="64">
        <v>1512000</v>
      </c>
      <c r="H22" s="60"/>
      <c r="I22" s="60"/>
      <c r="J22" s="60"/>
      <c r="K22" s="60"/>
      <c r="L22" s="60"/>
      <c r="M22" s="60"/>
      <c r="N22" s="64">
        <v>1512000</v>
      </c>
      <c r="O22" s="64">
        <v>175000</v>
      </c>
      <c r="P22" s="63">
        <v>438000</v>
      </c>
      <c r="Q22" s="64">
        <v>2125000</v>
      </c>
      <c r="R22" s="64">
        <v>60480</v>
      </c>
      <c r="S22" s="64">
        <v>60480</v>
      </c>
      <c r="T22" s="60"/>
      <c r="U22" s="64">
        <v>120960</v>
      </c>
      <c r="V22" s="64">
        <v>2004040</v>
      </c>
      <c r="W22" s="60"/>
      <c r="X22" s="60"/>
      <c r="Y22" s="60"/>
      <c r="Z22" s="65"/>
    </row>
    <row r="23" spans="1:26" s="66" customFormat="1" ht="15" customHeight="1" thickBot="1" x14ac:dyDescent="0.3">
      <c r="A23" s="59" t="s">
        <v>51</v>
      </c>
      <c r="B23" s="67" t="s">
        <v>88</v>
      </c>
      <c r="C23" s="72" t="s">
        <v>56</v>
      </c>
      <c r="D23" s="72" t="s">
        <v>88</v>
      </c>
      <c r="E23" s="68">
        <v>2438000</v>
      </c>
      <c r="F23" s="69">
        <v>30</v>
      </c>
      <c r="G23" s="64">
        <v>2438000</v>
      </c>
      <c r="H23" s="60"/>
      <c r="I23" s="60"/>
      <c r="J23" s="60"/>
      <c r="K23" s="60"/>
      <c r="L23" s="60"/>
      <c r="M23" s="60"/>
      <c r="N23" s="64">
        <v>2438000</v>
      </c>
      <c r="O23" s="64">
        <v>175000</v>
      </c>
      <c r="P23" s="63">
        <v>1000000</v>
      </c>
      <c r="Q23" s="64">
        <v>3613000</v>
      </c>
      <c r="R23" s="64">
        <v>97520</v>
      </c>
      <c r="S23" s="64">
        <v>97520</v>
      </c>
      <c r="T23" s="60"/>
      <c r="U23" s="64">
        <v>195040</v>
      </c>
      <c r="V23" s="64">
        <v>3417960</v>
      </c>
      <c r="W23" s="60"/>
      <c r="X23" s="60"/>
      <c r="Y23" s="60"/>
      <c r="Z23" s="65"/>
    </row>
    <row r="24" spans="1:26" s="66" customFormat="1" ht="15" customHeight="1" thickBot="1" x14ac:dyDescent="0.3">
      <c r="A24" s="59" t="s">
        <v>51</v>
      </c>
      <c r="B24" s="67" t="s">
        <v>59</v>
      </c>
      <c r="C24" s="72" t="s">
        <v>56</v>
      </c>
      <c r="D24" s="72" t="s">
        <v>59</v>
      </c>
      <c r="E24" s="68">
        <v>1620000</v>
      </c>
      <c r="F24" s="69">
        <v>30</v>
      </c>
      <c r="G24" s="64">
        <v>1620000</v>
      </c>
      <c r="H24" s="60"/>
      <c r="I24" s="60"/>
      <c r="J24" s="60"/>
      <c r="K24" s="60"/>
      <c r="L24" s="60"/>
      <c r="M24" s="60"/>
      <c r="N24" s="64">
        <v>1620000</v>
      </c>
      <c r="O24" s="64">
        <v>175000</v>
      </c>
      <c r="P24" s="64">
        <v>455000</v>
      </c>
      <c r="Q24" s="64">
        <v>2250000</v>
      </c>
      <c r="R24" s="64">
        <v>64800</v>
      </c>
      <c r="S24" s="64">
        <v>64800</v>
      </c>
      <c r="T24" s="60"/>
      <c r="U24" s="64">
        <v>129600</v>
      </c>
      <c r="V24" s="64">
        <v>2120400</v>
      </c>
      <c r="W24" s="60"/>
      <c r="X24" s="60"/>
      <c r="Y24" s="60"/>
      <c r="Z24" s="65"/>
    </row>
    <row r="25" spans="1:26" s="66" customFormat="1" ht="15" customHeight="1" thickBot="1" x14ac:dyDescent="0.3">
      <c r="A25" s="59" t="s">
        <v>51</v>
      </c>
      <c r="B25" s="67" t="s">
        <v>59</v>
      </c>
      <c r="C25" s="72" t="s">
        <v>56</v>
      </c>
      <c r="D25" s="72" t="s">
        <v>59</v>
      </c>
      <c r="E25" s="68">
        <v>1620000</v>
      </c>
      <c r="F25" s="69">
        <v>30</v>
      </c>
      <c r="G25" s="64">
        <v>1620000</v>
      </c>
      <c r="H25" s="60"/>
      <c r="I25" s="60"/>
      <c r="J25" s="60"/>
      <c r="K25" s="60"/>
      <c r="L25" s="60"/>
      <c r="M25" s="60"/>
      <c r="N25" s="64">
        <v>1620000</v>
      </c>
      <c r="O25" s="64">
        <v>175000</v>
      </c>
      <c r="P25" s="64">
        <v>455000</v>
      </c>
      <c r="Q25" s="64">
        <v>2250000</v>
      </c>
      <c r="R25" s="64">
        <v>64800</v>
      </c>
      <c r="S25" s="64">
        <v>64800</v>
      </c>
      <c r="T25" s="60"/>
      <c r="U25" s="64">
        <v>129600</v>
      </c>
      <c r="V25" s="64">
        <v>2120400</v>
      </c>
      <c r="W25" s="60"/>
      <c r="X25" s="60"/>
      <c r="Y25" s="60"/>
      <c r="Z25" s="65"/>
    </row>
    <row r="26" spans="1:26" s="66" customFormat="1" ht="15" customHeight="1" thickBot="1" x14ac:dyDescent="0.3">
      <c r="A26" s="73" t="s">
        <v>89</v>
      </c>
      <c r="B26" s="60"/>
      <c r="C26" s="60"/>
      <c r="D26" s="60"/>
      <c r="E26" s="74">
        <v>15043000</v>
      </c>
      <c r="F26" s="60"/>
      <c r="G26" s="74">
        <v>15043000</v>
      </c>
      <c r="H26" s="74">
        <v>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15043000</v>
      </c>
      <c r="O26" s="74">
        <v>1050000</v>
      </c>
      <c r="P26" s="74">
        <v>0</v>
      </c>
      <c r="Q26" s="74">
        <v>17728000</v>
      </c>
      <c r="R26" s="74">
        <v>387720</v>
      </c>
      <c r="S26" s="74">
        <v>387720</v>
      </c>
      <c r="T26" s="74">
        <v>0</v>
      </c>
      <c r="U26" s="74">
        <v>775440</v>
      </c>
      <c r="V26" s="74">
        <v>37136080</v>
      </c>
      <c r="W26" s="60"/>
      <c r="X26" s="60"/>
      <c r="Y26" s="60"/>
      <c r="Z26" s="65"/>
    </row>
    <row r="27" spans="1:26" s="66" customFormat="1" ht="15" customHeight="1" thickBot="1" x14ac:dyDescent="0.3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s="66" customFormat="1" ht="15" customHeight="1" thickBot="1" x14ac:dyDescent="0.3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75"/>
      <c r="W28" s="76"/>
      <c r="X28" s="65"/>
      <c r="Y28" s="65"/>
      <c r="Z28" s="65"/>
    </row>
    <row r="29" spans="1:26" s="66" customFormat="1" ht="15" customHeight="1" thickBot="1" x14ac:dyDescent="0.3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77" t="s">
        <v>90</v>
      </c>
      <c r="S29" s="65"/>
      <c r="T29" s="65"/>
      <c r="U29" s="78"/>
      <c r="V29" s="79"/>
      <c r="W29" s="65"/>
      <c r="X29" s="65"/>
      <c r="Y29" s="65"/>
      <c r="Z29" s="65"/>
    </row>
    <row r="30" spans="1:26" s="66" customFormat="1" ht="15" customHeight="1" thickBot="1" x14ac:dyDescent="0.3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ht="15" customHeight="1" thickBot="1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" customHeight="1" thickBot="1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" customHeight="1" thickBot="1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" customHeight="1" thickBot="1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" customHeight="1" thickBot="1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" customHeight="1" thickBot="1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thickBot="1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32"/>
      <c r="W37" s="33"/>
      <c r="X37" s="22"/>
      <c r="Y37" s="22"/>
      <c r="Z37" s="22"/>
    </row>
    <row r="38" spans="1:26" ht="16.5" thickBot="1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34" t="s">
        <v>90</v>
      </c>
      <c r="S38" s="22"/>
      <c r="T38" s="22"/>
      <c r="U38" s="35"/>
      <c r="V38" s="37">
        <v>10074000</v>
      </c>
      <c r="W38" s="22"/>
      <c r="X38" s="22"/>
      <c r="Y38" s="22"/>
      <c r="Z38" s="22"/>
    </row>
    <row r="39" spans="1:26" ht="15.75" thickBot="1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thickBot="1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thickBot="1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thickBot="1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75" thickBot="1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thickBot="1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thickBot="1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thickBot="1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thickBot="1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75" thickBot="1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thickBot="1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thickBot="1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thickBot="1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thickBot="1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75" thickBot="1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75" thickBot="1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75" thickBot="1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75" thickBot="1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75" thickBot="1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thickBot="1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75" thickBot="1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thickBot="1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thickBot="1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thickBot="1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thickBot="1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thickBo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75" thickBo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75" thickBo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75" thickBot="1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75" thickBot="1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thickBo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thickBo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75" thickBo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thickBo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thickBo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thickBo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thickBo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thickBo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thickBo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thickBo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thickBo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75" thickBo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thickBo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thickBo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thickBo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thickBo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thickBo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thickBo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thickBo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thickBo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thickBot="1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thickBot="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thickBot="1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thickBot="1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thickBot="1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thickBot="1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thickBot="1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thickBot="1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thickBot="1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thickBot="1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thickBot="1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thickBot="1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thickBot="1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thickBot="1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thickBot="1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thickBot="1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thickBot="1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thickBot="1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thickBot="1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thickBot="1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thickBot="1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thickBot="1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thickBot="1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thickBot="1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thickBot="1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thickBot="1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thickBot="1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thickBot="1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thickBot="1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thickBot="1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thickBot="1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thickBot="1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thickBot="1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thickBot="1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thickBot="1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thickBot="1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thickBot="1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thickBot="1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thickBot="1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thickBot="1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thickBot="1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thickBot="1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thickBot="1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thickBot="1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thickBot="1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thickBot="1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thickBot="1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thickBot="1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thickBot="1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thickBot="1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thickBot="1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thickBot="1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thickBot="1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thickBot="1" x14ac:dyDescent="0.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thickBot="1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thickBot="1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thickBot="1" x14ac:dyDescent="0.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thickBot="1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thickBot="1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thickBot="1" x14ac:dyDescent="0.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thickBot="1" x14ac:dyDescent="0.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thickBot="1" x14ac:dyDescent="0.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thickBot="1" x14ac:dyDescent="0.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thickBot="1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thickBot="1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thickBot="1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thickBot="1" x14ac:dyDescent="0.3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thickBot="1" x14ac:dyDescent="0.3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thickBot="1" x14ac:dyDescent="0.3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thickBot="1" x14ac:dyDescent="0.3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thickBot="1" x14ac:dyDescent="0.3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thickBot="1" x14ac:dyDescent="0.3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thickBot="1" x14ac:dyDescent="0.3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thickBot="1" x14ac:dyDescent="0.3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thickBot="1" x14ac:dyDescent="0.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thickBot="1" x14ac:dyDescent="0.3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thickBot="1" x14ac:dyDescent="0.3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thickBot="1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thickBot="1" x14ac:dyDescent="0.3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thickBot="1" x14ac:dyDescent="0.3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thickBot="1" x14ac:dyDescent="0.3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thickBot="1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thickBot="1" x14ac:dyDescent="0.3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thickBot="1" x14ac:dyDescent="0.3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thickBot="1" x14ac:dyDescent="0.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thickBot="1" x14ac:dyDescent="0.3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thickBot="1" x14ac:dyDescent="0.3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thickBot="1" x14ac:dyDescent="0.3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thickBot="1" x14ac:dyDescent="0.3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thickBot="1" x14ac:dyDescent="0.3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thickBot="1" x14ac:dyDescent="0.3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thickBot="1" x14ac:dyDescent="0.3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thickBot="1" x14ac:dyDescent="0.3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thickBot="1" x14ac:dyDescent="0.3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thickBot="1" x14ac:dyDescent="0.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thickBot="1" x14ac:dyDescent="0.3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thickBot="1" x14ac:dyDescent="0.3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thickBot="1" x14ac:dyDescent="0.3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thickBot="1" x14ac:dyDescent="0.3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thickBot="1" x14ac:dyDescent="0.3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thickBot="1" x14ac:dyDescent="0.3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thickBot="1" x14ac:dyDescent="0.3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thickBot="1" x14ac:dyDescent="0.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thickBot="1" x14ac:dyDescent="0.3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thickBot="1" x14ac:dyDescent="0.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thickBot="1" x14ac:dyDescent="0.3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thickBot="1" x14ac:dyDescent="0.3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thickBot="1" x14ac:dyDescent="0.3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thickBot="1" x14ac:dyDescent="0.3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thickBot="1" x14ac:dyDescent="0.3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thickBot="1" x14ac:dyDescent="0.3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thickBot="1" x14ac:dyDescent="0.3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thickBot="1" x14ac:dyDescent="0.3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thickBot="1" x14ac:dyDescent="0.3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thickBot="1" x14ac:dyDescent="0.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thickBot="1" x14ac:dyDescent="0.3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thickBot="1" x14ac:dyDescent="0.3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thickBot="1" x14ac:dyDescent="0.3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thickBot="1" x14ac:dyDescent="0.3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thickBot="1" x14ac:dyDescent="0.3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thickBot="1" x14ac:dyDescent="0.3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thickBot="1" x14ac:dyDescent="0.3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thickBot="1" x14ac:dyDescent="0.3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thickBot="1" x14ac:dyDescent="0.3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thickBot="1" x14ac:dyDescent="0.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thickBot="1" x14ac:dyDescent="0.3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thickBot="1" x14ac:dyDescent="0.3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thickBot="1" x14ac:dyDescent="0.3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thickBot="1" x14ac:dyDescent="0.3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thickBot="1" x14ac:dyDescent="0.3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thickBot="1" x14ac:dyDescent="0.3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thickBot="1" x14ac:dyDescent="0.3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thickBot="1" x14ac:dyDescent="0.3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thickBot="1" x14ac:dyDescent="0.3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thickBot="1" x14ac:dyDescent="0.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75" thickBot="1" x14ac:dyDescent="0.3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75" thickBot="1" x14ac:dyDescent="0.3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thickBot="1" x14ac:dyDescent="0.3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75" thickBot="1" x14ac:dyDescent="0.3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75" thickBot="1" x14ac:dyDescent="0.3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75" thickBot="1" x14ac:dyDescent="0.3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75" thickBot="1" x14ac:dyDescent="0.3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75" thickBot="1" x14ac:dyDescent="0.3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thickBot="1" x14ac:dyDescent="0.3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75" thickBot="1" x14ac:dyDescent="0.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75" thickBot="1" x14ac:dyDescent="0.3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75" thickBot="1" x14ac:dyDescent="0.3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75" thickBot="1" x14ac:dyDescent="0.3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75" thickBot="1" x14ac:dyDescent="0.3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.75" thickBot="1" x14ac:dyDescent="0.3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.75" thickBot="1" x14ac:dyDescent="0.3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75" thickBot="1" x14ac:dyDescent="0.3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.75" thickBot="1" x14ac:dyDescent="0.3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.75" thickBot="1" x14ac:dyDescent="0.3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75" thickBot="1" x14ac:dyDescent="0.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.75" thickBot="1" x14ac:dyDescent="0.3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75" thickBot="1" x14ac:dyDescent="0.3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.75" thickBot="1" x14ac:dyDescent="0.3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75" thickBot="1" x14ac:dyDescent="0.3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75" thickBot="1" x14ac:dyDescent="0.3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.75" thickBot="1" x14ac:dyDescent="0.3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.75" thickBot="1" x14ac:dyDescent="0.3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75" thickBot="1" x14ac:dyDescent="0.3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75" thickBot="1" x14ac:dyDescent="0.3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.75" thickBot="1" x14ac:dyDescent="0.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.75" thickBot="1" x14ac:dyDescent="0.3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.75" thickBot="1" x14ac:dyDescent="0.3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75" thickBot="1" x14ac:dyDescent="0.3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.75" thickBot="1" x14ac:dyDescent="0.3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.75" thickBot="1" x14ac:dyDescent="0.3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.75" thickBot="1" x14ac:dyDescent="0.3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75" thickBot="1" x14ac:dyDescent="0.3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.75" thickBot="1" x14ac:dyDescent="0.3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thickBot="1" x14ac:dyDescent="0.3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75" thickBot="1" x14ac:dyDescent="0.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thickBot="1" x14ac:dyDescent="0.3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75" thickBot="1" x14ac:dyDescent="0.3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75" thickBot="1" x14ac:dyDescent="0.3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75" thickBot="1" x14ac:dyDescent="0.3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75" thickBot="1" x14ac:dyDescent="0.3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.75" thickBot="1" x14ac:dyDescent="0.3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.75" thickBot="1" x14ac:dyDescent="0.3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.75" thickBot="1" x14ac:dyDescent="0.3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75" thickBot="1" x14ac:dyDescent="0.3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.75" thickBot="1" x14ac:dyDescent="0.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.75" thickBot="1" x14ac:dyDescent="0.3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.75" thickBot="1" x14ac:dyDescent="0.3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.75" thickBot="1" x14ac:dyDescent="0.3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.75" thickBot="1" x14ac:dyDescent="0.3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.75" thickBot="1" x14ac:dyDescent="0.3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.75" thickBot="1" x14ac:dyDescent="0.3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.75" thickBot="1" x14ac:dyDescent="0.3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.75" thickBot="1" x14ac:dyDescent="0.3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.75" thickBot="1" x14ac:dyDescent="0.3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.75" thickBot="1" x14ac:dyDescent="0.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75" thickBot="1" x14ac:dyDescent="0.3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75" thickBot="1" x14ac:dyDescent="0.3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75" thickBot="1" x14ac:dyDescent="0.3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.75" thickBot="1" x14ac:dyDescent="0.3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.75" thickBot="1" x14ac:dyDescent="0.3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75" thickBot="1" x14ac:dyDescent="0.3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.75" thickBot="1" x14ac:dyDescent="0.3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.75" thickBot="1" x14ac:dyDescent="0.3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.75" thickBot="1" x14ac:dyDescent="0.3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.75" thickBot="1" x14ac:dyDescent="0.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.75" thickBot="1" x14ac:dyDescent="0.3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.75" thickBot="1" x14ac:dyDescent="0.3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75" thickBot="1" x14ac:dyDescent="0.3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.75" thickBot="1" x14ac:dyDescent="0.3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75" thickBot="1" x14ac:dyDescent="0.3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.75" thickBot="1" x14ac:dyDescent="0.3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75" thickBot="1" x14ac:dyDescent="0.3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.75" thickBot="1" x14ac:dyDescent="0.3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.75" thickBot="1" x14ac:dyDescent="0.3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.75" thickBot="1" x14ac:dyDescent="0.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.75" thickBot="1" x14ac:dyDescent="0.3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.75" thickBot="1" x14ac:dyDescent="0.3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.75" thickBot="1" x14ac:dyDescent="0.3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.75" thickBot="1" x14ac:dyDescent="0.3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.75" thickBot="1" x14ac:dyDescent="0.3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.75" thickBot="1" x14ac:dyDescent="0.3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.75" thickBot="1" x14ac:dyDescent="0.3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.75" thickBot="1" x14ac:dyDescent="0.3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.75" thickBot="1" x14ac:dyDescent="0.3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.75" thickBot="1" x14ac:dyDescent="0.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.75" thickBot="1" x14ac:dyDescent="0.3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.75" thickBot="1" x14ac:dyDescent="0.3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.75" thickBot="1" x14ac:dyDescent="0.3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.75" thickBot="1" x14ac:dyDescent="0.3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.75" thickBot="1" x14ac:dyDescent="0.3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.75" thickBot="1" x14ac:dyDescent="0.3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.75" thickBot="1" x14ac:dyDescent="0.3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.75" thickBot="1" x14ac:dyDescent="0.3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.75" thickBot="1" x14ac:dyDescent="0.3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.75" thickBot="1" x14ac:dyDescent="0.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.75" thickBot="1" x14ac:dyDescent="0.3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.75" thickBot="1" x14ac:dyDescent="0.3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.75" thickBot="1" x14ac:dyDescent="0.3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.75" thickBot="1" x14ac:dyDescent="0.3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.75" thickBot="1" x14ac:dyDescent="0.3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.75" thickBot="1" x14ac:dyDescent="0.3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.75" thickBot="1" x14ac:dyDescent="0.3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.75" thickBot="1" x14ac:dyDescent="0.3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.75" thickBot="1" x14ac:dyDescent="0.3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.75" thickBot="1" x14ac:dyDescent="0.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.75" thickBot="1" x14ac:dyDescent="0.3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.75" thickBot="1" x14ac:dyDescent="0.3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.75" thickBot="1" x14ac:dyDescent="0.3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.75" thickBot="1" x14ac:dyDescent="0.3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.75" thickBot="1" x14ac:dyDescent="0.3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.75" thickBot="1" x14ac:dyDescent="0.3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.75" thickBot="1" x14ac:dyDescent="0.3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.75" thickBot="1" x14ac:dyDescent="0.3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.75" thickBot="1" x14ac:dyDescent="0.3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.75" thickBot="1" x14ac:dyDescent="0.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.75" thickBot="1" x14ac:dyDescent="0.3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.75" thickBot="1" x14ac:dyDescent="0.3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.75" thickBot="1" x14ac:dyDescent="0.3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.75" thickBot="1" x14ac:dyDescent="0.3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.75" thickBot="1" x14ac:dyDescent="0.3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.75" thickBot="1" x14ac:dyDescent="0.3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.75" thickBot="1" x14ac:dyDescent="0.3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.75" thickBot="1" x14ac:dyDescent="0.3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.75" thickBot="1" x14ac:dyDescent="0.3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.75" thickBot="1" x14ac:dyDescent="0.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.75" thickBot="1" x14ac:dyDescent="0.3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.75" thickBot="1" x14ac:dyDescent="0.3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.75" thickBot="1" x14ac:dyDescent="0.3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.75" thickBot="1" x14ac:dyDescent="0.3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.75" thickBot="1" x14ac:dyDescent="0.3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.75" thickBot="1" x14ac:dyDescent="0.3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.75" thickBot="1" x14ac:dyDescent="0.3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.75" thickBot="1" x14ac:dyDescent="0.3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.75" thickBot="1" x14ac:dyDescent="0.3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.75" thickBot="1" x14ac:dyDescent="0.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.75" thickBot="1" x14ac:dyDescent="0.3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.75" thickBot="1" x14ac:dyDescent="0.3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.75" thickBot="1" x14ac:dyDescent="0.3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.75" thickBot="1" x14ac:dyDescent="0.3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.75" thickBot="1" x14ac:dyDescent="0.3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.75" thickBot="1" x14ac:dyDescent="0.3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.75" thickBot="1" x14ac:dyDescent="0.3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.75" thickBot="1" x14ac:dyDescent="0.3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.75" thickBot="1" x14ac:dyDescent="0.3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.75" thickBot="1" x14ac:dyDescent="0.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.75" thickBot="1" x14ac:dyDescent="0.3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.75" thickBot="1" x14ac:dyDescent="0.3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.75" thickBot="1" x14ac:dyDescent="0.3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.75" thickBot="1" x14ac:dyDescent="0.3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.75" thickBot="1" x14ac:dyDescent="0.3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.75" thickBot="1" x14ac:dyDescent="0.3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.75" thickBot="1" x14ac:dyDescent="0.3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.75" thickBot="1" x14ac:dyDescent="0.3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.75" thickBot="1" x14ac:dyDescent="0.3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.75" thickBot="1" x14ac:dyDescent="0.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.75" thickBot="1" x14ac:dyDescent="0.3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.75" thickBot="1" x14ac:dyDescent="0.3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.75" thickBot="1" x14ac:dyDescent="0.3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.75" thickBot="1" x14ac:dyDescent="0.3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.75" thickBot="1" x14ac:dyDescent="0.3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.75" thickBot="1" x14ac:dyDescent="0.3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.75" thickBot="1" x14ac:dyDescent="0.3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.75" thickBot="1" x14ac:dyDescent="0.3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.75" thickBot="1" x14ac:dyDescent="0.3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.75" thickBot="1" x14ac:dyDescent="0.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.75" thickBot="1" x14ac:dyDescent="0.3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.75" thickBot="1" x14ac:dyDescent="0.3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.75" thickBot="1" x14ac:dyDescent="0.3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.75" thickBot="1" x14ac:dyDescent="0.3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.75" thickBot="1" x14ac:dyDescent="0.3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.75" thickBot="1" x14ac:dyDescent="0.3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.75" thickBot="1" x14ac:dyDescent="0.3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.75" thickBot="1" x14ac:dyDescent="0.3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.75" thickBot="1" x14ac:dyDescent="0.3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.75" thickBot="1" x14ac:dyDescent="0.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.75" thickBot="1" x14ac:dyDescent="0.3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.75" thickBot="1" x14ac:dyDescent="0.3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.75" thickBot="1" x14ac:dyDescent="0.3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.75" thickBot="1" x14ac:dyDescent="0.3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.75" thickBot="1" x14ac:dyDescent="0.3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.75" thickBot="1" x14ac:dyDescent="0.3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.75" thickBot="1" x14ac:dyDescent="0.3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.75" thickBot="1" x14ac:dyDescent="0.3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.75" thickBot="1" x14ac:dyDescent="0.3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.75" thickBot="1" x14ac:dyDescent="0.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.75" thickBot="1" x14ac:dyDescent="0.3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.75" thickBot="1" x14ac:dyDescent="0.3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.75" thickBot="1" x14ac:dyDescent="0.3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.75" thickBot="1" x14ac:dyDescent="0.3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.75" thickBot="1" x14ac:dyDescent="0.3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.75" thickBot="1" x14ac:dyDescent="0.3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.75" thickBot="1" x14ac:dyDescent="0.3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.75" thickBot="1" x14ac:dyDescent="0.3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.75" thickBot="1" x14ac:dyDescent="0.3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.75" thickBot="1" x14ac:dyDescent="0.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.75" thickBot="1" x14ac:dyDescent="0.3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.75" thickBot="1" x14ac:dyDescent="0.3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.75" thickBot="1" x14ac:dyDescent="0.3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.75" thickBot="1" x14ac:dyDescent="0.3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.75" thickBot="1" x14ac:dyDescent="0.3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.75" thickBot="1" x14ac:dyDescent="0.3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.75" thickBot="1" x14ac:dyDescent="0.3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.75" thickBot="1" x14ac:dyDescent="0.3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.75" thickBot="1" x14ac:dyDescent="0.3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.75" thickBot="1" x14ac:dyDescent="0.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.75" thickBot="1" x14ac:dyDescent="0.3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.75" thickBot="1" x14ac:dyDescent="0.3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.75" thickBot="1" x14ac:dyDescent="0.3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.75" thickBot="1" x14ac:dyDescent="0.3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.75" thickBot="1" x14ac:dyDescent="0.3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.75" thickBot="1" x14ac:dyDescent="0.3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.75" thickBot="1" x14ac:dyDescent="0.3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.75" thickBot="1" x14ac:dyDescent="0.3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.75" thickBot="1" x14ac:dyDescent="0.3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.75" thickBot="1" x14ac:dyDescent="0.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.75" thickBot="1" x14ac:dyDescent="0.3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.75" thickBot="1" x14ac:dyDescent="0.3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.75" thickBot="1" x14ac:dyDescent="0.3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.75" thickBot="1" x14ac:dyDescent="0.3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.75" thickBot="1" x14ac:dyDescent="0.3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.75" thickBot="1" x14ac:dyDescent="0.3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.75" thickBot="1" x14ac:dyDescent="0.3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.75" thickBot="1" x14ac:dyDescent="0.3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.75" thickBot="1" x14ac:dyDescent="0.3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.75" thickBot="1" x14ac:dyDescent="0.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.75" thickBot="1" x14ac:dyDescent="0.3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.75" thickBot="1" x14ac:dyDescent="0.3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.75" thickBot="1" x14ac:dyDescent="0.3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.75" thickBot="1" x14ac:dyDescent="0.3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.75" thickBot="1" x14ac:dyDescent="0.3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.75" thickBot="1" x14ac:dyDescent="0.3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.75" thickBot="1" x14ac:dyDescent="0.3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.75" thickBot="1" x14ac:dyDescent="0.3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.75" thickBot="1" x14ac:dyDescent="0.3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.75" thickBot="1" x14ac:dyDescent="0.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.75" thickBot="1" x14ac:dyDescent="0.3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.75" thickBot="1" x14ac:dyDescent="0.3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.75" thickBot="1" x14ac:dyDescent="0.3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.75" thickBot="1" x14ac:dyDescent="0.3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.75" thickBot="1" x14ac:dyDescent="0.3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.75" thickBot="1" x14ac:dyDescent="0.3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.75" thickBot="1" x14ac:dyDescent="0.3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.75" thickBot="1" x14ac:dyDescent="0.3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.75" thickBot="1" x14ac:dyDescent="0.3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.75" thickBot="1" x14ac:dyDescent="0.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.75" thickBot="1" x14ac:dyDescent="0.3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.75" thickBot="1" x14ac:dyDescent="0.3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.75" thickBot="1" x14ac:dyDescent="0.3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.75" thickBot="1" x14ac:dyDescent="0.3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.75" thickBot="1" x14ac:dyDescent="0.3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.75" thickBot="1" x14ac:dyDescent="0.3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.75" thickBot="1" x14ac:dyDescent="0.3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.75" thickBot="1" x14ac:dyDescent="0.3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.75" thickBot="1" x14ac:dyDescent="0.3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.75" thickBot="1" x14ac:dyDescent="0.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.75" thickBot="1" x14ac:dyDescent="0.3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.75" thickBot="1" x14ac:dyDescent="0.3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.75" thickBot="1" x14ac:dyDescent="0.3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.75" thickBot="1" x14ac:dyDescent="0.3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.75" thickBot="1" x14ac:dyDescent="0.3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.75" thickBot="1" x14ac:dyDescent="0.3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.75" thickBot="1" x14ac:dyDescent="0.3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.75" thickBot="1" x14ac:dyDescent="0.3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.75" thickBot="1" x14ac:dyDescent="0.3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.75" thickBot="1" x14ac:dyDescent="0.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.75" thickBot="1" x14ac:dyDescent="0.3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.75" thickBot="1" x14ac:dyDescent="0.3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.75" thickBot="1" x14ac:dyDescent="0.3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.75" thickBot="1" x14ac:dyDescent="0.3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.75" thickBot="1" x14ac:dyDescent="0.3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.75" thickBot="1" x14ac:dyDescent="0.3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.75" thickBot="1" x14ac:dyDescent="0.3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.75" thickBot="1" x14ac:dyDescent="0.3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.75" thickBot="1" x14ac:dyDescent="0.3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.75" thickBot="1" x14ac:dyDescent="0.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.75" thickBot="1" x14ac:dyDescent="0.3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.75" thickBot="1" x14ac:dyDescent="0.3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.75" thickBot="1" x14ac:dyDescent="0.3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.75" thickBot="1" x14ac:dyDescent="0.3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.75" thickBot="1" x14ac:dyDescent="0.3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.75" thickBot="1" x14ac:dyDescent="0.3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.75" thickBot="1" x14ac:dyDescent="0.3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.75" thickBot="1" x14ac:dyDescent="0.3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.75" thickBot="1" x14ac:dyDescent="0.3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.75" thickBot="1" x14ac:dyDescent="0.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.75" thickBot="1" x14ac:dyDescent="0.3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.75" thickBot="1" x14ac:dyDescent="0.3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.75" thickBot="1" x14ac:dyDescent="0.3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.75" thickBot="1" x14ac:dyDescent="0.3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.75" thickBot="1" x14ac:dyDescent="0.3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.75" thickBot="1" x14ac:dyDescent="0.3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.75" thickBot="1" x14ac:dyDescent="0.3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.75" thickBot="1" x14ac:dyDescent="0.3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.75" thickBot="1" x14ac:dyDescent="0.3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.75" thickBot="1" x14ac:dyDescent="0.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.75" thickBot="1" x14ac:dyDescent="0.3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.75" thickBot="1" x14ac:dyDescent="0.3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.75" thickBot="1" x14ac:dyDescent="0.3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.75" thickBot="1" x14ac:dyDescent="0.3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.75" thickBot="1" x14ac:dyDescent="0.3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.75" thickBot="1" x14ac:dyDescent="0.3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.75" thickBot="1" x14ac:dyDescent="0.3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.75" thickBot="1" x14ac:dyDescent="0.3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.75" thickBot="1" x14ac:dyDescent="0.3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.75" thickBot="1" x14ac:dyDescent="0.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.75" thickBot="1" x14ac:dyDescent="0.3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.75" thickBot="1" x14ac:dyDescent="0.3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.75" thickBot="1" x14ac:dyDescent="0.3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.75" thickBot="1" x14ac:dyDescent="0.3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.75" thickBot="1" x14ac:dyDescent="0.3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.75" thickBot="1" x14ac:dyDescent="0.3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.75" thickBot="1" x14ac:dyDescent="0.3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.75" thickBot="1" x14ac:dyDescent="0.3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.75" thickBot="1" x14ac:dyDescent="0.3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.75" thickBot="1" x14ac:dyDescent="0.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.75" thickBot="1" x14ac:dyDescent="0.3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.75" thickBot="1" x14ac:dyDescent="0.3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.75" thickBot="1" x14ac:dyDescent="0.3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.75" thickBot="1" x14ac:dyDescent="0.3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.75" thickBot="1" x14ac:dyDescent="0.3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.75" thickBot="1" x14ac:dyDescent="0.3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.75" thickBot="1" x14ac:dyDescent="0.3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.75" thickBot="1" x14ac:dyDescent="0.3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.75" thickBot="1" x14ac:dyDescent="0.3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.75" thickBot="1" x14ac:dyDescent="0.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.75" thickBot="1" x14ac:dyDescent="0.3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.75" thickBot="1" x14ac:dyDescent="0.3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.75" thickBot="1" x14ac:dyDescent="0.3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.75" thickBot="1" x14ac:dyDescent="0.3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.75" thickBot="1" x14ac:dyDescent="0.3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.75" thickBot="1" x14ac:dyDescent="0.3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.75" thickBot="1" x14ac:dyDescent="0.3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.75" thickBot="1" x14ac:dyDescent="0.3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.75" thickBot="1" x14ac:dyDescent="0.3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.75" thickBot="1" x14ac:dyDescent="0.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.75" thickBot="1" x14ac:dyDescent="0.3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.75" thickBot="1" x14ac:dyDescent="0.3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.75" thickBot="1" x14ac:dyDescent="0.3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.75" thickBot="1" x14ac:dyDescent="0.3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.75" thickBot="1" x14ac:dyDescent="0.3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.75" thickBot="1" x14ac:dyDescent="0.3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.75" thickBot="1" x14ac:dyDescent="0.3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.75" thickBot="1" x14ac:dyDescent="0.3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.75" thickBot="1" x14ac:dyDescent="0.3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.75" thickBot="1" x14ac:dyDescent="0.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.75" thickBot="1" x14ac:dyDescent="0.3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.75" thickBot="1" x14ac:dyDescent="0.3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.75" thickBot="1" x14ac:dyDescent="0.3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.75" thickBot="1" x14ac:dyDescent="0.3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.75" thickBot="1" x14ac:dyDescent="0.3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.75" thickBot="1" x14ac:dyDescent="0.3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.75" thickBot="1" x14ac:dyDescent="0.3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.75" thickBot="1" x14ac:dyDescent="0.3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.75" thickBot="1" x14ac:dyDescent="0.3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.75" thickBot="1" x14ac:dyDescent="0.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.75" thickBot="1" x14ac:dyDescent="0.3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.75" thickBot="1" x14ac:dyDescent="0.3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.75" thickBot="1" x14ac:dyDescent="0.3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.75" thickBot="1" x14ac:dyDescent="0.3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.75" thickBot="1" x14ac:dyDescent="0.3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.75" thickBot="1" x14ac:dyDescent="0.3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.75" thickBot="1" x14ac:dyDescent="0.3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.75" thickBot="1" x14ac:dyDescent="0.3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.75" thickBot="1" x14ac:dyDescent="0.3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.75" thickBot="1" x14ac:dyDescent="0.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.75" thickBot="1" x14ac:dyDescent="0.3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.75" thickBot="1" x14ac:dyDescent="0.3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.75" thickBot="1" x14ac:dyDescent="0.3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.75" thickBot="1" x14ac:dyDescent="0.3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.75" thickBot="1" x14ac:dyDescent="0.3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.75" thickBot="1" x14ac:dyDescent="0.3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.75" thickBot="1" x14ac:dyDescent="0.3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.75" thickBot="1" x14ac:dyDescent="0.3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.75" thickBot="1" x14ac:dyDescent="0.3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.75" thickBot="1" x14ac:dyDescent="0.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.75" thickBot="1" x14ac:dyDescent="0.3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.75" thickBot="1" x14ac:dyDescent="0.3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.75" thickBot="1" x14ac:dyDescent="0.3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.75" thickBot="1" x14ac:dyDescent="0.3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.75" thickBot="1" x14ac:dyDescent="0.3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.75" thickBot="1" x14ac:dyDescent="0.3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.75" thickBot="1" x14ac:dyDescent="0.3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.75" thickBot="1" x14ac:dyDescent="0.3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.75" thickBot="1" x14ac:dyDescent="0.3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.75" thickBot="1" x14ac:dyDescent="0.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.75" thickBot="1" x14ac:dyDescent="0.3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.75" thickBot="1" x14ac:dyDescent="0.3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.75" thickBot="1" x14ac:dyDescent="0.3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.75" thickBot="1" x14ac:dyDescent="0.3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.75" thickBot="1" x14ac:dyDescent="0.3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.75" thickBot="1" x14ac:dyDescent="0.3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.75" thickBot="1" x14ac:dyDescent="0.3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.75" thickBot="1" x14ac:dyDescent="0.3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.75" thickBot="1" x14ac:dyDescent="0.3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.75" thickBot="1" x14ac:dyDescent="0.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.75" thickBot="1" x14ac:dyDescent="0.3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.75" thickBot="1" x14ac:dyDescent="0.3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.75" thickBot="1" x14ac:dyDescent="0.3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.75" thickBot="1" x14ac:dyDescent="0.3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.75" thickBot="1" x14ac:dyDescent="0.3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.75" thickBot="1" x14ac:dyDescent="0.3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.75" thickBot="1" x14ac:dyDescent="0.3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.75" thickBot="1" x14ac:dyDescent="0.3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.75" thickBot="1" x14ac:dyDescent="0.3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.75" thickBot="1" x14ac:dyDescent="0.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.75" thickBot="1" x14ac:dyDescent="0.3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.75" thickBot="1" x14ac:dyDescent="0.3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.75" thickBot="1" x14ac:dyDescent="0.3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.75" thickBot="1" x14ac:dyDescent="0.3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.75" thickBot="1" x14ac:dyDescent="0.3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.75" thickBot="1" x14ac:dyDescent="0.3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.75" thickBot="1" x14ac:dyDescent="0.3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.75" thickBot="1" x14ac:dyDescent="0.3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.75" thickBot="1" x14ac:dyDescent="0.3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.75" thickBot="1" x14ac:dyDescent="0.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.75" thickBot="1" x14ac:dyDescent="0.3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.75" thickBot="1" x14ac:dyDescent="0.3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.75" thickBot="1" x14ac:dyDescent="0.3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.75" thickBot="1" x14ac:dyDescent="0.3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.75" thickBot="1" x14ac:dyDescent="0.3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.75" thickBot="1" x14ac:dyDescent="0.3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.75" thickBot="1" x14ac:dyDescent="0.3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.75" thickBot="1" x14ac:dyDescent="0.3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.75" thickBot="1" x14ac:dyDescent="0.3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.75" thickBot="1" x14ac:dyDescent="0.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.75" thickBot="1" x14ac:dyDescent="0.3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.75" thickBot="1" x14ac:dyDescent="0.3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.75" thickBot="1" x14ac:dyDescent="0.3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.75" thickBot="1" x14ac:dyDescent="0.3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.75" thickBot="1" x14ac:dyDescent="0.3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.75" thickBot="1" x14ac:dyDescent="0.3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.75" thickBot="1" x14ac:dyDescent="0.3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.75" thickBot="1" x14ac:dyDescent="0.3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.75" thickBot="1" x14ac:dyDescent="0.3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.75" thickBot="1" x14ac:dyDescent="0.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.75" thickBot="1" x14ac:dyDescent="0.3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.75" thickBot="1" x14ac:dyDescent="0.3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.75" thickBot="1" x14ac:dyDescent="0.3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.75" thickBot="1" x14ac:dyDescent="0.3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.75" thickBot="1" x14ac:dyDescent="0.3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.75" thickBot="1" x14ac:dyDescent="0.3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.75" thickBot="1" x14ac:dyDescent="0.3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.75" thickBot="1" x14ac:dyDescent="0.3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.75" thickBot="1" x14ac:dyDescent="0.3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.75" thickBot="1" x14ac:dyDescent="0.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.75" thickBot="1" x14ac:dyDescent="0.3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.75" thickBot="1" x14ac:dyDescent="0.3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.75" thickBot="1" x14ac:dyDescent="0.3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.75" thickBot="1" x14ac:dyDescent="0.3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.75" thickBot="1" x14ac:dyDescent="0.3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.75" thickBot="1" x14ac:dyDescent="0.3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.75" thickBot="1" x14ac:dyDescent="0.3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.75" thickBot="1" x14ac:dyDescent="0.3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.75" thickBot="1" x14ac:dyDescent="0.3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.75" thickBot="1" x14ac:dyDescent="0.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.75" thickBot="1" x14ac:dyDescent="0.3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.75" thickBot="1" x14ac:dyDescent="0.3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.75" thickBot="1" x14ac:dyDescent="0.3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.75" thickBot="1" x14ac:dyDescent="0.3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.75" thickBot="1" x14ac:dyDescent="0.3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.75" thickBot="1" x14ac:dyDescent="0.3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.75" thickBot="1" x14ac:dyDescent="0.3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.75" thickBot="1" x14ac:dyDescent="0.3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.75" thickBot="1" x14ac:dyDescent="0.3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.75" thickBot="1" x14ac:dyDescent="0.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.75" thickBot="1" x14ac:dyDescent="0.3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.75" thickBot="1" x14ac:dyDescent="0.3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.75" thickBot="1" x14ac:dyDescent="0.3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.75" thickBot="1" x14ac:dyDescent="0.3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.75" thickBot="1" x14ac:dyDescent="0.3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.75" thickBot="1" x14ac:dyDescent="0.3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.75" thickBot="1" x14ac:dyDescent="0.3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.75" thickBot="1" x14ac:dyDescent="0.3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.75" thickBot="1" x14ac:dyDescent="0.3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.75" thickBot="1" x14ac:dyDescent="0.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.75" thickBot="1" x14ac:dyDescent="0.3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.75" thickBot="1" x14ac:dyDescent="0.3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.75" thickBot="1" x14ac:dyDescent="0.3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.75" thickBot="1" x14ac:dyDescent="0.3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.75" thickBot="1" x14ac:dyDescent="0.3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.75" thickBot="1" x14ac:dyDescent="0.3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.75" thickBot="1" x14ac:dyDescent="0.3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.75" thickBot="1" x14ac:dyDescent="0.3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.75" thickBot="1" x14ac:dyDescent="0.3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.75" thickBot="1" x14ac:dyDescent="0.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.75" thickBot="1" x14ac:dyDescent="0.3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.75" thickBot="1" x14ac:dyDescent="0.3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.75" thickBot="1" x14ac:dyDescent="0.3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.75" thickBot="1" x14ac:dyDescent="0.3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.75" thickBot="1" x14ac:dyDescent="0.3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.75" thickBot="1" x14ac:dyDescent="0.3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.75" thickBot="1" x14ac:dyDescent="0.3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.75" thickBot="1" x14ac:dyDescent="0.3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.75" thickBot="1" x14ac:dyDescent="0.3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.75" thickBot="1" x14ac:dyDescent="0.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.75" thickBot="1" x14ac:dyDescent="0.3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.75" thickBot="1" x14ac:dyDescent="0.3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.75" thickBot="1" x14ac:dyDescent="0.3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.75" thickBot="1" x14ac:dyDescent="0.3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.75" thickBot="1" x14ac:dyDescent="0.3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.75" thickBot="1" x14ac:dyDescent="0.3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.75" thickBot="1" x14ac:dyDescent="0.3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.75" thickBot="1" x14ac:dyDescent="0.3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.75" thickBot="1" x14ac:dyDescent="0.3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.75" thickBot="1" x14ac:dyDescent="0.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.75" thickBot="1" x14ac:dyDescent="0.3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.75" thickBot="1" x14ac:dyDescent="0.3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.75" thickBot="1" x14ac:dyDescent="0.3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.75" thickBot="1" x14ac:dyDescent="0.3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.75" thickBot="1" x14ac:dyDescent="0.3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.75" thickBot="1" x14ac:dyDescent="0.3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.75" thickBot="1" x14ac:dyDescent="0.3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.75" thickBot="1" x14ac:dyDescent="0.3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.75" thickBot="1" x14ac:dyDescent="0.3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.75" thickBot="1" x14ac:dyDescent="0.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.75" thickBot="1" x14ac:dyDescent="0.3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.75" thickBot="1" x14ac:dyDescent="0.3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.75" thickBot="1" x14ac:dyDescent="0.3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.75" thickBot="1" x14ac:dyDescent="0.3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.75" thickBot="1" x14ac:dyDescent="0.3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.75" thickBot="1" x14ac:dyDescent="0.3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.75" thickBot="1" x14ac:dyDescent="0.3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.75" thickBot="1" x14ac:dyDescent="0.3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.75" thickBot="1" x14ac:dyDescent="0.3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.75" thickBot="1" x14ac:dyDescent="0.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.75" thickBot="1" x14ac:dyDescent="0.3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.75" thickBot="1" x14ac:dyDescent="0.3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.75" thickBot="1" x14ac:dyDescent="0.3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.75" thickBot="1" x14ac:dyDescent="0.3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.75" thickBot="1" x14ac:dyDescent="0.3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.75" thickBot="1" x14ac:dyDescent="0.3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.75" thickBot="1" x14ac:dyDescent="0.3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.75" thickBot="1" x14ac:dyDescent="0.3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.75" thickBot="1" x14ac:dyDescent="0.3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.75" thickBot="1" x14ac:dyDescent="0.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.75" thickBot="1" x14ac:dyDescent="0.3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.75" thickBot="1" x14ac:dyDescent="0.3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.75" thickBot="1" x14ac:dyDescent="0.3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.75" thickBot="1" x14ac:dyDescent="0.3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.75" thickBot="1" x14ac:dyDescent="0.3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.75" thickBot="1" x14ac:dyDescent="0.3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.75" thickBot="1" x14ac:dyDescent="0.3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.75" thickBot="1" x14ac:dyDescent="0.3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.75" thickBot="1" x14ac:dyDescent="0.3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.75" thickBot="1" x14ac:dyDescent="0.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.75" thickBot="1" x14ac:dyDescent="0.3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.75" thickBot="1" x14ac:dyDescent="0.3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.75" thickBot="1" x14ac:dyDescent="0.3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.75" thickBot="1" x14ac:dyDescent="0.3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.75" thickBot="1" x14ac:dyDescent="0.3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.75" thickBot="1" x14ac:dyDescent="0.3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.75" thickBot="1" x14ac:dyDescent="0.3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.75" thickBot="1" x14ac:dyDescent="0.3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.75" thickBot="1" x14ac:dyDescent="0.3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.75" thickBot="1" x14ac:dyDescent="0.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.75" thickBot="1" x14ac:dyDescent="0.3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.75" thickBot="1" x14ac:dyDescent="0.3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.75" thickBot="1" x14ac:dyDescent="0.3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.75" thickBot="1" x14ac:dyDescent="0.3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.75" thickBot="1" x14ac:dyDescent="0.3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.75" thickBot="1" x14ac:dyDescent="0.3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.75" thickBot="1" x14ac:dyDescent="0.3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.75" thickBot="1" x14ac:dyDescent="0.3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.75" thickBot="1" x14ac:dyDescent="0.3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.75" thickBot="1" x14ac:dyDescent="0.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.75" thickBot="1" x14ac:dyDescent="0.3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.75" thickBot="1" x14ac:dyDescent="0.3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.75" thickBot="1" x14ac:dyDescent="0.3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.75" thickBot="1" x14ac:dyDescent="0.3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.75" thickBot="1" x14ac:dyDescent="0.3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.75" thickBot="1" x14ac:dyDescent="0.3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.75" thickBot="1" x14ac:dyDescent="0.3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.75" thickBot="1" x14ac:dyDescent="0.3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.75" thickBot="1" x14ac:dyDescent="0.3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.75" thickBot="1" x14ac:dyDescent="0.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.75" thickBot="1" x14ac:dyDescent="0.3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.75" thickBot="1" x14ac:dyDescent="0.3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.75" thickBot="1" x14ac:dyDescent="0.3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.75" thickBot="1" x14ac:dyDescent="0.3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.75" thickBot="1" x14ac:dyDescent="0.3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.75" thickBot="1" x14ac:dyDescent="0.3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.75" thickBot="1" x14ac:dyDescent="0.3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.75" thickBot="1" x14ac:dyDescent="0.3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.75" thickBot="1" x14ac:dyDescent="0.3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.75" thickBot="1" x14ac:dyDescent="0.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.75" thickBot="1" x14ac:dyDescent="0.3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.75" thickBot="1" x14ac:dyDescent="0.3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.75" thickBot="1" x14ac:dyDescent="0.3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.75" thickBot="1" x14ac:dyDescent="0.3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.75" thickBot="1" x14ac:dyDescent="0.3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.75" thickBot="1" x14ac:dyDescent="0.3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.75" thickBot="1" x14ac:dyDescent="0.3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.75" thickBot="1" x14ac:dyDescent="0.3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.75" thickBot="1" x14ac:dyDescent="0.3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.75" thickBot="1" x14ac:dyDescent="0.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.75" thickBot="1" x14ac:dyDescent="0.3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.75" thickBot="1" x14ac:dyDescent="0.3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.75" thickBot="1" x14ac:dyDescent="0.3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.75" thickBot="1" x14ac:dyDescent="0.3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.75" thickBot="1" x14ac:dyDescent="0.3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.75" thickBot="1" x14ac:dyDescent="0.3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.75" thickBot="1" x14ac:dyDescent="0.3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.75" thickBot="1" x14ac:dyDescent="0.3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.75" thickBot="1" x14ac:dyDescent="0.3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.75" thickBot="1" x14ac:dyDescent="0.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.75" thickBot="1" x14ac:dyDescent="0.3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.75" thickBot="1" x14ac:dyDescent="0.3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.75" thickBot="1" x14ac:dyDescent="0.3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.75" thickBot="1" x14ac:dyDescent="0.3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.75" thickBot="1" x14ac:dyDescent="0.3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.75" thickBot="1" x14ac:dyDescent="0.3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.75" thickBot="1" x14ac:dyDescent="0.3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.75" thickBot="1" x14ac:dyDescent="0.3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.75" thickBot="1" x14ac:dyDescent="0.3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.75" thickBot="1" x14ac:dyDescent="0.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.75" thickBot="1" x14ac:dyDescent="0.3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.75" thickBot="1" x14ac:dyDescent="0.3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.75" thickBot="1" x14ac:dyDescent="0.3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.75" thickBot="1" x14ac:dyDescent="0.3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.75" thickBot="1" x14ac:dyDescent="0.3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.75" thickBot="1" x14ac:dyDescent="0.3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.75" thickBot="1" x14ac:dyDescent="0.3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.75" thickBot="1" x14ac:dyDescent="0.3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.75" thickBot="1" x14ac:dyDescent="0.3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.75" thickBot="1" x14ac:dyDescent="0.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.75" thickBot="1" x14ac:dyDescent="0.3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.75" thickBot="1" x14ac:dyDescent="0.3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.75" thickBot="1" x14ac:dyDescent="0.3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.75" thickBot="1" x14ac:dyDescent="0.3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.75" thickBot="1" x14ac:dyDescent="0.3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.75" thickBot="1" x14ac:dyDescent="0.3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.75" thickBot="1" x14ac:dyDescent="0.3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.75" thickBot="1" x14ac:dyDescent="0.3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.75" thickBot="1" x14ac:dyDescent="0.3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.75" thickBot="1" x14ac:dyDescent="0.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.75" thickBot="1" x14ac:dyDescent="0.3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.75" thickBot="1" x14ac:dyDescent="0.3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.75" thickBot="1" x14ac:dyDescent="0.3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.75" thickBot="1" x14ac:dyDescent="0.3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.75" thickBot="1" x14ac:dyDescent="0.3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.75" thickBot="1" x14ac:dyDescent="0.3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.75" thickBot="1" x14ac:dyDescent="0.3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.75" thickBot="1" x14ac:dyDescent="0.3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.75" thickBot="1" x14ac:dyDescent="0.3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.75" thickBot="1" x14ac:dyDescent="0.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.75" thickBot="1" x14ac:dyDescent="0.3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.75" thickBot="1" x14ac:dyDescent="0.3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.75" thickBot="1" x14ac:dyDescent="0.3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.75" thickBot="1" x14ac:dyDescent="0.3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.75" thickBot="1" x14ac:dyDescent="0.3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.75" thickBot="1" x14ac:dyDescent="0.3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.75" thickBot="1" x14ac:dyDescent="0.3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.75" thickBot="1" x14ac:dyDescent="0.3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.75" thickBot="1" x14ac:dyDescent="0.3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.75" thickBot="1" x14ac:dyDescent="0.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.75" thickBot="1" x14ac:dyDescent="0.3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.75" thickBot="1" x14ac:dyDescent="0.3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.75" thickBot="1" x14ac:dyDescent="0.3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.75" thickBot="1" x14ac:dyDescent="0.3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.75" thickBot="1" x14ac:dyDescent="0.3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.75" thickBot="1" x14ac:dyDescent="0.3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.75" thickBot="1" x14ac:dyDescent="0.3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.75" thickBot="1" x14ac:dyDescent="0.3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.75" thickBot="1" x14ac:dyDescent="0.3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.75" thickBot="1" x14ac:dyDescent="0.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.75" thickBot="1" x14ac:dyDescent="0.3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.75" thickBot="1" x14ac:dyDescent="0.3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.75" thickBot="1" x14ac:dyDescent="0.3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.75" thickBot="1" x14ac:dyDescent="0.3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.75" thickBot="1" x14ac:dyDescent="0.3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.75" thickBot="1" x14ac:dyDescent="0.3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.75" thickBot="1" x14ac:dyDescent="0.3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.75" thickBot="1" x14ac:dyDescent="0.3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.75" thickBot="1" x14ac:dyDescent="0.3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.75" thickBot="1" x14ac:dyDescent="0.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.75" thickBot="1" x14ac:dyDescent="0.3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.75" thickBot="1" x14ac:dyDescent="0.3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.75" thickBot="1" x14ac:dyDescent="0.3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.75" thickBot="1" x14ac:dyDescent="0.3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.75" thickBot="1" x14ac:dyDescent="0.3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.75" thickBot="1" x14ac:dyDescent="0.3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.75" thickBot="1" x14ac:dyDescent="0.3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.75" thickBot="1" x14ac:dyDescent="0.3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.75" thickBot="1" x14ac:dyDescent="0.3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.75" thickBot="1" x14ac:dyDescent="0.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.75" thickBot="1" x14ac:dyDescent="0.3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.75" thickBot="1" x14ac:dyDescent="0.3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.75" thickBot="1" x14ac:dyDescent="0.3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.75" thickBot="1" x14ac:dyDescent="0.3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.75" thickBot="1" x14ac:dyDescent="0.3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.75" thickBot="1" x14ac:dyDescent="0.3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.75" thickBot="1" x14ac:dyDescent="0.3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.75" thickBot="1" x14ac:dyDescent="0.3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.75" thickBot="1" x14ac:dyDescent="0.3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.75" thickBot="1" x14ac:dyDescent="0.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.75" thickBot="1" x14ac:dyDescent="0.3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.75" thickBot="1" x14ac:dyDescent="0.3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.75" thickBot="1" x14ac:dyDescent="0.3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.75" thickBot="1" x14ac:dyDescent="0.3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.75" thickBot="1" x14ac:dyDescent="0.3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.75" thickBot="1" x14ac:dyDescent="0.3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.75" thickBot="1" x14ac:dyDescent="0.3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.75" thickBot="1" x14ac:dyDescent="0.3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.75" thickBot="1" x14ac:dyDescent="0.3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.75" thickBot="1" x14ac:dyDescent="0.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.75" thickBot="1" x14ac:dyDescent="0.3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.75" thickBot="1" x14ac:dyDescent="0.3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.75" thickBot="1" x14ac:dyDescent="0.3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.75" thickBot="1" x14ac:dyDescent="0.3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.75" thickBot="1" x14ac:dyDescent="0.3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.75" thickBot="1" x14ac:dyDescent="0.3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.75" thickBot="1" x14ac:dyDescent="0.3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.75" thickBot="1" x14ac:dyDescent="0.3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.75" thickBot="1" x14ac:dyDescent="0.3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.75" thickBot="1" x14ac:dyDescent="0.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.75" thickBot="1" x14ac:dyDescent="0.3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.75" thickBot="1" x14ac:dyDescent="0.3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.75" thickBot="1" x14ac:dyDescent="0.3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.75" thickBot="1" x14ac:dyDescent="0.3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.75" thickBot="1" x14ac:dyDescent="0.3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.75" thickBot="1" x14ac:dyDescent="0.3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.75" thickBot="1" x14ac:dyDescent="0.3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.75" thickBot="1" x14ac:dyDescent="0.3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.75" thickBot="1" x14ac:dyDescent="0.3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.75" thickBot="1" x14ac:dyDescent="0.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.75" thickBot="1" x14ac:dyDescent="0.3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.75" thickBot="1" x14ac:dyDescent="0.3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.75" thickBot="1" x14ac:dyDescent="0.3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.75" thickBot="1" x14ac:dyDescent="0.3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.75" thickBot="1" x14ac:dyDescent="0.3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.75" thickBot="1" x14ac:dyDescent="0.3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.75" thickBot="1" x14ac:dyDescent="0.3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.75" thickBot="1" x14ac:dyDescent="0.3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.75" thickBot="1" x14ac:dyDescent="0.3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.75" thickBot="1" x14ac:dyDescent="0.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.75" thickBot="1" x14ac:dyDescent="0.3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.75" thickBot="1" x14ac:dyDescent="0.3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.75" thickBot="1" x14ac:dyDescent="0.3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.75" thickBot="1" x14ac:dyDescent="0.3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.75" thickBot="1" x14ac:dyDescent="0.3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.75" thickBot="1" x14ac:dyDescent="0.3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.75" thickBot="1" x14ac:dyDescent="0.3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.75" thickBot="1" x14ac:dyDescent="0.3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.75" thickBot="1" x14ac:dyDescent="0.3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.75" thickBot="1" x14ac:dyDescent="0.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.75" thickBot="1" x14ac:dyDescent="0.3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.75" thickBot="1" x14ac:dyDescent="0.3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.75" thickBot="1" x14ac:dyDescent="0.3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.75" thickBot="1" x14ac:dyDescent="0.3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.75" thickBot="1" x14ac:dyDescent="0.3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.75" thickBot="1" x14ac:dyDescent="0.3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.75" thickBot="1" x14ac:dyDescent="0.3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.75" thickBot="1" x14ac:dyDescent="0.3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.75" thickBot="1" x14ac:dyDescent="0.3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.75" thickBot="1" x14ac:dyDescent="0.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.75" thickBot="1" x14ac:dyDescent="0.3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.75" thickBot="1" x14ac:dyDescent="0.3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.75" thickBot="1" x14ac:dyDescent="0.3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.75" thickBot="1" x14ac:dyDescent="0.3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.75" thickBot="1" x14ac:dyDescent="0.3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.75" thickBot="1" x14ac:dyDescent="0.3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.75" thickBot="1" x14ac:dyDescent="0.3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.75" thickBot="1" x14ac:dyDescent="0.3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.75" thickBot="1" x14ac:dyDescent="0.3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.75" thickBot="1" x14ac:dyDescent="0.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.75" thickBot="1" x14ac:dyDescent="0.3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.75" thickBot="1" x14ac:dyDescent="0.3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.75" thickBot="1" x14ac:dyDescent="0.3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.75" thickBot="1" x14ac:dyDescent="0.3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.75" thickBot="1" x14ac:dyDescent="0.3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5.75" thickBot="1" x14ac:dyDescent="0.3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5.75" thickBot="1" x14ac:dyDescent="0.3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spans="1:26" ht="15.75" thickBot="1" x14ac:dyDescent="0.3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spans="1:26" ht="15.75" thickBot="1" x14ac:dyDescent="0.3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spans="1:26" ht="15.75" thickBot="1" x14ac:dyDescent="0.3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</sheetData>
  <mergeCells count="29">
    <mergeCell ref="N5:N6"/>
    <mergeCell ref="O5:O6"/>
    <mergeCell ref="P5:P6"/>
    <mergeCell ref="Y4:Y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S4:S5"/>
    <mergeCell ref="T4:T5"/>
    <mergeCell ref="U4:U5"/>
    <mergeCell ref="V4:V5"/>
    <mergeCell ref="W4:W5"/>
    <mergeCell ref="X4:X5"/>
    <mergeCell ref="B1:H2"/>
    <mergeCell ref="D3:P3"/>
    <mergeCell ref="B4:F4"/>
    <mergeCell ref="G4:P4"/>
    <mergeCell ref="Q4:Q5"/>
    <mergeCell ref="R4:R5"/>
    <mergeCell ref="J5:J6"/>
    <mergeCell ref="K5:K6"/>
    <mergeCell ref="L5:L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C3B8-CFA8-4DA9-9219-1A0A96AEEDE3}">
  <dimension ref="A1:M10"/>
  <sheetViews>
    <sheetView workbookViewId="0">
      <selection activeCell="A14" sqref="A14"/>
    </sheetView>
  </sheetViews>
  <sheetFormatPr baseColWidth="10" defaultRowHeight="15" x14ac:dyDescent="0.25"/>
  <cols>
    <col min="1" max="1" width="25.5703125" customWidth="1"/>
    <col min="2" max="2" width="18.85546875" bestFit="1" customWidth="1"/>
    <col min="3" max="3" width="18.28515625" bestFit="1" customWidth="1"/>
    <col min="4" max="4" width="14.5703125" bestFit="1" customWidth="1"/>
  </cols>
  <sheetData>
    <row r="1" spans="1:13" ht="21" x14ac:dyDescent="0.35">
      <c r="A1" s="10" t="s">
        <v>1</v>
      </c>
      <c r="B1" s="10"/>
      <c r="C1" s="10"/>
      <c r="D1" s="10"/>
      <c r="E1" s="3"/>
      <c r="F1" s="3"/>
      <c r="G1" s="3"/>
      <c r="H1" s="3"/>
      <c r="I1" s="3"/>
      <c r="J1" s="3"/>
      <c r="K1" s="3"/>
      <c r="L1" s="3"/>
      <c r="M1" s="3"/>
    </row>
    <row r="2" spans="1:13" ht="21" x14ac:dyDescent="0.35">
      <c r="A2" s="10" t="s">
        <v>0</v>
      </c>
      <c r="B2" s="10"/>
      <c r="C2" s="10"/>
      <c r="D2" s="10"/>
      <c r="E2" s="3"/>
      <c r="F2" s="3"/>
      <c r="G2" s="3"/>
      <c r="H2" s="3"/>
      <c r="I2" s="3"/>
      <c r="J2" s="3"/>
      <c r="K2" s="3"/>
      <c r="L2" s="3"/>
      <c r="M2" s="3"/>
    </row>
    <row r="3" spans="1:13" s="1" customFormat="1" x14ac:dyDescent="0.25">
      <c r="A3" s="4" t="s">
        <v>10</v>
      </c>
      <c r="B3" s="4" t="s">
        <v>2</v>
      </c>
      <c r="C3" s="4" t="s">
        <v>3</v>
      </c>
      <c r="D3" s="4" t="s">
        <v>4</v>
      </c>
    </row>
    <row r="4" spans="1:13" s="2" customFormat="1" x14ac:dyDescent="0.25">
      <c r="A4" s="4" t="s">
        <v>11</v>
      </c>
      <c r="B4" s="6">
        <v>44340400</v>
      </c>
      <c r="C4" s="7">
        <v>46557420</v>
      </c>
      <c r="D4" s="8">
        <f>B4+C4</f>
        <v>90897820</v>
      </c>
    </row>
    <row r="5" spans="1:13" x14ac:dyDescent="0.25">
      <c r="A5" s="4" t="s">
        <v>5</v>
      </c>
      <c r="B5" s="5"/>
      <c r="C5" s="5"/>
      <c r="D5" s="5"/>
    </row>
    <row r="6" spans="1:13" x14ac:dyDescent="0.25">
      <c r="A6" s="4" t="s">
        <v>6</v>
      </c>
      <c r="B6" s="9">
        <v>35550806</v>
      </c>
      <c r="C6" s="9">
        <v>35550806</v>
      </c>
      <c r="D6" s="8">
        <f>B6+C6</f>
        <v>71101612</v>
      </c>
    </row>
    <row r="7" spans="1:13" x14ac:dyDescent="0.25">
      <c r="A7" s="4" t="s">
        <v>7</v>
      </c>
      <c r="B7" s="9">
        <v>5178147</v>
      </c>
      <c r="C7" s="9">
        <v>5178147</v>
      </c>
      <c r="D7" s="7">
        <f>B7+C7</f>
        <v>10356294</v>
      </c>
    </row>
    <row r="8" spans="1:13" x14ac:dyDescent="0.25">
      <c r="A8" s="4" t="s">
        <v>8</v>
      </c>
      <c r="B8" s="9">
        <v>1500000</v>
      </c>
      <c r="C8" s="9">
        <v>1500000</v>
      </c>
      <c r="D8" s="7">
        <f>B8+C8</f>
        <v>3000000</v>
      </c>
    </row>
    <row r="9" spans="1:13" x14ac:dyDescent="0.25">
      <c r="A9" s="4" t="s">
        <v>9</v>
      </c>
      <c r="B9" s="8">
        <f>SUM(B6:B8)</f>
        <v>42228953</v>
      </c>
      <c r="C9" s="8">
        <f>SUM(C6:C8)</f>
        <v>42228953</v>
      </c>
      <c r="D9" s="8">
        <f>D6+D7+D8</f>
        <v>84457906</v>
      </c>
    </row>
    <row r="10" spans="1:13" x14ac:dyDescent="0.25">
      <c r="A10" s="4" t="s">
        <v>12</v>
      </c>
      <c r="B10" s="5"/>
      <c r="C10" s="5"/>
      <c r="D10" s="8">
        <f>D4-D9</f>
        <v>6439914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C1FE-665F-4921-BC18-A12342D8F341}">
  <dimension ref="A1:F23"/>
  <sheetViews>
    <sheetView tabSelected="1" zoomScale="106" zoomScaleNormal="106" workbookViewId="0">
      <selection activeCell="A13" sqref="A13"/>
    </sheetView>
  </sheetViews>
  <sheetFormatPr baseColWidth="10" defaultRowHeight="15" x14ac:dyDescent="0.25"/>
  <cols>
    <col min="1" max="1" width="56.85546875" customWidth="1"/>
    <col min="2" max="2" width="15.140625" customWidth="1"/>
    <col min="3" max="3" width="16.140625" customWidth="1"/>
    <col min="4" max="4" width="17.5703125" customWidth="1"/>
    <col min="5" max="5" width="15" customWidth="1"/>
    <col min="6" max="6" width="19.28515625" customWidth="1"/>
  </cols>
  <sheetData>
    <row r="1" spans="1:6" ht="21" x14ac:dyDescent="0.35">
      <c r="A1" s="20" t="s">
        <v>14</v>
      </c>
      <c r="B1" s="20"/>
      <c r="C1" s="20"/>
      <c r="D1" s="20"/>
      <c r="E1" s="20"/>
      <c r="F1" s="20"/>
    </row>
    <row r="2" spans="1:6" ht="21" x14ac:dyDescent="0.35">
      <c r="A2" s="21" t="s">
        <v>15</v>
      </c>
      <c r="B2" s="21"/>
      <c r="C2" s="21"/>
      <c r="D2" s="21"/>
      <c r="E2" s="21"/>
      <c r="F2" s="21"/>
    </row>
    <row r="3" spans="1:6" x14ac:dyDescent="0.25">
      <c r="A3" s="4" t="s">
        <v>10</v>
      </c>
      <c r="B3" s="4" t="s">
        <v>16</v>
      </c>
      <c r="C3" s="4" t="s">
        <v>13</v>
      </c>
      <c r="D3" s="4" t="s">
        <v>17</v>
      </c>
      <c r="E3" s="4" t="s">
        <v>18</v>
      </c>
      <c r="F3" s="13" t="s">
        <v>4</v>
      </c>
    </row>
    <row r="4" spans="1:6" x14ac:dyDescent="0.25">
      <c r="A4" s="4" t="s">
        <v>11</v>
      </c>
      <c r="B4" s="14">
        <v>56901285</v>
      </c>
      <c r="C4" s="14">
        <v>59746349</v>
      </c>
      <c r="D4" s="14">
        <v>62733667</v>
      </c>
      <c r="E4" s="14">
        <v>65870350</v>
      </c>
      <c r="F4" s="18">
        <f>B4+C4+D4+E4</f>
        <v>245251651</v>
      </c>
    </row>
    <row r="5" spans="1:6" x14ac:dyDescent="0.25">
      <c r="A5" s="4" t="s">
        <v>5</v>
      </c>
      <c r="B5" s="12"/>
      <c r="C5" s="12"/>
      <c r="D5" s="12"/>
      <c r="E5" s="12"/>
      <c r="F5" s="12"/>
    </row>
    <row r="6" spans="1:6" x14ac:dyDescent="0.25">
      <c r="A6" s="4" t="s">
        <v>19</v>
      </c>
      <c r="B6" s="14">
        <v>37148006</v>
      </c>
      <c r="C6" s="14">
        <v>37148006</v>
      </c>
      <c r="D6" s="14">
        <v>37148006</v>
      </c>
      <c r="E6" s="14">
        <v>37148006</v>
      </c>
      <c r="F6" s="15">
        <f>B6+C6+D6+E6</f>
        <v>148592024</v>
      </c>
    </row>
    <row r="7" spans="1:6" x14ac:dyDescent="0.25">
      <c r="A7" s="4" t="s">
        <v>7</v>
      </c>
      <c r="B7" s="16">
        <v>5543694</v>
      </c>
      <c r="C7" s="16">
        <v>5543694</v>
      </c>
      <c r="D7" s="16">
        <v>5543694</v>
      </c>
      <c r="E7" s="16">
        <v>5543694</v>
      </c>
      <c r="F7" s="16">
        <f>B7+D7+C7+E7</f>
        <v>22174776</v>
      </c>
    </row>
    <row r="8" spans="1:6" x14ac:dyDescent="0.25">
      <c r="A8" s="4" t="s">
        <v>20</v>
      </c>
      <c r="B8" s="14">
        <v>1500000</v>
      </c>
      <c r="C8" s="14">
        <v>1500000</v>
      </c>
      <c r="D8" s="14">
        <v>1500000</v>
      </c>
      <c r="E8" s="14">
        <v>1500000</v>
      </c>
      <c r="F8" s="14">
        <f>B8+C8+D8+E8</f>
        <v>6000000</v>
      </c>
    </row>
    <row r="9" spans="1:6" s="2" customFormat="1" x14ac:dyDescent="0.25">
      <c r="A9" s="4" t="s">
        <v>21</v>
      </c>
      <c r="B9" s="19">
        <f>2500000*8*2</f>
        <v>40000000</v>
      </c>
      <c r="C9" s="4"/>
      <c r="D9" s="4"/>
      <c r="E9" s="4"/>
      <c r="F9" s="19">
        <v>40000000</v>
      </c>
    </row>
    <row r="10" spans="1:6" x14ac:dyDescent="0.25">
      <c r="A10" s="12"/>
      <c r="B10" s="14"/>
      <c r="C10" s="14"/>
      <c r="D10" s="14"/>
      <c r="E10" s="14"/>
      <c r="F10" s="15"/>
    </row>
    <row r="11" spans="1:6" x14ac:dyDescent="0.25">
      <c r="A11" s="4" t="s">
        <v>9</v>
      </c>
      <c r="B11" s="12"/>
      <c r="C11" s="12"/>
      <c r="D11" s="12"/>
      <c r="E11" s="12"/>
      <c r="F11" s="17">
        <f>SUM(F6:F10)</f>
        <v>216766800</v>
      </c>
    </row>
    <row r="12" spans="1:6" x14ac:dyDescent="0.25">
      <c r="A12" s="4" t="s">
        <v>22</v>
      </c>
      <c r="B12" s="5"/>
      <c r="C12" s="5"/>
      <c r="D12" s="5"/>
      <c r="E12" s="5"/>
      <c r="F12" s="11">
        <f>F4-F11</f>
        <v>28484851</v>
      </c>
    </row>
    <row r="23" ht="11.25" customHeight="1" x14ac:dyDescent="0.25"/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NOMINA 2023</vt:lpstr>
      <vt:lpstr>NOMINA 2024</vt:lpstr>
      <vt:lpstr>FLUJO DE CAJA 2023</vt:lpstr>
      <vt:lpstr>FLUJO DE CAJA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Propietario</cp:lastModifiedBy>
  <dcterms:created xsi:type="dcterms:W3CDTF">2024-10-18T23:15:23Z</dcterms:created>
  <dcterms:modified xsi:type="dcterms:W3CDTF">2024-10-19T19:11:18Z</dcterms:modified>
</cp:coreProperties>
</file>