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codeName="ThisWorkbook" checkCompatibility="1" autoCompressPictures="0"/>
  <mc:AlternateContent xmlns:mc="http://schemas.openxmlformats.org/markup-compatibility/2006">
    <mc:Choice Requires="x15">
      <x15ac:absPath xmlns:x15ac="http://schemas.microsoft.com/office/spreadsheetml/2010/11/ac" url="D:\Documents\LPERFUM\PROVEEDORES\Pharbiolab\"/>
    </mc:Choice>
  </mc:AlternateContent>
  <xr:revisionPtr revIDLastSave="0" documentId="13_ncr:1_{C8334F83-6CB9-4922-BB7D-16FA749771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s PRUEBA VTAS" sheetId="36" r:id="rId1"/>
    <sheet name="Analisis Margen" sheetId="32" r:id="rId2"/>
    <sheet name="TOP VENTAS" sheetId="35" r:id="rId3"/>
    <sheet name="Distribuidor" sheetId="34" r:id="rId4"/>
    <sheet name="Full Inventario" sheetId="33" r:id="rId5"/>
  </sheets>
  <definedNames>
    <definedName name="_xlnm._FilterDatabase" localSheetId="1" hidden="1">'Analisis Margen'!$A$6:$P$423</definedName>
    <definedName name="_xlnm._FilterDatabase" localSheetId="4" hidden="1">'Full Inventario'!$A$6:$J$6</definedName>
    <definedName name="_xlnm.Print_Area" localSheetId="1">'Analisis Margen'!$A$1:$F$424</definedName>
    <definedName name="_xlnm.Print_Area" localSheetId="4">'Full Inventario'!$A$1:$E$534</definedName>
    <definedName name="_xlnm.Print_Titles" localSheetId="1">'Analisis Margen'!$6:$6</definedName>
    <definedName name="_xlnm.Print_Titles" localSheetId="4">'Full Inventario'!$6:$6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32" i="36" l="1"/>
  <c r="H32" i="36"/>
  <c r="O419" i="32"/>
  <c r="O418" i="32"/>
  <c r="O361" i="32"/>
  <c r="O341" i="32"/>
  <c r="O340" i="32"/>
  <c r="O199" i="32"/>
  <c r="O198" i="32"/>
  <c r="O188" i="32"/>
  <c r="O174" i="32"/>
  <c r="O164" i="32"/>
  <c r="O101" i="32"/>
  <c r="O100" i="32"/>
  <c r="O74" i="32"/>
  <c r="O71" i="32"/>
  <c r="O70" i="32"/>
  <c r="O47" i="32"/>
  <c r="N413" i="32"/>
  <c r="O413" i="32" s="1"/>
  <c r="N277" i="32"/>
  <c r="O277" i="32" s="1"/>
  <c r="N49" i="32"/>
  <c r="O49" i="32" s="1"/>
  <c r="N48" i="32"/>
  <c r="O48" i="32" s="1"/>
  <c r="N45" i="32"/>
  <c r="O45" i="32" s="1"/>
  <c r="N35" i="32"/>
  <c r="O35" i="32" s="1"/>
  <c r="N33" i="32"/>
  <c r="O33" i="32" s="1"/>
  <c r="N31" i="32"/>
  <c r="O31" i="32" s="1"/>
  <c r="N30" i="32"/>
  <c r="O30" i="32" s="1"/>
  <c r="N29" i="32"/>
  <c r="O29" i="32" s="1"/>
  <c r="N26" i="32"/>
  <c r="O26" i="32" s="1"/>
  <c r="N23" i="32"/>
  <c r="O23" i="32" s="1"/>
  <c r="N19" i="32"/>
  <c r="O19" i="32" s="1"/>
  <c r="O412" i="32"/>
  <c r="O394" i="32"/>
  <c r="O321" i="32"/>
  <c r="O294" i="32"/>
  <c r="O285" i="32"/>
  <c r="O284" i="32"/>
  <c r="O282" i="32"/>
  <c r="O276" i="32"/>
  <c r="O275" i="32"/>
  <c r="O268" i="32"/>
  <c r="O245" i="32"/>
  <c r="O170" i="32"/>
  <c r="O160" i="32"/>
  <c r="O157" i="32"/>
  <c r="O153" i="32"/>
  <c r="O147" i="32"/>
  <c r="O137" i="32"/>
  <c r="O128" i="32"/>
  <c r="O116" i="32"/>
  <c r="O82" i="32"/>
  <c r="A297" i="32"/>
  <c r="A298" i="32" s="1"/>
  <c r="A3" i="35"/>
  <c r="A4" i="35" s="1"/>
  <c r="A5" i="35" s="1"/>
  <c r="A6" i="35" s="1"/>
  <c r="A7" i="35" s="1"/>
  <c r="A8" i="35" s="1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A24" i="35" s="1"/>
  <c r="A25" i="35" s="1"/>
  <c r="A26" i="35" s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J297" i="32"/>
  <c r="K297" i="32" s="1"/>
  <c r="J298" i="32"/>
  <c r="K298" i="32" s="1"/>
  <c r="J132" i="32"/>
  <c r="K132" i="32" s="1"/>
  <c r="J299" i="32"/>
  <c r="K299" i="32" s="1"/>
  <c r="J300" i="32"/>
  <c r="K300" i="32" s="1"/>
  <c r="J301" i="32"/>
  <c r="K301" i="32" s="1"/>
  <c r="J302" i="32"/>
  <c r="K302" i="32" s="1"/>
  <c r="J303" i="32"/>
  <c r="K303" i="32" s="1"/>
  <c r="J304" i="32"/>
  <c r="K304" i="32" s="1"/>
  <c r="J305" i="32"/>
  <c r="K305" i="32" s="1"/>
  <c r="J306" i="32"/>
  <c r="K306" i="32" s="1"/>
  <c r="J307" i="32"/>
  <c r="K307" i="32" s="1"/>
  <c r="J308" i="32"/>
  <c r="K308" i="32" s="1"/>
  <c r="J309" i="32"/>
  <c r="K309" i="32" s="1"/>
  <c r="J310" i="32"/>
  <c r="K310" i="32" s="1"/>
  <c r="J311" i="32"/>
  <c r="K311" i="32" s="1"/>
  <c r="J312" i="32"/>
  <c r="K312" i="32" s="1"/>
  <c r="J239" i="32"/>
  <c r="K239" i="32" s="1"/>
  <c r="J313" i="32"/>
  <c r="K313" i="32" s="1"/>
  <c r="J314" i="32"/>
  <c r="K314" i="32" s="1"/>
  <c r="J315" i="32"/>
  <c r="K315" i="32" s="1"/>
  <c r="J316" i="32"/>
  <c r="K316" i="32" s="1"/>
  <c r="J317" i="32"/>
  <c r="K317" i="32" s="1"/>
  <c r="J202" i="32"/>
  <c r="K202" i="32" s="1"/>
  <c r="J146" i="32"/>
  <c r="K146" i="32" s="1"/>
  <c r="J203" i="32"/>
  <c r="K203" i="32" s="1"/>
  <c r="J212" i="32"/>
  <c r="K212" i="32" s="1"/>
  <c r="J213" i="32"/>
  <c r="K213" i="32" s="1"/>
  <c r="J204" i="32"/>
  <c r="K204" i="32" s="1"/>
  <c r="J177" i="32"/>
  <c r="K177" i="32" s="1"/>
  <c r="J178" i="32"/>
  <c r="K178" i="32" s="1"/>
  <c r="J179" i="32"/>
  <c r="K179" i="32" s="1"/>
  <c r="J180" i="32"/>
  <c r="K180" i="32" s="1"/>
  <c r="J181" i="32"/>
  <c r="K181" i="32" s="1"/>
  <c r="J182" i="32"/>
  <c r="K182" i="32" s="1"/>
  <c r="J183" i="32"/>
  <c r="K183" i="32" s="1"/>
  <c r="J184" i="32"/>
  <c r="K184" i="32" s="1"/>
  <c r="J185" i="32"/>
  <c r="K185" i="32" s="1"/>
  <c r="J186" i="32"/>
  <c r="K186" i="32" s="1"/>
  <c r="J123" i="32"/>
  <c r="K123" i="32" s="1"/>
  <c r="J232" i="32"/>
  <c r="K232" i="32" s="1"/>
  <c r="J68" i="32"/>
  <c r="K68" i="32" s="1"/>
  <c r="J245" i="32"/>
  <c r="K245" i="32" s="1"/>
  <c r="J187" i="32"/>
  <c r="K187" i="32" s="1"/>
  <c r="J397" i="32"/>
  <c r="K397" i="32" s="1"/>
  <c r="J260" i="32"/>
  <c r="K260" i="32" s="1"/>
  <c r="J349" i="32"/>
  <c r="K349" i="32" s="1"/>
  <c r="J345" i="32"/>
  <c r="K345" i="32" s="1"/>
  <c r="J346" i="32"/>
  <c r="K346" i="32" s="1"/>
  <c r="J240" i="32"/>
  <c r="K240" i="32" s="1"/>
  <c r="J214" i="32"/>
  <c r="K214" i="32" s="1"/>
  <c r="J156" i="32"/>
  <c r="K156" i="32" s="1"/>
  <c r="J347" i="32"/>
  <c r="K347" i="32" s="1"/>
  <c r="J246" i="32"/>
  <c r="K246" i="32" s="1"/>
  <c r="J247" i="32"/>
  <c r="K247" i="32" s="1"/>
  <c r="J248" i="32"/>
  <c r="K248" i="32" s="1"/>
  <c r="J249" i="32"/>
  <c r="K249" i="32" s="1"/>
  <c r="J250" i="32"/>
  <c r="K250" i="32" s="1"/>
  <c r="J370" i="32"/>
  <c r="K370" i="32" s="1"/>
  <c r="J227" i="32"/>
  <c r="K227" i="32" s="1"/>
  <c r="J392" i="32"/>
  <c r="K392" i="32" s="1"/>
  <c r="J398" i="32"/>
  <c r="K398" i="32" s="1"/>
  <c r="J108" i="32"/>
  <c r="K108" i="32" s="1"/>
  <c r="J383" i="32"/>
  <c r="K383" i="32" s="1"/>
  <c r="J261" i="32"/>
  <c r="K261" i="32" s="1"/>
  <c r="J371" i="32"/>
  <c r="K371" i="32" s="1"/>
  <c r="J169" i="32"/>
  <c r="K169" i="32" s="1"/>
  <c r="J282" i="32"/>
  <c r="K282" i="32" s="1"/>
  <c r="J283" i="32"/>
  <c r="K283" i="32" s="1"/>
  <c r="J170" i="32"/>
  <c r="K170" i="32" s="1"/>
  <c r="J284" i="32"/>
  <c r="K284" i="32" s="1"/>
  <c r="J285" i="32"/>
  <c r="K285" i="32" s="1"/>
  <c r="J109" i="32"/>
  <c r="K109" i="32" s="1"/>
  <c r="J124" i="32"/>
  <c r="K124" i="32" s="1"/>
  <c r="J262" i="32"/>
  <c r="K262" i="32" s="1"/>
  <c r="J84" i="32"/>
  <c r="K84" i="32" s="1"/>
  <c r="J138" i="32"/>
  <c r="K138" i="32" s="1"/>
  <c r="J233" i="32"/>
  <c r="K233" i="32" s="1"/>
  <c r="J139" i="32"/>
  <c r="K139" i="32" s="1"/>
  <c r="J318" i="32"/>
  <c r="K318" i="32" s="1"/>
  <c r="J319" i="32"/>
  <c r="K319" i="32" s="1"/>
  <c r="J263" i="32"/>
  <c r="K263" i="32" s="1"/>
  <c r="J264" i="32"/>
  <c r="K264" i="32" s="1"/>
  <c r="J157" i="32"/>
  <c r="K157" i="32" s="1"/>
  <c r="J265" i="32"/>
  <c r="K265" i="32" s="1"/>
  <c r="J384" i="32"/>
  <c r="K384" i="32" s="1"/>
  <c r="J359" i="32"/>
  <c r="K359" i="32" s="1"/>
  <c r="J360" i="32"/>
  <c r="K360" i="32" s="1"/>
  <c r="J110" i="32"/>
  <c r="K110" i="32" s="1"/>
  <c r="J372" i="32"/>
  <c r="K372" i="32" s="1"/>
  <c r="J266" i="32"/>
  <c r="K266" i="32" s="1"/>
  <c r="J111" i="32"/>
  <c r="K111" i="32" s="1"/>
  <c r="J267" i="32"/>
  <c r="K267" i="32" s="1"/>
  <c r="J77" i="32"/>
  <c r="K77" i="32" s="1"/>
  <c r="J268" i="32"/>
  <c r="K268" i="32" s="1"/>
  <c r="J12" i="32"/>
  <c r="K12" i="32" s="1"/>
  <c r="J58" i="32"/>
  <c r="K58" i="32" s="1"/>
  <c r="J133" i="32"/>
  <c r="K133" i="32" s="1"/>
  <c r="J8" i="32"/>
  <c r="K8" i="32" s="1"/>
  <c r="J251" i="32"/>
  <c r="K251" i="32" s="1"/>
  <c r="J147" i="32"/>
  <c r="K147" i="32" s="1"/>
  <c r="J43" i="32"/>
  <c r="K43" i="32" s="1"/>
  <c r="J215" i="32"/>
  <c r="K215" i="32" s="1"/>
  <c r="J216" i="32"/>
  <c r="K216" i="32" s="1"/>
  <c r="J217" i="32"/>
  <c r="K217" i="32" s="1"/>
  <c r="J361" i="32"/>
  <c r="K361" i="32" s="1"/>
  <c r="J252" i="32"/>
  <c r="K252" i="32" s="1"/>
  <c r="J218" i="32"/>
  <c r="K218" i="32" s="1"/>
  <c r="J373" i="32"/>
  <c r="K373" i="32" s="1"/>
  <c r="J374" i="32"/>
  <c r="K374" i="32" s="1"/>
  <c r="J350" i="32"/>
  <c r="K350" i="32" s="1"/>
  <c r="J269" i="32"/>
  <c r="K269" i="32" s="1"/>
  <c r="J393" i="32"/>
  <c r="K393" i="32" s="1"/>
  <c r="J394" i="32"/>
  <c r="K394" i="32" s="1"/>
  <c r="J219" i="32"/>
  <c r="K219" i="32" s="1"/>
  <c r="J116" i="32"/>
  <c r="K116" i="32" s="1"/>
  <c r="J220" i="32"/>
  <c r="K220" i="32" s="1"/>
  <c r="J241" i="32"/>
  <c r="K241" i="32" s="1"/>
  <c r="J158" i="32"/>
  <c r="K158" i="32" s="1"/>
  <c r="J210" i="32"/>
  <c r="K210" i="32" s="1"/>
  <c r="J164" i="32"/>
  <c r="K164" i="32" s="1"/>
  <c r="J159" i="32"/>
  <c r="K159" i="32" s="1"/>
  <c r="J134" i="32"/>
  <c r="K134" i="32" s="1"/>
  <c r="J125" i="32"/>
  <c r="K125" i="32" s="1"/>
  <c r="J100" i="32"/>
  <c r="K100" i="32" s="1"/>
  <c r="J101" i="32"/>
  <c r="K101" i="32" s="1"/>
  <c r="J82" i="32"/>
  <c r="K82" i="32" s="1"/>
  <c r="J165" i="32"/>
  <c r="K165" i="32" s="1"/>
  <c r="J188" i="32"/>
  <c r="K188" i="32" s="1"/>
  <c r="J85" i="32"/>
  <c r="K85" i="32" s="1"/>
  <c r="J63" i="32"/>
  <c r="K63" i="32" s="1"/>
  <c r="J189" i="32"/>
  <c r="K189" i="32" s="1"/>
  <c r="J135" i="32"/>
  <c r="K135" i="32" s="1"/>
  <c r="J78" i="32"/>
  <c r="K78" i="32" s="1"/>
  <c r="J171" i="32"/>
  <c r="K171" i="32" s="1"/>
  <c r="J102" i="32"/>
  <c r="K102" i="32" s="1"/>
  <c r="J96" i="32"/>
  <c r="K96" i="32" s="1"/>
  <c r="J103" i="32"/>
  <c r="K103" i="32" s="1"/>
  <c r="J32" i="32"/>
  <c r="K32" i="32" s="1"/>
  <c r="J141" i="32"/>
  <c r="K141" i="32" s="1"/>
  <c r="J417" i="32"/>
  <c r="K417" i="32" s="1"/>
  <c r="J126" i="32"/>
  <c r="K126" i="32" s="1"/>
  <c r="J104" i="32"/>
  <c r="K104" i="32" s="1"/>
  <c r="J69" i="32"/>
  <c r="K69" i="32" s="1"/>
  <c r="J127" i="32"/>
  <c r="K127" i="32" s="1"/>
  <c r="J24" i="32"/>
  <c r="K24" i="32" s="1"/>
  <c r="J57" i="32"/>
  <c r="K57" i="32" s="1"/>
  <c r="J46" i="32"/>
  <c r="K46" i="32" s="1"/>
  <c r="J13" i="32"/>
  <c r="K13" i="32" s="1"/>
  <c r="J22" i="32"/>
  <c r="K22" i="32" s="1"/>
  <c r="J47" i="32"/>
  <c r="K47" i="32" s="1"/>
  <c r="J14" i="32"/>
  <c r="K14" i="32" s="1"/>
  <c r="J16" i="32"/>
  <c r="K16" i="32" s="1"/>
  <c r="J17" i="32"/>
  <c r="K17" i="32" s="1"/>
  <c r="J18" i="32"/>
  <c r="K18" i="32" s="1"/>
  <c r="J270" i="32"/>
  <c r="K270" i="32" s="1"/>
  <c r="J320" i="32"/>
  <c r="K320" i="32" s="1"/>
  <c r="J321" i="32"/>
  <c r="K321" i="32" s="1"/>
  <c r="J211" i="32"/>
  <c r="K211" i="32" s="1"/>
  <c r="J160" i="32"/>
  <c r="K160" i="32" s="1"/>
  <c r="J375" i="32"/>
  <c r="K375" i="32" s="1"/>
  <c r="J228" i="32"/>
  <c r="K228" i="32" s="1"/>
  <c r="J66" i="32"/>
  <c r="K66" i="32" s="1"/>
  <c r="J322" i="32"/>
  <c r="K322" i="32" s="1"/>
  <c r="J234" i="32"/>
  <c r="K234" i="32" s="1"/>
  <c r="J399" i="32"/>
  <c r="K399" i="32" s="1"/>
  <c r="J112" i="32"/>
  <c r="K112" i="32" s="1"/>
  <c r="J376" i="32"/>
  <c r="K376" i="32" s="1"/>
  <c r="J142" i="32"/>
  <c r="K142" i="32" s="1"/>
  <c r="J253" i="32"/>
  <c r="K253" i="32" s="1"/>
  <c r="J86" i="32"/>
  <c r="K86" i="32" s="1"/>
  <c r="J385" i="32"/>
  <c r="K385" i="32" s="1"/>
  <c r="J402" i="32"/>
  <c r="K402" i="32" s="1"/>
  <c r="J386" i="32"/>
  <c r="K386" i="32" s="1"/>
  <c r="J403" i="32"/>
  <c r="K403" i="32" s="1"/>
  <c r="J387" i="32"/>
  <c r="K387" i="32" s="1"/>
  <c r="J404" i="32"/>
  <c r="K404" i="32" s="1"/>
  <c r="J388" i="32"/>
  <c r="K388" i="32" s="1"/>
  <c r="J405" i="32"/>
  <c r="K405" i="32" s="1"/>
  <c r="J389" i="32"/>
  <c r="K389" i="32" s="1"/>
  <c r="J406" i="32"/>
  <c r="K406" i="32" s="1"/>
  <c r="J407" i="32"/>
  <c r="K407" i="32" s="1"/>
  <c r="J190" i="32"/>
  <c r="K190" i="32" s="1"/>
  <c r="J191" i="32"/>
  <c r="K191" i="32" s="1"/>
  <c r="J323" i="32"/>
  <c r="K323" i="32" s="1"/>
  <c r="J324" i="32"/>
  <c r="K324" i="32" s="1"/>
  <c r="J325" i="32"/>
  <c r="K325" i="32" s="1"/>
  <c r="J326" i="32"/>
  <c r="K326" i="32" s="1"/>
  <c r="J327" i="32"/>
  <c r="K327" i="32" s="1"/>
  <c r="J328" i="32"/>
  <c r="K328" i="32" s="1"/>
  <c r="J329" i="32"/>
  <c r="K329" i="32" s="1"/>
  <c r="J330" i="32"/>
  <c r="K330" i="32" s="1"/>
  <c r="J331" i="32"/>
  <c r="K331" i="32" s="1"/>
  <c r="J332" i="32"/>
  <c r="K332" i="32" s="1"/>
  <c r="J333" i="32"/>
  <c r="K333" i="32" s="1"/>
  <c r="J334" i="32"/>
  <c r="K334" i="32" s="1"/>
  <c r="J254" i="32"/>
  <c r="K254" i="32" s="1"/>
  <c r="J335" i="32"/>
  <c r="K335" i="32" s="1"/>
  <c r="J336" i="32"/>
  <c r="K336" i="32" s="1"/>
  <c r="J337" i="32"/>
  <c r="K337" i="32" s="1"/>
  <c r="J338" i="32"/>
  <c r="K338" i="32" s="1"/>
  <c r="J339" i="32"/>
  <c r="K339" i="32" s="1"/>
  <c r="J340" i="32"/>
  <c r="K340" i="32" s="1"/>
  <c r="P340" i="32" s="1"/>
  <c r="J341" i="32"/>
  <c r="K341" i="32" s="1"/>
  <c r="J342" i="32"/>
  <c r="K342" i="32" s="1"/>
  <c r="J343" i="32"/>
  <c r="K343" i="32" s="1"/>
  <c r="J192" i="32"/>
  <c r="K192" i="32" s="1"/>
  <c r="J235" i="32"/>
  <c r="K235" i="32" s="1"/>
  <c r="J193" i="32"/>
  <c r="K193" i="32" s="1"/>
  <c r="J194" i="32"/>
  <c r="K194" i="32" s="1"/>
  <c r="J195" i="32"/>
  <c r="K195" i="32" s="1"/>
  <c r="J105" i="32"/>
  <c r="K105" i="32" s="1"/>
  <c r="J136" i="32"/>
  <c r="K136" i="32" s="1"/>
  <c r="J148" i="32"/>
  <c r="K148" i="32" s="1"/>
  <c r="J161" i="32"/>
  <c r="K161" i="32" s="1"/>
  <c r="J236" i="32"/>
  <c r="K236" i="32" s="1"/>
  <c r="J44" i="32"/>
  <c r="K44" i="32" s="1"/>
  <c r="J20" i="32"/>
  <c r="K20" i="32" s="1"/>
  <c r="J25" i="32"/>
  <c r="K25" i="32" s="1"/>
  <c r="J113" i="32"/>
  <c r="K113" i="32" s="1"/>
  <c r="J117" i="32"/>
  <c r="K117" i="32" s="1"/>
  <c r="J118" i="32"/>
  <c r="K118" i="32" s="1"/>
  <c r="J119" i="32"/>
  <c r="K119" i="32" s="1"/>
  <c r="J97" i="32"/>
  <c r="K97" i="32" s="1"/>
  <c r="J79" i="32"/>
  <c r="K79" i="32" s="1"/>
  <c r="J80" i="32"/>
  <c r="K80" i="32" s="1"/>
  <c r="J128" i="32"/>
  <c r="K128" i="32" s="1"/>
  <c r="J129" i="32"/>
  <c r="K129" i="32" s="1"/>
  <c r="J255" i="32"/>
  <c r="K255" i="32" s="1"/>
  <c r="J120" i="32"/>
  <c r="K120" i="32" s="1"/>
  <c r="J121" i="32"/>
  <c r="K121" i="32" s="1"/>
  <c r="J205" i="32"/>
  <c r="K205" i="32" s="1"/>
  <c r="J206" i="32"/>
  <c r="K206" i="32" s="1"/>
  <c r="J27" i="32"/>
  <c r="K27" i="32" s="1"/>
  <c r="J88" i="32"/>
  <c r="K88" i="32" s="1"/>
  <c r="J39" i="32"/>
  <c r="K39" i="32" s="1"/>
  <c r="J21" i="32"/>
  <c r="K21" i="32" s="1"/>
  <c r="J89" i="32"/>
  <c r="K89" i="32" s="1"/>
  <c r="J172" i="32"/>
  <c r="K172" i="32" s="1"/>
  <c r="J90" i="32"/>
  <c r="K90" i="32" s="1"/>
  <c r="J207" i="32"/>
  <c r="K207" i="32" s="1"/>
  <c r="J15" i="32"/>
  <c r="K15" i="32" s="1"/>
  <c r="J9" i="32"/>
  <c r="K9" i="32" s="1"/>
  <c r="J34" i="32"/>
  <c r="K34" i="32" s="1"/>
  <c r="J28" i="32"/>
  <c r="K28" i="32" s="1"/>
  <c r="J106" i="32"/>
  <c r="K106" i="32" s="1"/>
  <c r="J208" i="32"/>
  <c r="K208" i="32" s="1"/>
  <c r="J91" i="32"/>
  <c r="K91" i="32" s="1"/>
  <c r="J196" i="32"/>
  <c r="K196" i="32" s="1"/>
  <c r="J351" i="32"/>
  <c r="K351" i="32" s="1"/>
  <c r="J400" i="32"/>
  <c r="K400" i="32" s="1"/>
  <c r="J401" i="32"/>
  <c r="K401" i="32" s="1"/>
  <c r="J390" i="32"/>
  <c r="K390" i="32" s="1"/>
  <c r="J52" i="32"/>
  <c r="K52" i="32" s="1"/>
  <c r="J286" i="32"/>
  <c r="K286" i="32" s="1"/>
  <c r="J229" i="32"/>
  <c r="K229" i="32" s="1"/>
  <c r="J271" i="32"/>
  <c r="K271" i="32" s="1"/>
  <c r="J143" i="32"/>
  <c r="K143" i="32" s="1"/>
  <c r="J11" i="32"/>
  <c r="K11" i="32" s="1"/>
  <c r="J377" i="32"/>
  <c r="K377" i="32" s="1"/>
  <c r="J378" i="32"/>
  <c r="K378" i="32" s="1"/>
  <c r="J209" i="32"/>
  <c r="K209" i="32" s="1"/>
  <c r="J230" i="32"/>
  <c r="K230" i="32" s="1"/>
  <c r="J64" i="32"/>
  <c r="K64" i="32" s="1"/>
  <c r="J140" i="32"/>
  <c r="K140" i="32" s="1"/>
  <c r="J10" i="32"/>
  <c r="K10" i="32" s="1"/>
  <c r="J418" i="32"/>
  <c r="K418" i="32" s="1"/>
  <c r="J197" i="32"/>
  <c r="K197" i="32" s="1"/>
  <c r="J98" i="32"/>
  <c r="K98" i="32" s="1"/>
  <c r="J99" i="32"/>
  <c r="K99" i="32" s="1"/>
  <c r="J7" i="32"/>
  <c r="K7" i="32" s="1"/>
  <c r="J137" i="32"/>
  <c r="K137" i="32" s="1"/>
  <c r="J419" i="32"/>
  <c r="K419" i="32" s="1"/>
  <c r="J162" i="32"/>
  <c r="K162" i="32" s="1"/>
  <c r="J87" i="32"/>
  <c r="K87" i="32" s="1"/>
  <c r="J420" i="32"/>
  <c r="K420" i="32" s="1"/>
  <c r="J408" i="32"/>
  <c r="K408" i="32" s="1"/>
  <c r="J415" i="32"/>
  <c r="K415" i="32" s="1"/>
  <c r="J379" i="32"/>
  <c r="K379" i="32" s="1"/>
  <c r="J395" i="32"/>
  <c r="K395" i="32" s="1"/>
  <c r="J409" i="32"/>
  <c r="K409" i="32" s="1"/>
  <c r="J411" i="32"/>
  <c r="K411" i="32" s="1"/>
  <c r="J414" i="32"/>
  <c r="K414" i="32" s="1"/>
  <c r="J114" i="32"/>
  <c r="K114" i="32" s="1"/>
  <c r="J416" i="32"/>
  <c r="K416" i="32" s="1"/>
  <c r="J421" i="32"/>
  <c r="K421" i="32" s="1"/>
  <c r="J422" i="32"/>
  <c r="K422" i="32" s="1"/>
  <c r="J144" i="32"/>
  <c r="K144" i="32" s="1"/>
  <c r="J145" i="32"/>
  <c r="K145" i="32" s="1"/>
  <c r="J115" i="32"/>
  <c r="K115" i="32" s="1"/>
  <c r="J221" i="32"/>
  <c r="K221" i="32" s="1"/>
  <c r="J149" i="32"/>
  <c r="K149" i="32" s="1"/>
  <c r="J107" i="32"/>
  <c r="K107" i="32" s="1"/>
  <c r="J272" i="32"/>
  <c r="K272" i="32" s="1"/>
  <c r="J273" i="32"/>
  <c r="K273" i="32" s="1"/>
  <c r="J274" i="32"/>
  <c r="K274" i="32" s="1"/>
  <c r="J287" i="32"/>
  <c r="K287" i="32" s="1"/>
  <c r="J231" i="32"/>
  <c r="K231" i="32" s="1"/>
  <c r="J380" i="32"/>
  <c r="K380" i="32" s="1"/>
  <c r="J288" i="32"/>
  <c r="K288" i="32" s="1"/>
  <c r="J344" i="32"/>
  <c r="K344" i="32" s="1"/>
  <c r="J275" i="32"/>
  <c r="K275" i="32" s="1"/>
  <c r="J381" i="32"/>
  <c r="K381" i="32" s="1"/>
  <c r="J276" i="32"/>
  <c r="K276" i="32" s="1"/>
  <c r="J382" i="32"/>
  <c r="K382" i="32" s="1"/>
  <c r="J289" i="32"/>
  <c r="K289" i="32" s="1"/>
  <c r="J290" i="32"/>
  <c r="K290" i="32" s="1"/>
  <c r="J222" i="32"/>
  <c r="K222" i="32" s="1"/>
  <c r="J92" i="32"/>
  <c r="K92" i="32" s="1"/>
  <c r="J362" i="32"/>
  <c r="K362" i="32" s="1"/>
  <c r="J163" i="32"/>
  <c r="K163" i="32" s="1"/>
  <c r="J83" i="32"/>
  <c r="K83" i="32" s="1"/>
  <c r="J150" i="32"/>
  <c r="K150" i="32" s="1"/>
  <c r="J291" i="32"/>
  <c r="K291" i="32" s="1"/>
  <c r="J223" i="32"/>
  <c r="K223" i="32" s="1"/>
  <c r="J173" i="32"/>
  <c r="K173" i="32" s="1"/>
  <c r="J277" i="32"/>
  <c r="K277" i="32" s="1"/>
  <c r="J48" i="32"/>
  <c r="K48" i="32" s="1"/>
  <c r="J49" i="32"/>
  <c r="K49" i="32" s="1"/>
  <c r="J19" i="32"/>
  <c r="K19" i="32" s="1"/>
  <c r="J26" i="32"/>
  <c r="K26" i="32" s="1"/>
  <c r="J33" i="32"/>
  <c r="K33" i="32" s="1"/>
  <c r="J35" i="32"/>
  <c r="K35" i="32" s="1"/>
  <c r="J29" i="32"/>
  <c r="K29" i="32" s="1"/>
  <c r="J23" i="32"/>
  <c r="K23" i="32" s="1"/>
  <c r="J45" i="32"/>
  <c r="K45" i="32" s="1"/>
  <c r="J30" i="32"/>
  <c r="K30" i="32" s="1"/>
  <c r="J31" i="32"/>
  <c r="K31" i="32" s="1"/>
  <c r="J423" i="32"/>
  <c r="K423" i="32" s="1"/>
  <c r="J278" i="32"/>
  <c r="K278" i="32" s="1"/>
  <c r="J242" i="32"/>
  <c r="K242" i="32" s="1"/>
  <c r="J151" i="32"/>
  <c r="K151" i="32" s="1"/>
  <c r="J152" i="32"/>
  <c r="K152" i="32" s="1"/>
  <c r="J348" i="32"/>
  <c r="K348" i="32" s="1"/>
  <c r="J363" i="32"/>
  <c r="K363" i="32" s="1"/>
  <c r="J279" i="32"/>
  <c r="K279" i="32" s="1"/>
  <c r="J174" i="32"/>
  <c r="K174" i="32" s="1"/>
  <c r="J67" i="32"/>
  <c r="K67" i="32" s="1"/>
  <c r="J198" i="32"/>
  <c r="K198" i="32" s="1"/>
  <c r="J70" i="32"/>
  <c r="K70" i="32" s="1"/>
  <c r="J71" i="32"/>
  <c r="K71" i="32" s="1"/>
  <c r="J199" i="32"/>
  <c r="K199" i="32" s="1"/>
  <c r="J72" i="32"/>
  <c r="K72" i="32" s="1"/>
  <c r="J73" i="32"/>
  <c r="K73" i="32" s="1"/>
  <c r="J74" i="32"/>
  <c r="K74" i="32" s="1"/>
  <c r="P74" i="32" s="1"/>
  <c r="J153" i="32"/>
  <c r="K153" i="32" s="1"/>
  <c r="J62" i="32"/>
  <c r="K62" i="32" s="1"/>
  <c r="J352" i="32"/>
  <c r="K352" i="32" s="1"/>
  <c r="J353" i="32"/>
  <c r="K353" i="32" s="1"/>
  <c r="J354" i="32"/>
  <c r="K354" i="32" s="1"/>
  <c r="J355" i="32"/>
  <c r="K355" i="32" s="1"/>
  <c r="J356" i="32"/>
  <c r="K356" i="32" s="1"/>
  <c r="J357" i="32"/>
  <c r="K357" i="32" s="1"/>
  <c r="J364" i="32"/>
  <c r="K364" i="32" s="1"/>
  <c r="J365" i="32"/>
  <c r="K365" i="32" s="1"/>
  <c r="J366" i="32"/>
  <c r="K366" i="32" s="1"/>
  <c r="J367" i="32"/>
  <c r="K367" i="32" s="1"/>
  <c r="J166" i="32"/>
  <c r="K166" i="32" s="1"/>
  <c r="J256" i="32"/>
  <c r="K256" i="32" s="1"/>
  <c r="J93" i="32"/>
  <c r="K93" i="32" s="1"/>
  <c r="J257" i="32"/>
  <c r="K257" i="32" s="1"/>
  <c r="J258" i="32"/>
  <c r="K258" i="32" s="1"/>
  <c r="J167" i="32"/>
  <c r="K167" i="32" s="1"/>
  <c r="J224" i="32"/>
  <c r="K224" i="32" s="1"/>
  <c r="J237" i="32"/>
  <c r="K237" i="32" s="1"/>
  <c r="J37" i="32"/>
  <c r="K37" i="32" s="1"/>
  <c r="J292" i="32"/>
  <c r="K292" i="32" s="1"/>
  <c r="J368" i="32"/>
  <c r="K368" i="32" s="1"/>
  <c r="J369" i="32"/>
  <c r="K369" i="32" s="1"/>
  <c r="J358" i="32"/>
  <c r="K358" i="32" s="1"/>
  <c r="J243" i="32"/>
  <c r="K243" i="32" s="1"/>
  <c r="J225" i="32"/>
  <c r="K225" i="32" s="1"/>
  <c r="J280" i="32"/>
  <c r="K280" i="32" s="1"/>
  <c r="J281" i="32"/>
  <c r="K281" i="32" s="1"/>
  <c r="J168" i="32"/>
  <c r="K168" i="32" s="1"/>
  <c r="J130" i="32"/>
  <c r="K130" i="32" s="1"/>
  <c r="J175" i="32"/>
  <c r="K175" i="32" s="1"/>
  <c r="J154" i="32"/>
  <c r="K154" i="32" s="1"/>
  <c r="J293" i="32"/>
  <c r="K293" i="32" s="1"/>
  <c r="J294" i="32"/>
  <c r="K294" i="32" s="1"/>
  <c r="J94" i="32"/>
  <c r="K94" i="32" s="1"/>
  <c r="J75" i="32"/>
  <c r="K75" i="32" s="1"/>
  <c r="J76" i="32"/>
  <c r="K76" i="32" s="1"/>
  <c r="J295" i="32"/>
  <c r="K295" i="32" s="1"/>
  <c r="J53" i="32"/>
  <c r="K53" i="32" s="1"/>
  <c r="J40" i="32"/>
  <c r="K40" i="32" s="1"/>
  <c r="J60" i="32"/>
  <c r="K60" i="32" s="1"/>
  <c r="J61" i="32"/>
  <c r="K61" i="32" s="1"/>
  <c r="J54" i="32"/>
  <c r="K54" i="32" s="1"/>
  <c r="J122" i="32"/>
  <c r="K122" i="32" s="1"/>
  <c r="J36" i="32"/>
  <c r="K36" i="32" s="1"/>
  <c r="J50" i="32"/>
  <c r="K50" i="32" s="1"/>
  <c r="J55" i="32"/>
  <c r="K55" i="32" s="1"/>
  <c r="J51" i="32"/>
  <c r="K51" i="32" s="1"/>
  <c r="J65" i="32"/>
  <c r="K65" i="32" s="1"/>
  <c r="J38" i="32"/>
  <c r="K38" i="32" s="1"/>
  <c r="J81" i="32"/>
  <c r="K81" i="32" s="1"/>
  <c r="J95" i="32"/>
  <c r="K95" i="32" s="1"/>
  <c r="J226" i="32"/>
  <c r="K226" i="32" s="1"/>
  <c r="J56" i="32"/>
  <c r="K56" i="32" s="1"/>
  <c r="J200" i="32"/>
  <c r="K200" i="32" s="1"/>
  <c r="J244" i="32"/>
  <c r="K244" i="32" s="1"/>
  <c r="J396" i="32"/>
  <c r="K396" i="32" s="1"/>
  <c r="J412" i="32"/>
  <c r="K412" i="32" s="1"/>
  <c r="J259" i="32"/>
  <c r="K259" i="32" s="1"/>
  <c r="J176" i="32"/>
  <c r="K176" i="32" s="1"/>
  <c r="J41" i="32"/>
  <c r="K41" i="32" s="1"/>
  <c r="J59" i="32"/>
  <c r="K59" i="32" s="1"/>
  <c r="J413" i="32"/>
  <c r="K413" i="32" s="1"/>
  <c r="J155" i="32"/>
  <c r="K155" i="32" s="1"/>
  <c r="J201" i="32"/>
  <c r="K201" i="32" s="1"/>
  <c r="J410" i="32"/>
  <c r="K410" i="32" s="1"/>
  <c r="J238" i="32"/>
  <c r="K238" i="32" s="1"/>
  <c r="J42" i="32"/>
  <c r="K42" i="32" s="1"/>
  <c r="J131" i="32"/>
  <c r="K131" i="32" s="1"/>
  <c r="J391" i="32"/>
  <c r="K391" i="32" s="1"/>
  <c r="J296" i="32"/>
  <c r="K296" i="32" s="1"/>
  <c r="F297" i="32"/>
  <c r="G297" i="32" s="1"/>
  <c r="F298" i="32"/>
  <c r="G298" i="32" s="1"/>
  <c r="F132" i="32"/>
  <c r="G132" i="32" s="1"/>
  <c r="F299" i="32"/>
  <c r="G299" i="32" s="1"/>
  <c r="F300" i="32"/>
  <c r="G300" i="32" s="1"/>
  <c r="F301" i="32"/>
  <c r="G301" i="32" s="1"/>
  <c r="F302" i="32"/>
  <c r="G302" i="32" s="1"/>
  <c r="F303" i="32"/>
  <c r="G303" i="32" s="1"/>
  <c r="F304" i="32"/>
  <c r="G304" i="32" s="1"/>
  <c r="F305" i="32"/>
  <c r="G305" i="32" s="1"/>
  <c r="F306" i="32"/>
  <c r="G306" i="32" s="1"/>
  <c r="F307" i="32"/>
  <c r="G307" i="32" s="1"/>
  <c r="F308" i="32"/>
  <c r="G308" i="32" s="1"/>
  <c r="F309" i="32"/>
  <c r="G309" i="32" s="1"/>
  <c r="F310" i="32"/>
  <c r="G310" i="32" s="1"/>
  <c r="F311" i="32"/>
  <c r="G311" i="32" s="1"/>
  <c r="F312" i="32"/>
  <c r="G312" i="32" s="1"/>
  <c r="F239" i="32"/>
  <c r="G239" i="32" s="1"/>
  <c r="F313" i="32"/>
  <c r="G313" i="32" s="1"/>
  <c r="F314" i="32"/>
  <c r="G314" i="32" s="1"/>
  <c r="F315" i="32"/>
  <c r="G315" i="32" s="1"/>
  <c r="F316" i="32"/>
  <c r="G316" i="32" s="1"/>
  <c r="F317" i="32"/>
  <c r="G317" i="32" s="1"/>
  <c r="F202" i="32"/>
  <c r="G202" i="32" s="1"/>
  <c r="F146" i="32"/>
  <c r="G146" i="32" s="1"/>
  <c r="F203" i="32"/>
  <c r="G203" i="32" s="1"/>
  <c r="F212" i="32"/>
  <c r="G212" i="32" s="1"/>
  <c r="F213" i="32"/>
  <c r="G213" i="32" s="1"/>
  <c r="F204" i="32"/>
  <c r="G204" i="32" s="1"/>
  <c r="F177" i="32"/>
  <c r="G177" i="32" s="1"/>
  <c r="F178" i="32"/>
  <c r="G178" i="32" s="1"/>
  <c r="F179" i="32"/>
  <c r="G179" i="32" s="1"/>
  <c r="F180" i="32"/>
  <c r="G180" i="32" s="1"/>
  <c r="F181" i="32"/>
  <c r="G181" i="32" s="1"/>
  <c r="F182" i="32"/>
  <c r="G182" i="32" s="1"/>
  <c r="F183" i="32"/>
  <c r="G183" i="32" s="1"/>
  <c r="F184" i="32"/>
  <c r="G184" i="32" s="1"/>
  <c r="F185" i="32"/>
  <c r="G185" i="32" s="1"/>
  <c r="F186" i="32"/>
  <c r="G186" i="32" s="1"/>
  <c r="F123" i="32"/>
  <c r="G123" i="32" s="1"/>
  <c r="F232" i="32"/>
  <c r="G232" i="32" s="1"/>
  <c r="F68" i="32"/>
  <c r="G68" i="32" s="1"/>
  <c r="F245" i="32"/>
  <c r="G245" i="32" s="1"/>
  <c r="H245" i="32" s="1"/>
  <c r="F187" i="32"/>
  <c r="G187" i="32" s="1"/>
  <c r="F397" i="32"/>
  <c r="G397" i="32" s="1"/>
  <c r="F260" i="32"/>
  <c r="G260" i="32" s="1"/>
  <c r="F349" i="32"/>
  <c r="G349" i="32" s="1"/>
  <c r="F345" i="32"/>
  <c r="G345" i="32" s="1"/>
  <c r="F346" i="32"/>
  <c r="G346" i="32" s="1"/>
  <c r="F240" i="32"/>
  <c r="G240" i="32" s="1"/>
  <c r="F214" i="32"/>
  <c r="G214" i="32" s="1"/>
  <c r="F156" i="32"/>
  <c r="G156" i="32" s="1"/>
  <c r="F347" i="32"/>
  <c r="G347" i="32" s="1"/>
  <c r="F246" i="32"/>
  <c r="G246" i="32" s="1"/>
  <c r="F247" i="32"/>
  <c r="G247" i="32" s="1"/>
  <c r="F248" i="32"/>
  <c r="G248" i="32" s="1"/>
  <c r="F249" i="32"/>
  <c r="G249" i="32" s="1"/>
  <c r="F250" i="32"/>
  <c r="G250" i="32" s="1"/>
  <c r="F370" i="32"/>
  <c r="G370" i="32" s="1"/>
  <c r="F227" i="32"/>
  <c r="G227" i="32" s="1"/>
  <c r="F392" i="32"/>
  <c r="G392" i="32" s="1"/>
  <c r="F398" i="32"/>
  <c r="G398" i="32" s="1"/>
  <c r="F108" i="32"/>
  <c r="G108" i="32" s="1"/>
  <c r="F383" i="32"/>
  <c r="G383" i="32" s="1"/>
  <c r="F261" i="32"/>
  <c r="G261" i="32" s="1"/>
  <c r="F371" i="32"/>
  <c r="G371" i="32" s="1"/>
  <c r="F169" i="32"/>
  <c r="G169" i="32" s="1"/>
  <c r="F282" i="32"/>
  <c r="G282" i="32" s="1"/>
  <c r="H282" i="32" s="1"/>
  <c r="F283" i="32"/>
  <c r="G283" i="32" s="1"/>
  <c r="F170" i="32"/>
  <c r="G170" i="32" s="1"/>
  <c r="H170" i="32" s="1"/>
  <c r="F284" i="32"/>
  <c r="G284" i="32" s="1"/>
  <c r="H284" i="32" s="1"/>
  <c r="F285" i="32"/>
  <c r="G285" i="32" s="1"/>
  <c r="H285" i="32" s="1"/>
  <c r="F109" i="32"/>
  <c r="G109" i="32" s="1"/>
  <c r="F124" i="32"/>
  <c r="G124" i="32" s="1"/>
  <c r="F262" i="32"/>
  <c r="G262" i="32" s="1"/>
  <c r="F84" i="32"/>
  <c r="G84" i="32" s="1"/>
  <c r="F138" i="32"/>
  <c r="G138" i="32" s="1"/>
  <c r="F233" i="32"/>
  <c r="G233" i="32" s="1"/>
  <c r="F139" i="32"/>
  <c r="G139" i="32" s="1"/>
  <c r="F318" i="32"/>
  <c r="G318" i="32" s="1"/>
  <c r="F319" i="32"/>
  <c r="G319" i="32" s="1"/>
  <c r="F263" i="32"/>
  <c r="G263" i="32" s="1"/>
  <c r="F264" i="32"/>
  <c r="G264" i="32" s="1"/>
  <c r="F157" i="32"/>
  <c r="G157" i="32" s="1"/>
  <c r="H157" i="32" s="1"/>
  <c r="F265" i="32"/>
  <c r="G265" i="32" s="1"/>
  <c r="F384" i="32"/>
  <c r="G384" i="32" s="1"/>
  <c r="F359" i="32"/>
  <c r="G359" i="32" s="1"/>
  <c r="F360" i="32"/>
  <c r="G360" i="32" s="1"/>
  <c r="F110" i="32"/>
  <c r="G110" i="32" s="1"/>
  <c r="F372" i="32"/>
  <c r="G372" i="32" s="1"/>
  <c r="F266" i="32"/>
  <c r="G266" i="32" s="1"/>
  <c r="F111" i="32"/>
  <c r="G111" i="32" s="1"/>
  <c r="F267" i="32"/>
  <c r="G267" i="32" s="1"/>
  <c r="F77" i="32"/>
  <c r="G77" i="32" s="1"/>
  <c r="F268" i="32"/>
  <c r="G268" i="32" s="1"/>
  <c r="H268" i="32" s="1"/>
  <c r="F12" i="32"/>
  <c r="G12" i="32" s="1"/>
  <c r="F58" i="32"/>
  <c r="G58" i="32" s="1"/>
  <c r="F133" i="32"/>
  <c r="G133" i="32" s="1"/>
  <c r="F8" i="32"/>
  <c r="G8" i="32" s="1"/>
  <c r="F251" i="32"/>
  <c r="G251" i="32" s="1"/>
  <c r="F147" i="32"/>
  <c r="G147" i="32" s="1"/>
  <c r="H147" i="32" s="1"/>
  <c r="F43" i="32"/>
  <c r="G43" i="32" s="1"/>
  <c r="F215" i="32"/>
  <c r="G215" i="32" s="1"/>
  <c r="F216" i="32"/>
  <c r="G216" i="32" s="1"/>
  <c r="F217" i="32"/>
  <c r="G217" i="32" s="1"/>
  <c r="F361" i="32"/>
  <c r="G361" i="32" s="1"/>
  <c r="H361" i="32" s="1"/>
  <c r="F252" i="32"/>
  <c r="G252" i="32" s="1"/>
  <c r="F218" i="32"/>
  <c r="G218" i="32" s="1"/>
  <c r="F373" i="32"/>
  <c r="G373" i="32" s="1"/>
  <c r="F374" i="32"/>
  <c r="G374" i="32" s="1"/>
  <c r="F350" i="32"/>
  <c r="G350" i="32" s="1"/>
  <c r="F269" i="32"/>
  <c r="G269" i="32" s="1"/>
  <c r="F393" i="32"/>
  <c r="G393" i="32" s="1"/>
  <c r="F394" i="32"/>
  <c r="G394" i="32" s="1"/>
  <c r="H394" i="32" s="1"/>
  <c r="F219" i="32"/>
  <c r="G219" i="32" s="1"/>
  <c r="F116" i="32"/>
  <c r="G116" i="32" s="1"/>
  <c r="H116" i="32" s="1"/>
  <c r="F220" i="32"/>
  <c r="G220" i="32" s="1"/>
  <c r="F241" i="32"/>
  <c r="G241" i="32" s="1"/>
  <c r="F158" i="32"/>
  <c r="G158" i="32" s="1"/>
  <c r="F210" i="32"/>
  <c r="G210" i="32" s="1"/>
  <c r="F164" i="32"/>
  <c r="G164" i="32" s="1"/>
  <c r="H164" i="32" s="1"/>
  <c r="F159" i="32"/>
  <c r="G159" i="32" s="1"/>
  <c r="F134" i="32"/>
  <c r="G134" i="32" s="1"/>
  <c r="F125" i="32"/>
  <c r="G125" i="32" s="1"/>
  <c r="F100" i="32"/>
  <c r="G100" i="32" s="1"/>
  <c r="H100" i="32" s="1"/>
  <c r="F101" i="32"/>
  <c r="G101" i="32" s="1"/>
  <c r="H101" i="32" s="1"/>
  <c r="F82" i="32"/>
  <c r="G82" i="32" s="1"/>
  <c r="H82" i="32" s="1"/>
  <c r="F165" i="32"/>
  <c r="G165" i="32" s="1"/>
  <c r="F188" i="32"/>
  <c r="G188" i="32" s="1"/>
  <c r="H188" i="32" s="1"/>
  <c r="F85" i="32"/>
  <c r="G85" i="32" s="1"/>
  <c r="F63" i="32"/>
  <c r="G63" i="32" s="1"/>
  <c r="F189" i="32"/>
  <c r="G189" i="32" s="1"/>
  <c r="F135" i="32"/>
  <c r="G135" i="32" s="1"/>
  <c r="F78" i="32"/>
  <c r="G78" i="32" s="1"/>
  <c r="F171" i="32"/>
  <c r="G171" i="32" s="1"/>
  <c r="F102" i="32"/>
  <c r="G102" i="32" s="1"/>
  <c r="F96" i="32"/>
  <c r="G96" i="32" s="1"/>
  <c r="F103" i="32"/>
  <c r="G103" i="32" s="1"/>
  <c r="F32" i="32"/>
  <c r="G32" i="32" s="1"/>
  <c r="F141" i="32"/>
  <c r="G141" i="32" s="1"/>
  <c r="F417" i="32"/>
  <c r="G417" i="32" s="1"/>
  <c r="F126" i="32"/>
  <c r="G126" i="32" s="1"/>
  <c r="F104" i="32"/>
  <c r="G104" i="32" s="1"/>
  <c r="F69" i="32"/>
  <c r="G69" i="32" s="1"/>
  <c r="F127" i="32"/>
  <c r="G127" i="32" s="1"/>
  <c r="F24" i="32"/>
  <c r="G24" i="32" s="1"/>
  <c r="F57" i="32"/>
  <c r="G57" i="32" s="1"/>
  <c r="F46" i="32"/>
  <c r="G46" i="32" s="1"/>
  <c r="F13" i="32"/>
  <c r="G13" i="32" s="1"/>
  <c r="F22" i="32"/>
  <c r="G22" i="32" s="1"/>
  <c r="F47" i="32"/>
  <c r="G47" i="32" s="1"/>
  <c r="H47" i="32" s="1"/>
  <c r="F14" i="32"/>
  <c r="G14" i="32" s="1"/>
  <c r="F16" i="32"/>
  <c r="G16" i="32" s="1"/>
  <c r="F17" i="32"/>
  <c r="G17" i="32" s="1"/>
  <c r="F18" i="32"/>
  <c r="G18" i="32" s="1"/>
  <c r="F270" i="32"/>
  <c r="G270" i="32" s="1"/>
  <c r="F320" i="32"/>
  <c r="G320" i="32" s="1"/>
  <c r="F321" i="32"/>
  <c r="G321" i="32" s="1"/>
  <c r="H321" i="32" s="1"/>
  <c r="F211" i="32"/>
  <c r="G211" i="32" s="1"/>
  <c r="F160" i="32"/>
  <c r="G160" i="32" s="1"/>
  <c r="H160" i="32" s="1"/>
  <c r="F375" i="32"/>
  <c r="G375" i="32" s="1"/>
  <c r="F228" i="32"/>
  <c r="G228" i="32" s="1"/>
  <c r="F66" i="32"/>
  <c r="G66" i="32" s="1"/>
  <c r="F322" i="32"/>
  <c r="G322" i="32" s="1"/>
  <c r="F234" i="32"/>
  <c r="G234" i="32" s="1"/>
  <c r="F399" i="32"/>
  <c r="G399" i="32" s="1"/>
  <c r="F112" i="32"/>
  <c r="G112" i="32" s="1"/>
  <c r="F376" i="32"/>
  <c r="G376" i="32" s="1"/>
  <c r="F142" i="32"/>
  <c r="G142" i="32" s="1"/>
  <c r="F253" i="32"/>
  <c r="G253" i="32" s="1"/>
  <c r="F86" i="32"/>
  <c r="G86" i="32" s="1"/>
  <c r="F385" i="32"/>
  <c r="G385" i="32" s="1"/>
  <c r="F402" i="32"/>
  <c r="G402" i="32" s="1"/>
  <c r="F386" i="32"/>
  <c r="G386" i="32" s="1"/>
  <c r="F403" i="32"/>
  <c r="G403" i="32" s="1"/>
  <c r="F387" i="32"/>
  <c r="G387" i="32" s="1"/>
  <c r="F404" i="32"/>
  <c r="G404" i="32" s="1"/>
  <c r="F388" i="32"/>
  <c r="G388" i="32" s="1"/>
  <c r="F405" i="32"/>
  <c r="G405" i="32" s="1"/>
  <c r="F389" i="32"/>
  <c r="G389" i="32" s="1"/>
  <c r="F406" i="32"/>
  <c r="G406" i="32" s="1"/>
  <c r="F407" i="32"/>
  <c r="G407" i="32" s="1"/>
  <c r="F190" i="32"/>
  <c r="G190" i="32" s="1"/>
  <c r="F191" i="32"/>
  <c r="G191" i="32" s="1"/>
  <c r="F323" i="32"/>
  <c r="G323" i="32" s="1"/>
  <c r="F324" i="32"/>
  <c r="G324" i="32" s="1"/>
  <c r="F325" i="32"/>
  <c r="G325" i="32" s="1"/>
  <c r="F326" i="32"/>
  <c r="G326" i="32" s="1"/>
  <c r="F327" i="32"/>
  <c r="G327" i="32" s="1"/>
  <c r="F328" i="32"/>
  <c r="G328" i="32" s="1"/>
  <c r="F329" i="32"/>
  <c r="G329" i="32" s="1"/>
  <c r="F330" i="32"/>
  <c r="G330" i="32" s="1"/>
  <c r="F331" i="32"/>
  <c r="G331" i="32" s="1"/>
  <c r="F332" i="32"/>
  <c r="G332" i="32" s="1"/>
  <c r="F333" i="32"/>
  <c r="G333" i="32" s="1"/>
  <c r="F334" i="32"/>
  <c r="G334" i="32" s="1"/>
  <c r="F254" i="32"/>
  <c r="G254" i="32" s="1"/>
  <c r="F335" i="32"/>
  <c r="G335" i="32" s="1"/>
  <c r="F336" i="32"/>
  <c r="G336" i="32" s="1"/>
  <c r="F337" i="32"/>
  <c r="G337" i="32" s="1"/>
  <c r="F338" i="32"/>
  <c r="G338" i="32" s="1"/>
  <c r="F339" i="32"/>
  <c r="G339" i="32" s="1"/>
  <c r="F340" i="32"/>
  <c r="G340" i="32" s="1"/>
  <c r="H340" i="32" s="1"/>
  <c r="F341" i="32"/>
  <c r="G341" i="32" s="1"/>
  <c r="H341" i="32" s="1"/>
  <c r="F342" i="32"/>
  <c r="G342" i="32" s="1"/>
  <c r="F343" i="32"/>
  <c r="G343" i="32" s="1"/>
  <c r="F192" i="32"/>
  <c r="G192" i="32" s="1"/>
  <c r="F235" i="32"/>
  <c r="G235" i="32" s="1"/>
  <c r="F193" i="32"/>
  <c r="G193" i="32" s="1"/>
  <c r="F194" i="32"/>
  <c r="G194" i="32" s="1"/>
  <c r="F195" i="32"/>
  <c r="G195" i="32" s="1"/>
  <c r="F105" i="32"/>
  <c r="G105" i="32" s="1"/>
  <c r="F136" i="32"/>
  <c r="G136" i="32" s="1"/>
  <c r="F148" i="32"/>
  <c r="G148" i="32" s="1"/>
  <c r="F161" i="32"/>
  <c r="G161" i="32" s="1"/>
  <c r="F236" i="32"/>
  <c r="G236" i="32" s="1"/>
  <c r="F44" i="32"/>
  <c r="G44" i="32" s="1"/>
  <c r="F20" i="32"/>
  <c r="G20" i="32" s="1"/>
  <c r="F25" i="32"/>
  <c r="G25" i="32" s="1"/>
  <c r="F113" i="32"/>
  <c r="G113" i="32" s="1"/>
  <c r="F117" i="32"/>
  <c r="G117" i="32" s="1"/>
  <c r="F118" i="32"/>
  <c r="G118" i="32" s="1"/>
  <c r="F119" i="32"/>
  <c r="G119" i="32" s="1"/>
  <c r="F97" i="32"/>
  <c r="G97" i="32" s="1"/>
  <c r="F79" i="32"/>
  <c r="G79" i="32" s="1"/>
  <c r="F80" i="32"/>
  <c r="G80" i="32" s="1"/>
  <c r="F128" i="32"/>
  <c r="G128" i="32" s="1"/>
  <c r="H128" i="32" s="1"/>
  <c r="F129" i="32"/>
  <c r="G129" i="32" s="1"/>
  <c r="F255" i="32"/>
  <c r="G255" i="32" s="1"/>
  <c r="F120" i="32"/>
  <c r="G120" i="32" s="1"/>
  <c r="F121" i="32"/>
  <c r="G121" i="32" s="1"/>
  <c r="F205" i="32"/>
  <c r="G205" i="32" s="1"/>
  <c r="F206" i="32"/>
  <c r="G206" i="32" s="1"/>
  <c r="F27" i="32"/>
  <c r="G27" i="32" s="1"/>
  <c r="F88" i="32"/>
  <c r="G88" i="32" s="1"/>
  <c r="F39" i="32"/>
  <c r="G39" i="32" s="1"/>
  <c r="F21" i="32"/>
  <c r="G21" i="32" s="1"/>
  <c r="F89" i="32"/>
  <c r="G89" i="32" s="1"/>
  <c r="F172" i="32"/>
  <c r="G172" i="32" s="1"/>
  <c r="F90" i="32"/>
  <c r="G90" i="32" s="1"/>
  <c r="F207" i="32"/>
  <c r="G207" i="32" s="1"/>
  <c r="F15" i="32"/>
  <c r="G15" i="32" s="1"/>
  <c r="F9" i="32"/>
  <c r="G9" i="32" s="1"/>
  <c r="F34" i="32"/>
  <c r="G34" i="32" s="1"/>
  <c r="F28" i="32"/>
  <c r="G28" i="32" s="1"/>
  <c r="F106" i="32"/>
  <c r="G106" i="32" s="1"/>
  <c r="F208" i="32"/>
  <c r="G208" i="32" s="1"/>
  <c r="F91" i="32"/>
  <c r="G91" i="32" s="1"/>
  <c r="F196" i="32"/>
  <c r="G196" i="32" s="1"/>
  <c r="F351" i="32"/>
  <c r="G351" i="32" s="1"/>
  <c r="F400" i="32"/>
  <c r="G400" i="32" s="1"/>
  <c r="F401" i="32"/>
  <c r="G401" i="32" s="1"/>
  <c r="F390" i="32"/>
  <c r="G390" i="32" s="1"/>
  <c r="F52" i="32"/>
  <c r="G52" i="32" s="1"/>
  <c r="F286" i="32"/>
  <c r="G286" i="32" s="1"/>
  <c r="F229" i="32"/>
  <c r="G229" i="32" s="1"/>
  <c r="F271" i="32"/>
  <c r="G271" i="32" s="1"/>
  <c r="F143" i="32"/>
  <c r="G143" i="32" s="1"/>
  <c r="F11" i="32"/>
  <c r="G11" i="32" s="1"/>
  <c r="F377" i="32"/>
  <c r="G377" i="32" s="1"/>
  <c r="F378" i="32"/>
  <c r="G378" i="32" s="1"/>
  <c r="F209" i="32"/>
  <c r="G209" i="32" s="1"/>
  <c r="F230" i="32"/>
  <c r="G230" i="32" s="1"/>
  <c r="F64" i="32"/>
  <c r="G64" i="32" s="1"/>
  <c r="F140" i="32"/>
  <c r="G140" i="32" s="1"/>
  <c r="F10" i="32"/>
  <c r="G10" i="32" s="1"/>
  <c r="F418" i="32"/>
  <c r="G418" i="32" s="1"/>
  <c r="H418" i="32" s="1"/>
  <c r="F197" i="32"/>
  <c r="G197" i="32" s="1"/>
  <c r="F98" i="32"/>
  <c r="G98" i="32" s="1"/>
  <c r="F99" i="32"/>
  <c r="G99" i="32" s="1"/>
  <c r="F7" i="32"/>
  <c r="G7" i="32" s="1"/>
  <c r="F137" i="32"/>
  <c r="G137" i="32" s="1"/>
  <c r="H137" i="32" s="1"/>
  <c r="F419" i="32"/>
  <c r="G419" i="32" s="1"/>
  <c r="H419" i="32" s="1"/>
  <c r="F162" i="32"/>
  <c r="G162" i="32" s="1"/>
  <c r="F87" i="32"/>
  <c r="G87" i="32" s="1"/>
  <c r="F420" i="32"/>
  <c r="G420" i="32" s="1"/>
  <c r="F408" i="32"/>
  <c r="G408" i="32" s="1"/>
  <c r="F415" i="32"/>
  <c r="G415" i="32" s="1"/>
  <c r="F379" i="32"/>
  <c r="G379" i="32" s="1"/>
  <c r="F395" i="32"/>
  <c r="G395" i="32" s="1"/>
  <c r="F409" i="32"/>
  <c r="G409" i="32" s="1"/>
  <c r="F411" i="32"/>
  <c r="G411" i="32" s="1"/>
  <c r="F414" i="32"/>
  <c r="G414" i="32" s="1"/>
  <c r="F114" i="32"/>
  <c r="G114" i="32" s="1"/>
  <c r="F416" i="32"/>
  <c r="G416" i="32" s="1"/>
  <c r="F421" i="32"/>
  <c r="G421" i="32" s="1"/>
  <c r="F422" i="32"/>
  <c r="G422" i="32" s="1"/>
  <c r="F144" i="32"/>
  <c r="G144" i="32" s="1"/>
  <c r="F145" i="32"/>
  <c r="G145" i="32" s="1"/>
  <c r="F115" i="32"/>
  <c r="G115" i="32" s="1"/>
  <c r="F221" i="32"/>
  <c r="G221" i="32" s="1"/>
  <c r="F149" i="32"/>
  <c r="G149" i="32" s="1"/>
  <c r="F107" i="32"/>
  <c r="G107" i="32" s="1"/>
  <c r="F272" i="32"/>
  <c r="G272" i="32" s="1"/>
  <c r="F273" i="32"/>
  <c r="G273" i="32" s="1"/>
  <c r="F274" i="32"/>
  <c r="G274" i="32" s="1"/>
  <c r="F287" i="32"/>
  <c r="G287" i="32" s="1"/>
  <c r="F231" i="32"/>
  <c r="G231" i="32" s="1"/>
  <c r="F380" i="32"/>
  <c r="G380" i="32" s="1"/>
  <c r="F288" i="32"/>
  <c r="G288" i="32" s="1"/>
  <c r="F344" i="32"/>
  <c r="G344" i="32" s="1"/>
  <c r="F275" i="32"/>
  <c r="G275" i="32" s="1"/>
  <c r="H275" i="32" s="1"/>
  <c r="F381" i="32"/>
  <c r="G381" i="32" s="1"/>
  <c r="F276" i="32"/>
  <c r="G276" i="32" s="1"/>
  <c r="H276" i="32" s="1"/>
  <c r="F382" i="32"/>
  <c r="G382" i="32" s="1"/>
  <c r="F289" i="32"/>
  <c r="G289" i="32" s="1"/>
  <c r="F290" i="32"/>
  <c r="G290" i="32" s="1"/>
  <c r="F222" i="32"/>
  <c r="G222" i="32" s="1"/>
  <c r="F92" i="32"/>
  <c r="G92" i="32" s="1"/>
  <c r="F362" i="32"/>
  <c r="G362" i="32" s="1"/>
  <c r="F163" i="32"/>
  <c r="G163" i="32" s="1"/>
  <c r="F83" i="32"/>
  <c r="G83" i="32" s="1"/>
  <c r="F150" i="32"/>
  <c r="G150" i="32" s="1"/>
  <c r="F291" i="32"/>
  <c r="G291" i="32" s="1"/>
  <c r="F223" i="32"/>
  <c r="G223" i="32" s="1"/>
  <c r="F173" i="32"/>
  <c r="G173" i="32" s="1"/>
  <c r="F277" i="32"/>
  <c r="G277" i="32" s="1"/>
  <c r="H277" i="32" s="1"/>
  <c r="F48" i="32"/>
  <c r="G48" i="32" s="1"/>
  <c r="H48" i="32" s="1"/>
  <c r="F49" i="32"/>
  <c r="G49" i="32" s="1"/>
  <c r="H49" i="32" s="1"/>
  <c r="F19" i="32"/>
  <c r="G19" i="32" s="1"/>
  <c r="H19" i="32" s="1"/>
  <c r="F26" i="32"/>
  <c r="G26" i="32" s="1"/>
  <c r="H26" i="32" s="1"/>
  <c r="F33" i="32"/>
  <c r="G33" i="32" s="1"/>
  <c r="H33" i="32" s="1"/>
  <c r="F35" i="32"/>
  <c r="G35" i="32" s="1"/>
  <c r="H35" i="32" s="1"/>
  <c r="F29" i="32"/>
  <c r="G29" i="32" s="1"/>
  <c r="H29" i="32" s="1"/>
  <c r="F23" i="32"/>
  <c r="G23" i="32" s="1"/>
  <c r="H23" i="32" s="1"/>
  <c r="F45" i="32"/>
  <c r="G45" i="32" s="1"/>
  <c r="H45" i="32" s="1"/>
  <c r="F30" i="32"/>
  <c r="G30" i="32" s="1"/>
  <c r="H30" i="32" s="1"/>
  <c r="F31" i="32"/>
  <c r="G31" i="32" s="1"/>
  <c r="H31" i="32" s="1"/>
  <c r="F423" i="32"/>
  <c r="G423" i="32" s="1"/>
  <c r="H423" i="32" s="1"/>
  <c r="F278" i="32"/>
  <c r="G278" i="32" s="1"/>
  <c r="F242" i="32"/>
  <c r="G242" i="32" s="1"/>
  <c r="F151" i="32"/>
  <c r="G151" i="32" s="1"/>
  <c r="F152" i="32"/>
  <c r="G152" i="32" s="1"/>
  <c r="F348" i="32"/>
  <c r="G348" i="32" s="1"/>
  <c r="F363" i="32"/>
  <c r="G363" i="32" s="1"/>
  <c r="F279" i="32"/>
  <c r="G279" i="32" s="1"/>
  <c r="F174" i="32"/>
  <c r="G174" i="32" s="1"/>
  <c r="H174" i="32" s="1"/>
  <c r="F67" i="32"/>
  <c r="G67" i="32" s="1"/>
  <c r="F198" i="32"/>
  <c r="G198" i="32" s="1"/>
  <c r="H198" i="32" s="1"/>
  <c r="F70" i="32"/>
  <c r="G70" i="32" s="1"/>
  <c r="H70" i="32" s="1"/>
  <c r="F71" i="32"/>
  <c r="G71" i="32" s="1"/>
  <c r="H71" i="32" s="1"/>
  <c r="F199" i="32"/>
  <c r="G199" i="32" s="1"/>
  <c r="H199" i="32" s="1"/>
  <c r="F72" i="32"/>
  <c r="G72" i="32" s="1"/>
  <c r="F73" i="32"/>
  <c r="G73" i="32" s="1"/>
  <c r="F74" i="32"/>
  <c r="G74" i="32" s="1"/>
  <c r="H74" i="32" s="1"/>
  <c r="F153" i="32"/>
  <c r="G153" i="32" s="1"/>
  <c r="H153" i="32" s="1"/>
  <c r="F62" i="32"/>
  <c r="G62" i="32" s="1"/>
  <c r="F352" i="32"/>
  <c r="G352" i="32" s="1"/>
  <c r="F353" i="32"/>
  <c r="G353" i="32" s="1"/>
  <c r="F354" i="32"/>
  <c r="G354" i="32" s="1"/>
  <c r="F355" i="32"/>
  <c r="G355" i="32" s="1"/>
  <c r="F356" i="32"/>
  <c r="G356" i="32" s="1"/>
  <c r="F357" i="32"/>
  <c r="G357" i="32" s="1"/>
  <c r="F364" i="32"/>
  <c r="G364" i="32" s="1"/>
  <c r="F365" i="32"/>
  <c r="G365" i="32" s="1"/>
  <c r="F366" i="32"/>
  <c r="G366" i="32" s="1"/>
  <c r="F367" i="32"/>
  <c r="G367" i="32" s="1"/>
  <c r="F166" i="32"/>
  <c r="G166" i="32" s="1"/>
  <c r="F256" i="32"/>
  <c r="G256" i="32" s="1"/>
  <c r="F93" i="32"/>
  <c r="G93" i="32" s="1"/>
  <c r="F257" i="32"/>
  <c r="G257" i="32" s="1"/>
  <c r="F258" i="32"/>
  <c r="G258" i="32" s="1"/>
  <c r="F167" i="32"/>
  <c r="G167" i="32" s="1"/>
  <c r="F224" i="32"/>
  <c r="G224" i="32" s="1"/>
  <c r="F237" i="32"/>
  <c r="G237" i="32" s="1"/>
  <c r="F37" i="32"/>
  <c r="G37" i="32" s="1"/>
  <c r="F292" i="32"/>
  <c r="G292" i="32" s="1"/>
  <c r="F368" i="32"/>
  <c r="G368" i="32" s="1"/>
  <c r="F369" i="32"/>
  <c r="G369" i="32" s="1"/>
  <c r="F358" i="32"/>
  <c r="G358" i="32" s="1"/>
  <c r="F243" i="32"/>
  <c r="G243" i="32" s="1"/>
  <c r="F225" i="32"/>
  <c r="G225" i="32" s="1"/>
  <c r="F280" i="32"/>
  <c r="G280" i="32" s="1"/>
  <c r="F281" i="32"/>
  <c r="G281" i="32" s="1"/>
  <c r="F168" i="32"/>
  <c r="G168" i="32" s="1"/>
  <c r="F130" i="32"/>
  <c r="G130" i="32" s="1"/>
  <c r="F175" i="32"/>
  <c r="G175" i="32" s="1"/>
  <c r="F154" i="32"/>
  <c r="G154" i="32" s="1"/>
  <c r="F293" i="32"/>
  <c r="G293" i="32" s="1"/>
  <c r="F294" i="32"/>
  <c r="G294" i="32" s="1"/>
  <c r="H294" i="32" s="1"/>
  <c r="F94" i="32"/>
  <c r="G94" i="32" s="1"/>
  <c r="F75" i="32"/>
  <c r="G75" i="32" s="1"/>
  <c r="F76" i="32"/>
  <c r="G76" i="32" s="1"/>
  <c r="F295" i="32"/>
  <c r="G295" i="32" s="1"/>
  <c r="F53" i="32"/>
  <c r="G53" i="32" s="1"/>
  <c r="F40" i="32"/>
  <c r="G40" i="32" s="1"/>
  <c r="F60" i="32"/>
  <c r="G60" i="32" s="1"/>
  <c r="F61" i="32"/>
  <c r="G61" i="32" s="1"/>
  <c r="F54" i="32"/>
  <c r="G54" i="32" s="1"/>
  <c r="F122" i="32"/>
  <c r="G122" i="32" s="1"/>
  <c r="F36" i="32"/>
  <c r="G36" i="32" s="1"/>
  <c r="F50" i="32"/>
  <c r="G50" i="32" s="1"/>
  <c r="F55" i="32"/>
  <c r="G55" i="32" s="1"/>
  <c r="F51" i="32"/>
  <c r="G51" i="32" s="1"/>
  <c r="F65" i="32"/>
  <c r="G65" i="32" s="1"/>
  <c r="F38" i="32"/>
  <c r="G38" i="32" s="1"/>
  <c r="F81" i="32"/>
  <c r="G81" i="32" s="1"/>
  <c r="F95" i="32"/>
  <c r="G95" i="32" s="1"/>
  <c r="F226" i="32"/>
  <c r="G226" i="32" s="1"/>
  <c r="F56" i="32"/>
  <c r="G56" i="32" s="1"/>
  <c r="F200" i="32"/>
  <c r="G200" i="32" s="1"/>
  <c r="F244" i="32"/>
  <c r="G244" i="32" s="1"/>
  <c r="F396" i="32"/>
  <c r="G396" i="32" s="1"/>
  <c r="F412" i="32"/>
  <c r="G412" i="32" s="1"/>
  <c r="H412" i="32" s="1"/>
  <c r="F259" i="32"/>
  <c r="G259" i="32" s="1"/>
  <c r="F176" i="32"/>
  <c r="G176" i="32" s="1"/>
  <c r="F41" i="32"/>
  <c r="G41" i="32" s="1"/>
  <c r="F59" i="32"/>
  <c r="G59" i="32" s="1"/>
  <c r="F413" i="32"/>
  <c r="G413" i="32" s="1"/>
  <c r="H413" i="32" s="1"/>
  <c r="F155" i="32"/>
  <c r="G155" i="32" s="1"/>
  <c r="F201" i="32"/>
  <c r="G201" i="32" s="1"/>
  <c r="F410" i="32"/>
  <c r="G410" i="32" s="1"/>
  <c r="F238" i="32"/>
  <c r="G238" i="32" s="1"/>
  <c r="F42" i="32"/>
  <c r="G42" i="32" s="1"/>
  <c r="F131" i="32"/>
  <c r="G131" i="32" s="1"/>
  <c r="F391" i="32"/>
  <c r="G391" i="32" s="1"/>
  <c r="F296" i="32"/>
  <c r="G296" i="32" s="1"/>
  <c r="A299" i="32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7" i="32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P71" i="32" l="1"/>
  <c r="P199" i="32"/>
  <c r="P48" i="32"/>
  <c r="P100" i="32"/>
  <c r="P341" i="32"/>
  <c r="P26" i="32"/>
  <c r="P49" i="32"/>
  <c r="P101" i="32"/>
  <c r="P361" i="32"/>
  <c r="P30" i="32"/>
  <c r="M340" i="32"/>
  <c r="P35" i="32"/>
  <c r="P47" i="32"/>
  <c r="M423" i="32"/>
  <c r="P19" i="32"/>
  <c r="P45" i="32"/>
  <c r="P164" i="32"/>
  <c r="P413" i="32"/>
  <c r="P23" i="32"/>
  <c r="P174" i="32"/>
  <c r="P418" i="32"/>
  <c r="M35" i="32"/>
  <c r="P188" i="32"/>
  <c r="P419" i="32"/>
  <c r="M71" i="32"/>
  <c r="P277" i="32"/>
  <c r="P70" i="32"/>
  <c r="P198" i="32"/>
  <c r="M100" i="32"/>
  <c r="M199" i="32"/>
  <c r="P31" i="32"/>
  <c r="P33" i="32"/>
  <c r="P29" i="32"/>
  <c r="M33" i="32"/>
  <c r="M74" i="32"/>
  <c r="M277" i="32"/>
  <c r="M31" i="32"/>
  <c r="M19" i="32"/>
  <c r="M45" i="32"/>
  <c r="M101" i="32"/>
  <c r="M341" i="32"/>
  <c r="M23" i="32"/>
  <c r="M47" i="32"/>
  <c r="M164" i="32"/>
  <c r="M361" i="32"/>
  <c r="M26" i="32"/>
  <c r="M48" i="32"/>
  <c r="M174" i="32"/>
  <c r="M413" i="32"/>
  <c r="M29" i="32"/>
  <c r="M49" i="32"/>
  <c r="M188" i="32"/>
  <c r="M418" i="32"/>
  <c r="M30" i="32"/>
  <c r="M70" i="32"/>
  <c r="M198" i="32"/>
  <c r="M419" i="32"/>
  <c r="P116" i="32"/>
  <c r="M285" i="32"/>
  <c r="P170" i="32"/>
  <c r="P276" i="32"/>
  <c r="P137" i="32"/>
  <c r="P284" i="32"/>
  <c r="P412" i="32"/>
  <c r="P147" i="32"/>
  <c r="P285" i="32"/>
  <c r="P153" i="32"/>
  <c r="P294" i="32"/>
  <c r="P82" i="32"/>
  <c r="P157" i="32"/>
  <c r="P245" i="32"/>
  <c r="P321" i="32"/>
  <c r="M160" i="32"/>
  <c r="P160" i="32"/>
  <c r="P268" i="32"/>
  <c r="M268" i="32"/>
  <c r="P275" i="32"/>
  <c r="P128" i="32"/>
  <c r="P282" i="32"/>
  <c r="P394" i="32"/>
  <c r="M147" i="32"/>
  <c r="M157" i="32"/>
  <c r="M245" i="32"/>
  <c r="M276" i="32"/>
  <c r="M282" i="32"/>
  <c r="M275" i="32"/>
  <c r="M116" i="32"/>
  <c r="M170" i="32"/>
  <c r="M128" i="32"/>
  <c r="M394" i="32"/>
  <c r="M137" i="32"/>
  <c r="M284" i="32"/>
  <c r="M412" i="32"/>
  <c r="M153" i="32"/>
  <c r="M294" i="32"/>
  <c r="M82" i="32"/>
  <c r="M321" i="32"/>
  <c r="A340" i="32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A356" i="32" s="1"/>
  <c r="A357" i="32" s="1"/>
  <c r="A358" i="32" s="1"/>
  <c r="A359" i="32" s="1"/>
  <c r="A360" i="32" s="1"/>
  <c r="A361" i="32" s="1"/>
  <c r="A362" i="32" s="1"/>
  <c r="A363" i="32" s="1"/>
  <c r="A364" i="32" s="1"/>
  <c r="A365" i="32" s="1"/>
  <c r="A366" i="32" s="1"/>
  <c r="A367" i="32" s="1"/>
  <c r="A368" i="32" s="1"/>
  <c r="A369" i="32" s="1"/>
  <c r="A370" i="32" s="1"/>
  <c r="A371" i="32" s="1"/>
  <c r="A372" i="32" s="1"/>
  <c r="A373" i="32" s="1"/>
  <c r="A374" i="32" s="1"/>
  <c r="A375" i="32" s="1"/>
  <c r="A376" i="32" s="1"/>
  <c r="A377" i="32" s="1"/>
  <c r="A378" i="32" s="1"/>
  <c r="A379" i="32" s="1"/>
  <c r="A380" i="32" s="1"/>
  <c r="A381" i="32" s="1"/>
  <c r="A382" i="32" s="1"/>
  <c r="A383" i="32" s="1"/>
  <c r="A384" i="32" s="1"/>
  <c r="A385" i="32" s="1"/>
  <c r="A386" i="32" s="1"/>
  <c r="A387" i="32" s="1"/>
  <c r="A388" i="32" s="1"/>
  <c r="A389" i="32" s="1"/>
  <c r="A390" i="32" s="1"/>
  <c r="A391" i="32" s="1"/>
  <c r="A392" i="32" s="1"/>
  <c r="A393" i="32" s="1"/>
  <c r="A394" i="32" s="1"/>
  <c r="A395" i="32" s="1"/>
  <c r="A396" i="32" s="1"/>
  <c r="A397" i="32" s="1"/>
  <c r="A398" i="32" s="1"/>
  <c r="A399" i="32" s="1"/>
  <c r="A400" i="32" s="1"/>
  <c r="A401" i="32" s="1"/>
  <c r="A402" i="32" s="1"/>
  <c r="A403" i="32" s="1"/>
  <c r="A404" i="32" s="1"/>
  <c r="A405" i="32" s="1"/>
  <c r="A406" i="32" s="1"/>
  <c r="A407" i="32" s="1"/>
  <c r="A408" i="32" s="1"/>
  <c r="A409" i="32" s="1"/>
  <c r="A410" i="32" s="1"/>
  <c r="A411" i="32" s="1"/>
  <c r="A412" i="32" s="1"/>
  <c r="A413" i="32" s="1"/>
  <c r="A414" i="32" s="1"/>
  <c r="A415" i="32" s="1"/>
  <c r="A416" i="32" s="1"/>
  <c r="A417" i="32" s="1"/>
  <c r="A418" i="32" s="1"/>
  <c r="A419" i="32" s="1"/>
  <c r="A420" i="32" s="1"/>
  <c r="A421" i="32" s="1"/>
  <c r="A422" i="32" s="1"/>
  <c r="A423" i="32" s="1"/>
  <c r="A19" i="32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s="1"/>
  <c r="A59" i="32" s="1"/>
  <c r="A60" i="32" s="1"/>
  <c r="A61" i="32" s="1"/>
  <c r="A62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A77" i="32" s="1"/>
  <c r="A78" i="32" s="1"/>
  <c r="A79" i="32" s="1"/>
  <c r="A80" i="32" s="1"/>
  <c r="A81" i="32" s="1"/>
  <c r="A82" i="32" s="1"/>
  <c r="A83" i="32" s="1"/>
  <c r="A84" i="32" s="1"/>
  <c r="A85" i="32" s="1"/>
  <c r="A86" i="32" s="1"/>
  <c r="A87" i="32" s="1"/>
  <c r="A88" i="32" s="1"/>
  <c r="A89" i="32" s="1"/>
  <c r="A90" i="32" s="1"/>
  <c r="A91" i="32" s="1"/>
  <c r="A92" i="32" s="1"/>
  <c r="A93" i="32" s="1"/>
  <c r="A94" i="32" s="1"/>
  <c r="A95" i="32" s="1"/>
  <c r="A96" i="32" s="1"/>
  <c r="A97" i="32" s="1"/>
  <c r="A98" i="32" s="1"/>
  <c r="A99" i="32" s="1"/>
  <c r="A100" i="32" s="1"/>
  <c r="A101" i="32" s="1"/>
  <c r="A102" i="32" s="1"/>
  <c r="A103" i="32" s="1"/>
  <c r="A104" i="32" s="1"/>
  <c r="A105" i="32" s="1"/>
  <c r="A106" i="32" s="1"/>
  <c r="A107" i="32" s="1"/>
  <c r="A108" i="32" s="1"/>
  <c r="A109" i="32" s="1"/>
  <c r="A110" i="32" s="1"/>
  <c r="A111" i="32" s="1"/>
  <c r="A112" i="32" s="1"/>
  <c r="A113" i="32" s="1"/>
  <c r="A114" i="32" s="1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251" i="32" s="1"/>
  <c r="A252" i="32" s="1"/>
  <c r="A253" i="32" s="1"/>
  <c r="A254" i="32" s="1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</calcChain>
</file>

<file path=xl/sharedStrings.xml><?xml version="1.0" encoding="utf-8"?>
<sst xmlns="http://schemas.openxmlformats.org/spreadsheetml/2006/main" count="3220" uniqueCount="629">
  <si>
    <t>EL MANA</t>
  </si>
  <si>
    <t>VITALFARMA</t>
  </si>
  <si>
    <t>IMPROFARME</t>
  </si>
  <si>
    <t>MARIA SALOME</t>
  </si>
  <si>
    <t>SHAMPOO KERATIN 2 Mª SALOME X 400 ML</t>
  </si>
  <si>
    <t>ADRIANGEL</t>
  </si>
  <si>
    <t>CREMA PARA PEINAR KERATIN 2 Mª SALOME X 350 ML</t>
  </si>
  <si>
    <t>ACONDICIONADOR KERATIN 2 Mª SALOME X 400 ML</t>
  </si>
  <si>
    <t>APIARIO LA ESPERANZA</t>
  </si>
  <si>
    <t>POLEN GRANULADO LA ESPERANZA X 250 G</t>
  </si>
  <si>
    <t>VINAGRE DE MIEL LA ESPERANZA X 375 ML</t>
  </si>
  <si>
    <t>MIEL DE ABEJAS LA ESPERANZA X 355 G</t>
  </si>
  <si>
    <t>MIEL DE ABEJAS LA ESPERANZA X 525 G</t>
  </si>
  <si>
    <t>FLOMECOL</t>
  </si>
  <si>
    <t>VARIOS</t>
  </si>
  <si>
    <t>IRODOZ MENTOL UNGÜENTO (AZUL) X 20 G</t>
  </si>
  <si>
    <t>IRODOZ POMADA SECANTE (AMARILLA) X 20 G</t>
  </si>
  <si>
    <t>SECAXIN POMADA (BLANCA) X 20 G</t>
  </si>
  <si>
    <t>SHAMPOO TRADICIONAL Mª SALOME X 400 ML</t>
  </si>
  <si>
    <t>ACONDICIONADOR TRADICIONAL Mª SALOME X 400 ML</t>
  </si>
  <si>
    <t>MIEL DE ABEJAS LA ESPERANZA X 1050 G</t>
  </si>
  <si>
    <t>SHAMPOO PROTECCION COLOR Mª SALOME X 400 ML</t>
  </si>
  <si>
    <t>NATURAL POWER</t>
  </si>
  <si>
    <t>SHAMPOO MOM (FUTURAS MADRES) Mª SALOME X 400 ML</t>
  </si>
  <si>
    <t>GMN</t>
  </si>
  <si>
    <t>SUPER MEGA GAINER VAINILLA IMPORTADO GMN POLVO X 2 LB</t>
  </si>
  <si>
    <t>MEGA GAINER VAINILLA IMPORTADO GMN POLVO X 2 LB</t>
  </si>
  <si>
    <t>BODY RIPPED VAINILLA IMPORTADO GMN POLVO X 2 LB</t>
  </si>
  <si>
    <t>NITRO MASS VAINILLA IMPORTADO GMN POLVO X 2 LB</t>
  </si>
  <si>
    <t>NATURFAR</t>
  </si>
  <si>
    <t>ALCACHOFA NATURFAR X 100 TABLETAS</t>
  </si>
  <si>
    <t>EXTRACTO VIRA VIRA NATURFAR GOTAS X 60 ML</t>
  </si>
  <si>
    <t>EXTRACTO PASSIFLORA NATURFAR GOTAS X 60 ML</t>
  </si>
  <si>
    <t>EXTRACTO VALESAN NATURFAR GOTAS X 60 ML</t>
  </si>
  <si>
    <t>EXTRACTO ALCACHOFA NATURFAR GOTAS X 60 ML</t>
  </si>
  <si>
    <t>EXTRACTO VALESAN NATURFAR GOTAS X 35 ML</t>
  </si>
  <si>
    <t>ZEROTOX (HEDERA HELIX) NATURFAR JARABE X 120 ML</t>
  </si>
  <si>
    <t>LAXPLUX (PURGANTE NATURAL) NATURFAR X 8 TABLETAS</t>
  </si>
  <si>
    <t>SUPER MEGA GAINER VAINILLA IMPORTADO GMN POLVO X 5 LB</t>
  </si>
  <si>
    <t>MEGA GAINER VAINILLA IMPORTADO GMN POLVO X 5 LB</t>
  </si>
  <si>
    <t>ACEITE DE AGUACATE ADRIANGEL X 120 ML</t>
  </si>
  <si>
    <t>ACEITE DE ALMENDRAS ADRIANGEL X 120 ML</t>
  </si>
  <si>
    <t>ACEITE DE ARGAN SPRAY ADRIANGEL X 50 ML</t>
  </si>
  <si>
    <t>ACEITE DE CALENDULA ADRIANGEL X 120 ML</t>
  </si>
  <si>
    <t>ACEITE DE COCO ADRIANGEL X 120 ML</t>
  </si>
  <si>
    <t>ACEITE DE EUCALIPTO ADRIANGEL X 120 ML</t>
  </si>
  <si>
    <t>ACEITE DE GERMEN DE TRIGO ADRIANGEL X 120 ML</t>
  </si>
  <si>
    <t>ACEITE DE GIRASOL ADRIANGEL X 120 ML</t>
  </si>
  <si>
    <t>ACEITE DE JOJOBA ADRIANGEL X 120 ML</t>
  </si>
  <si>
    <t>ACEITE DE LAVANDA ADRIANGEL X 120 ML</t>
  </si>
  <si>
    <t>ACEITE DE LIMON ADRIANGEL X 120 ML</t>
  </si>
  <si>
    <t>ACEITE DE LINAZA ADRIANGEL X 120 ML</t>
  </si>
  <si>
    <t>ACEITE DE MANZANILLA ADRIANGEL X 120 ML</t>
  </si>
  <si>
    <t>ACEITE DE MENTA ADRIANGEL X 120 ML</t>
  </si>
  <si>
    <t>ACEITE DE NARANJA ADRIANGEL X 120 ML</t>
  </si>
  <si>
    <t>ACEITE DE RICINO ADRIANGEL X 120 ML</t>
  </si>
  <si>
    <t>ACEITE DE ROMERO ADRIANGEL X 120 ML</t>
  </si>
  <si>
    <t>ACEITE DE ROSAS ADRIANGEL X 120 ML</t>
  </si>
  <si>
    <t>ACEITE DE UVA ADRIANGEL X 120 ML</t>
  </si>
  <si>
    <t>ACEITE DE ZANAHORIA ADRIANGEL X 120 ML</t>
  </si>
  <si>
    <t>CREMA ARNICA Y GUABA ADRIANGEL X 120 G</t>
  </si>
  <si>
    <t>CREMA CASTAÑO DE INDIAS ADRIANGEL X 120 G</t>
  </si>
  <si>
    <t>GEL ADELGAZANTE (CALIENTE) TE VERDE ADRIANGEL X 500 G</t>
  </si>
  <si>
    <t>GEL FRIO REDUCTOR ALGAS MARINAS ADRIANGEL X 500 G</t>
  </si>
  <si>
    <t>GEL REDUCTOR DE NARANJA Y ALGAS ADRIANGEL X 500 G</t>
  </si>
  <si>
    <t>GEL REDUCTOR Y REAFIRMANTE 2 EN 1 ADRIANGEL X 500 G</t>
  </si>
  <si>
    <t>SHAMPOO DE BIOTINA + JALEA REAL ADRIANGEL X 450 ML</t>
  </si>
  <si>
    <t>SHAMPOO DE MANO DE RES Y PANTENOL ADRIANGEL X 450 ML</t>
  </si>
  <si>
    <t>SHAMPOO DE MANZANILLA ADRIANGEL X 450 ML</t>
  </si>
  <si>
    <t>SHAMPOO DE ROMERO Y QUINA ADRIANGEL X 450 ML</t>
  </si>
  <si>
    <t>TEA TREE OIL (ACEITE DE ARBOL DE TE) ADRIANGEL X 20 ML</t>
  </si>
  <si>
    <t>MAXPROPOLIS LA ESPERANZA GOTAS X 20 ML</t>
  </si>
  <si>
    <t>A-R ARTRI-RHEUMA MANA X 60 CAPSULAS</t>
  </si>
  <si>
    <t>BRONQUISAN ADULTOS MANA JALEA X 240 ML</t>
  </si>
  <si>
    <t>BRONQUISAN KIDS MANA JALEA X 240 ML</t>
  </si>
  <si>
    <t>BRONQUISAN PASTILLAS MANA BOMBONERA X 60 SOBRES</t>
  </si>
  <si>
    <t>LAXAR (PURGANTE NATURAL) MANA X 8 TABLETAS</t>
  </si>
  <si>
    <t>RHEUMADAUL MANA X 20 CAPSULAS</t>
  </si>
  <si>
    <t>RHEUMADAUL MANA X 60 CAPSULAS</t>
  </si>
  <si>
    <t>FLOMETOX (PROPOLEO) FLOMECOL JALEA X 240 ML</t>
  </si>
  <si>
    <t>HIGRON ADULTOS (ANTIPARASITARIO) FLOMECOL X 120 ML</t>
  </si>
  <si>
    <t>LAY COLO PLUS FLOMECOL JARABE X 370 ML</t>
  </si>
  <si>
    <t>Z-PARIL (ZARZAPARRILLA) FLOMECOL JARABE X 360 ML</t>
  </si>
  <si>
    <t>AJO ROGOFF IMPROFARME X 180 TABLETAS CUBIERTAS</t>
  </si>
  <si>
    <t>BRONCOX MAXX IMPROFARME JARABE X 120 ML</t>
  </si>
  <si>
    <t>CALENDULA (OFFICINALIS) IMPROFARME JARABE X 360 ML</t>
  </si>
  <si>
    <t>FLEXDOL IMPROFARME X 24 SACHETS</t>
  </si>
  <si>
    <t>IMPROPOLEO IMPROFARME JALEA X 250 G</t>
  </si>
  <si>
    <t>MULTI-C-VITA IMPROFARME BEBIBLES X 10 FRASCOS (10 ML C/U)</t>
  </si>
  <si>
    <t>MULTI-CEVITA IMPROFARME X 20 TABLETAS</t>
  </si>
  <si>
    <t>NUTRA FACTORS IMPROFARME X 60 CAPSULAS</t>
  </si>
  <si>
    <t>RETORDEX IMPROFARME X 30 TABLETAS</t>
  </si>
  <si>
    <t>REUMAFLEX IMPROFARME X 30 CAPSULAS</t>
  </si>
  <si>
    <t>SANGRE DE DRAGO (DROPEC) IMPROFARME GOTAS X 30 ML</t>
  </si>
  <si>
    <t>KADEIN (CASTAÑO INDIAS) NATURFAR BLISTER X 30 CAPSULAS</t>
  </si>
  <si>
    <t>KADEIN (CASTAÑO INDIAS) NATURFAR X 60 CAPSULAS</t>
  </si>
  <si>
    <t>SAVIDOL VITALFARMA GEL FT X 90 G</t>
  </si>
  <si>
    <t>SAVITOS VITALFARMA JARABE X 120 ML</t>
  </si>
  <si>
    <t>SAVITOSITO VITALFARMA JARABE X 120 ML</t>
  </si>
  <si>
    <t>EXTRACTO PASSIFLORA NATURFAR GOTAS X 35 ML</t>
  </si>
  <si>
    <t>EXTRACTO RUIBARBO NATURFAR GOTAS X 60 ML</t>
  </si>
  <si>
    <t>MIEL ANGELITA FLOMECOL X 20 G</t>
  </si>
  <si>
    <t>GEL FIJADOR Mª SALOME TUBO X 250 G</t>
  </si>
  <si>
    <t>NATURAL LIFE</t>
  </si>
  <si>
    <t>ACEITE DE SABILA ADRIANGEL X 120 ML</t>
  </si>
  <si>
    <t>ACEITE DE CANELA ADRIANGEL X 120 ML</t>
  </si>
  <si>
    <t>SHAMPOO DE CEBOLLA ADRIANGEL X 450 ML</t>
  </si>
  <si>
    <t>LEVADURA DE CERVEZA (COMPLEJO B) NATURFAR X 100 TABLETAS</t>
  </si>
  <si>
    <t>MULTI LACTANTES (MULTIVITAMINICO) NATURAL LIFE POLVO X 1000 G</t>
  </si>
  <si>
    <t>BRONQUISAN SIN AZUCAR MANA JARABE X 180 ML</t>
  </si>
  <si>
    <t>POLEN GRANULADO LA ESPERANZA X 75 G</t>
  </si>
  <si>
    <t>SOY &amp; SURE FT VAINILLA VITALFARMA POLVO X 400 G</t>
  </si>
  <si>
    <t>EXTRACTO KADEIN (CASTAÑO INDIAS) NATURFAR GOTAS X 60 ML</t>
  </si>
  <si>
    <t>CNATURAL</t>
  </si>
  <si>
    <t>COLAGENO HIDROLIZADO CNATURAL JARABE X 360 ML</t>
  </si>
  <si>
    <t>CURCUMA + ANAMU 500 MG X 60 CAPSULAS</t>
  </si>
  <si>
    <t>AJO PEREJIL-CLOROFILA 500 MG X 60 CAPSULAS</t>
  </si>
  <si>
    <t>CAR&amp;MER</t>
  </si>
  <si>
    <t>VINAGRE DE CIDRA CAR&amp;MER X 750 ML</t>
  </si>
  <si>
    <t>VINAGRE DE CIDRA - MANZANA CAR&amp;MER X 750 ML</t>
  </si>
  <si>
    <t>VINAGRE DE MANZANA CAR&amp;MER X 750 ML</t>
  </si>
  <si>
    <t>VINAGRE DE MANZANA PREMIUM CAR&amp;MER X 750 ML</t>
  </si>
  <si>
    <t>NATURESMIEL (EXPECTORANTE) CAR&amp;MER JARABE X 160 G</t>
  </si>
  <si>
    <t>GLUCOSAMINA COMPLEX X 60 CAPSULAS</t>
  </si>
  <si>
    <t>CLORURO MAGNESIO, CANNABIS NATURALPOWER CREMA X 12 SACHETS</t>
  </si>
  <si>
    <t>REDUCTION POWER PLATINIUM NATURALPOWER X 90 + 15 CAPSULAS</t>
  </si>
  <si>
    <t>REDUCTION POWER ULTRA NATURALPOWER X 60 + 10 CAPSULAS</t>
  </si>
  <si>
    <t>CIRUELIN (LAXANTE) CNATURAL JALEA X 300 G</t>
  </si>
  <si>
    <t>SHAMPOO DE GUSANO DE SEDA ADRIANGEL X 450 ML</t>
  </si>
  <si>
    <t>VINAGRE DE CIDRA DE MANZANA CON MADRE CAR&amp;MER X 750 ML</t>
  </si>
  <si>
    <t>NISSI</t>
  </si>
  <si>
    <t>PROTECTOR SOLAR SUNWAY PLUS 50FPS NISSI TUBO X 120 G</t>
  </si>
  <si>
    <t>REPELENTE PICA FIN NISSI ROLL ON X 50 ML</t>
  </si>
  <si>
    <t>REPELENTE PICA FIN NISSI SPRAY X 120 ML</t>
  </si>
  <si>
    <t>REPELENTE PICA FIN NISSI JABON BARRA X 50 G</t>
  </si>
  <si>
    <t>MULTI C-BRINA (VITACEREBRINA) FLOMECOL JARABE X 500 ML</t>
  </si>
  <si>
    <t>EXTRACTO SANDRAG CNATURAL GOTAS X 60 ML</t>
  </si>
  <si>
    <t>LA FARFALLA</t>
  </si>
  <si>
    <t>ACEITE DE AGUACATE LA FARFALLA X 60 ML</t>
  </si>
  <si>
    <t>ACEITE DE ALMENDRAS LA FARFALLA X 60 ML</t>
  </si>
  <si>
    <t>ACEITE DE COCO LA FARFALLA X 60 ML</t>
  </si>
  <si>
    <t>ACEITE DE RICINO LA FARFALLA X 60 ML</t>
  </si>
  <si>
    <t>ACEITE DE ROMERO LA FARFALLA X 60 ML</t>
  </si>
  <si>
    <t>ACEITE DE ROSA MOSQUETA LA FARFALLA X 60 ML</t>
  </si>
  <si>
    <t>ACEITE DE AGUACATE LA FARFALLA X 120 ML</t>
  </si>
  <si>
    <t>ACEITE DE ALMENDRAS LA FARFALLA X 120 ML</t>
  </si>
  <si>
    <t>ACEITE DE COCO LA FARFALLA X 120 ML</t>
  </si>
  <si>
    <t>ACEITE DE RICINO LA FARFALLA X 120 ML</t>
  </si>
  <si>
    <t>ACEITE DE ROMERO LA FARFALLA X 120 ML</t>
  </si>
  <si>
    <t>ESENCIAS FLORALES ALCOHOLISMO LA FARFALLA GOTAS X 30 ML</t>
  </si>
  <si>
    <t>ESENCIAS FLORALES CARDO MARIANO LA FARFALLA GOTAS X 30 ML</t>
  </si>
  <si>
    <t>ESENCIAS FLORALES ECHINACEA LA FARFALLA GOTAS X 30 ML</t>
  </si>
  <si>
    <t>ESENCIAS FLORALES INSOMNIO LA FARFALLA GOTAS X 30 ML</t>
  </si>
  <si>
    <t>ESENCIAS FLORALES LUFFA NASAL LA FARFALLA SPRAY X 30 ML</t>
  </si>
  <si>
    <t>ESENCIAS FLORALES MENOPAUSIA LA FARFALLA GOTAS X 30 ML</t>
  </si>
  <si>
    <t>ESENCIAS FLORALES NUX VOMICA LA FARFALLA GOTAS X 30 ML</t>
  </si>
  <si>
    <t>ESENCIAS FLORALES RESCATE LA FARFALLA GOTAS X 30 ML</t>
  </si>
  <si>
    <t>ESENCIAS FLORALES STRESS LA FARFALLA GOTAS X 30 ML</t>
  </si>
  <si>
    <t>GEL CANNABIS NATURALPOWER TUBO MASAJEADOR X 240 G</t>
  </si>
  <si>
    <t>EXTRACTO V.C CNATURAL GOTAS X 60 ML</t>
  </si>
  <si>
    <t>LIM-NAT (COLIRIO NATURAL) CNATURAL GOTAS X 30 ML</t>
  </si>
  <si>
    <t>BIDESAN (BIDENS PILOSA) NATURFAR JARABE X 240 ML</t>
  </si>
  <si>
    <t>SIRQLAN FLOMECOL JARABE X 500 ML</t>
  </si>
  <si>
    <t>SHAMPOO TRADICIONAL SENSITIVE Mª SALOME X 400 ML</t>
  </si>
  <si>
    <t>BIO NATURE</t>
  </si>
  <si>
    <t>CREMA ARNICA BIO NATURE X 60 G</t>
  </si>
  <si>
    <t>CREMA ARNICA Y CALENDULA BIO NATURE X 60 G</t>
  </si>
  <si>
    <t>CREMA AZUCENA BIO NATURE X 60 G</t>
  </si>
  <si>
    <t>CREMA CALENDULA BIO NATURE X 60 G</t>
  </si>
  <si>
    <t>CREMA CONCHA DE NACAR BIO NATURE X 60 G</t>
  </si>
  <si>
    <t>ACEITE ESENCIAL MENTA BIO NATURE X 10 ML</t>
  </si>
  <si>
    <t>ACEITE ORGANICO DE COCO EXTRA VIRGEN BIO NATURE X 100 ML</t>
  </si>
  <si>
    <t>ESENCIAS FLORALES GINKGO BILOBA LA FARFALLA GOTAS X 30 ML</t>
  </si>
  <si>
    <t>ESENCIAS FLORALES MIGRAÑAS CEFALEAS LA FARFALLA GOTAS X 30 ML</t>
  </si>
  <si>
    <t>ECHINACEA 30CH BNP GLOBULOS X 30 ML</t>
  </si>
  <si>
    <t>POWERS'X NATURALPOWER SOBRE X 4 TABLETAS</t>
  </si>
  <si>
    <t>FORTIMAX B (COMPLEJO B) ADULTOS CNATURAL JARABE X 360 ML</t>
  </si>
  <si>
    <t>FORTIMAX B (COMPLEJO B) NIÑOS CNATURAL JARABE X 360 ML</t>
  </si>
  <si>
    <t>TOTMAX (TOTUMO) CNATURAL JARABE X 360 ML</t>
  </si>
  <si>
    <t>GINKGO GINSENG X 60 CAPSULAS</t>
  </si>
  <si>
    <t>ESENCIAS FLORALES DEPRESION ANSIEDAD LA FARFALLA GOTAS X 30 ML</t>
  </si>
  <si>
    <t>ESENCIAS FLORALES MARIHUANA DOLOR LA FARFALLA GOTAS X 30 ML</t>
  </si>
  <si>
    <t>MIEL ANGELITA ZANAHORIA Y UCHUVA FLOMECOL X 20 G</t>
  </si>
  <si>
    <t>DESCUENTO %</t>
  </si>
  <si>
    <t>FLETE APROXIMADO</t>
  </si>
  <si>
    <t>SHAMPOO ACCION DIARIA ANTICASPA Mª SALOME X 400 ML</t>
  </si>
  <si>
    <t>Laboratorio</t>
  </si>
  <si>
    <t>LISTA DE PRECIOS</t>
  </si>
  <si>
    <t>GINK-FULL (GINKGO BILOBA) CNATURAL JARABE X 360 ML</t>
  </si>
  <si>
    <t>ACEITE REAFIRMANTE MANO DE RES ADRIANGEL X 240 ML</t>
  </si>
  <si>
    <t>SHAMPOO DE COLA DE CABALLO ADRIANGEL X 450 ML</t>
  </si>
  <si>
    <t>CREMA PARA PEINAR TRADICIONAL ANTIFRIZZ Mª SALOME X 350 ML</t>
  </si>
  <si>
    <t>TRIGOSAMINE (CLORURO+COLAGENO+VITAMINA D3) IMPROFARME X 90 CAPSULAS</t>
  </si>
  <si>
    <t>ESENCIAS FLORALES ANSIEDAD Y OBSESIONES LA FARFALLA GOTAS X 30 ML</t>
  </si>
  <si>
    <t>ESENCIAS FLORALES ADICCION AL CIGARRILLO LA FARFALLA GOTAS X 30 ML</t>
  </si>
  <si>
    <t>ESENCIAS FLORALES ARNICA MONTANA LA FARFALLA GOTAS X 30 ML</t>
  </si>
  <si>
    <t>ESENCIAS FLORALES DIENTE DE LEON LA FARFALLA GOTAS X 30 ML</t>
  </si>
  <si>
    <t>ESENCIAS FLORALES OBESIDAD POR ANSIEDAD LA FARFALLA GOTAS X 30 ML</t>
  </si>
  <si>
    <t>ESENCIAS FLORALES STRES, DEPRESION, INSOMNIO LA FARFALLA GOTAS X 30 ML</t>
  </si>
  <si>
    <t>ESENCIAS FLORALES VALERIANA &amp; PASIFLORA LA FARFALLA GOTAS X 30 ML</t>
  </si>
  <si>
    <t>KIT CONTROL CASPA (SHAMPOO 400 ML + LOCION 320 ML) Mª SALOME</t>
  </si>
  <si>
    <t>KIT KERATIN (SHAMPOO 400 ML + ACONDIC. 400 ML + LOCION 320 ML) Mª SALOME</t>
  </si>
  <si>
    <t>KIT TRADICIONAL (SHAMPOO 400 ML + ACONDIC. 400 ML + LOCION 320 ML) Mª SALOME</t>
  </si>
  <si>
    <t>CICALEN GEL ORAL (CALENDULA) NATURFAR JARABE X 240 ML</t>
  </si>
  <si>
    <t>CICALEN GEL ORAL (CALENDULA) NATURFAR JARABE X 360 ML</t>
  </si>
  <si>
    <t>EXTRACTO ALCACHOFA, BOLDO Y RUIBARBO NATURFAR GOTAS X 60 ML</t>
  </si>
  <si>
    <t>EXTRACTO CALENDULA NATURFAR GOTAS X 60 ML</t>
  </si>
  <si>
    <t>EXTRACTO DIENTE DE LEON NATURFAR GOTAS X 60 ML</t>
  </si>
  <si>
    <t>POMADA DE CALENDULA NATURFAR X 25 G</t>
  </si>
  <si>
    <t>POMADA DE CALENDULA NATURFAR X 50 G</t>
  </si>
  <si>
    <t>LOCION ANTITRANSPIRANTE DR. BODY WOMEN VITALFARMA SPRAY X 130 ML</t>
  </si>
  <si>
    <t>CLORURO DE MAGNESIO, COLAGENO Y VITAMINA D3 DINATURAL X 90 CAPSULAS</t>
  </si>
  <si>
    <t>SHAMPOO DE ARGAN ADRIANGEL X 450 ML</t>
  </si>
  <si>
    <t>SHAMPOO DE PETROLEO ADRIANGEL X 450 ML</t>
  </si>
  <si>
    <t>MEGAS'X VERDE NATURALPOWER CAJA X 20 TABLETAS</t>
  </si>
  <si>
    <t>MEGAS'X AZUL NATURALPOWER PASTILLERO X 3 TABLETAS</t>
  </si>
  <si>
    <t>MEGAS'X AZUL NATURALPOWER BOLSA X 100 PASTILLEROS X 300 TABLETAS</t>
  </si>
  <si>
    <t>POWERS'X NATURALPOWER BOLSA X 100 SOBRES X 400 TABLETAS</t>
  </si>
  <si>
    <t>CLORURO DE MAGNESIO IMPROFARME X 90 CAPSULAS</t>
  </si>
  <si>
    <t>YACON + BALSAMINA 500 MG X 60 CAPSULAS</t>
  </si>
  <si>
    <t>CNANCAPIEDRA FLOMECOL JARABE X 500 ML</t>
  </si>
  <si>
    <t>ACEITE DE AJONJOLI ADRIANGEL X 120 ML</t>
  </si>
  <si>
    <t>Producto / Presentacion</t>
  </si>
  <si>
    <t>PRO-FULL (CAFE BRUSCA) CNATURAL JARABE X 360 ML</t>
  </si>
  <si>
    <t>ACEITE DE CAFE VERDE ADRIANGEL X 120 ML</t>
  </si>
  <si>
    <t>CARBON ACTIVADO 300 MG (EUCALIPTO, PINO) X 60 CAPSULAS</t>
  </si>
  <si>
    <t>LOCION CAPILAR Mª SALOME SPRAY X 320 ML</t>
  </si>
  <si>
    <t>BRUSMAX (CAFE DE BRUSCA) CNATURAL POLVO X 350 G</t>
  </si>
  <si>
    <t>EXTRACTO TEN-GOLD (MASTRANTO) CNATURAL GOTAS X 60 ML</t>
  </si>
  <si>
    <t>FEMI VID (BIOTINA + ACIDO FOLICO) IMPROFARME X 30 TABLETAS</t>
  </si>
  <si>
    <t>EXTRACTO VALEPASS FORTE NATURFAR GOTAS X 60 ML</t>
  </si>
  <si>
    <t>EXTRACTO VALEPASS NATURFAR GOTAS X 60 ML</t>
  </si>
  <si>
    <t>TE VERDE DR CH &amp; C X 30 TISANAS</t>
  </si>
  <si>
    <t>POLEN GRANULADO LA ESPERANZA X 125 G</t>
  </si>
  <si>
    <t>LAXOGEN PURGANTE LAB. INTERNACIONALES PACA X 48 SOBRES</t>
  </si>
  <si>
    <t>LAXOGEN PURGANTE LAB. INTERNACIONALES SOBRE POLVO X 30 G</t>
  </si>
  <si>
    <t>B-COMPLEX (COMPLEJO B) IMPROFARME X 30 CAPSULAS</t>
  </si>
  <si>
    <t>NACIONAL</t>
  </si>
  <si>
    <t>E-COMME.</t>
  </si>
  <si>
    <t>A definir</t>
  </si>
  <si>
    <t>ASPERSOR A PRESION IMPORTADO GUARANY CAPACIDAD X 1 LT</t>
  </si>
  <si>
    <t>ASPERSOR BOMBA IMPORTADO GUARANY CAPACIDAD X 400 ML</t>
  </si>
  <si>
    <t>COLAGENO HIDROLIZADO FLOMECOL JARABE X 500 ML</t>
  </si>
  <si>
    <t>CARBON + SEN + RUIBARBO NATURFAR X 60 TABLETAS</t>
  </si>
  <si>
    <t>ESCOBITA (PURGANTE) FLOMECOL POLVO X 2 SACHET X 15 G C/U</t>
  </si>
  <si>
    <t>ECHINACEA + VITAMINA C 500 MG X 60 CAPSULAS</t>
  </si>
  <si>
    <t>PLATA COLOIDAL CNATURAL JARABE X 240 ML</t>
  </si>
  <si>
    <t>002</t>
  </si>
  <si>
    <t>BIOTINA, COLAGENO Y UVA NATURALPOWER BLISTER X 30 TABLETAS</t>
  </si>
  <si>
    <t>ACEITE POWER BLUE (RETARDANTE) NATURALPOWER SPRAY X 3 ML</t>
  </si>
  <si>
    <t>ACEITE POWER PINK (LUBRICANTE) NATURALPOWER SPRAY X 3 ML</t>
  </si>
  <si>
    <t>GEL ANTIBACTERIAL ALCOHOL 60% LA FARFALLA X 500 ML</t>
  </si>
  <si>
    <t>GEL ANTIBACTERIAL ADRIANGEL X 1000 ML</t>
  </si>
  <si>
    <t>GEL ANTIBACTERIAL ADRIANGEL X 120 ML</t>
  </si>
  <si>
    <t>GEL ANTIBACTERIAL ALCOHOL 60% LA FARFALLA X 1000 ML</t>
  </si>
  <si>
    <t>GENGI FRESH PASTILLAS MANA BOMBONERA X 60 SOBRES</t>
  </si>
  <si>
    <t>VINAGRE DE ARROZ CAR&amp;MER X 750 ML</t>
  </si>
  <si>
    <t>VINAGRE DE MANZANA - MIEL LA ESPERANZA X 500 ML</t>
  </si>
  <si>
    <t>SALES DE SCHUSSLER EMARTH POLVO X 250 G</t>
  </si>
  <si>
    <t>SHAMPOO + 10 COMPONENTES ADRIANGEL X 450 ML</t>
  </si>
  <si>
    <t>EXTRACTO VALEPASS NATURFAR GOTAS X 35 ML</t>
  </si>
  <si>
    <t>CREMA COLAGENO ELASTINA ACID. HIALURONICO CNATURAL X 60 G</t>
  </si>
  <si>
    <t>CREMA CALENDULA AZUFRE CNATURAL X 60 G</t>
  </si>
  <si>
    <t>CREMA ANTI-MOIDAL (HEMORROIDES) CNATURAL X 110 G</t>
  </si>
  <si>
    <t>CREMA VENATOL CNATURAL X 110 G</t>
  </si>
  <si>
    <t>VITAMIN &amp; LINE</t>
  </si>
  <si>
    <t>VITAMINA C 1000 MG + ZINC VITAMIN &amp; LINE X 100 CAPSULAS</t>
  </si>
  <si>
    <t>COLAGENO HIDRO. + BIOTINA + VIT. E UVA VITAMIN &amp; LINE JARABE X 500 ML</t>
  </si>
  <si>
    <t>BRONQUISAN BUCOFARINGEO MANA SPRAY X 50 ML</t>
  </si>
  <si>
    <t>A-PETIT KIDS (APETITO) VITAMIN &amp; LINE JARABE X 60 ML</t>
  </si>
  <si>
    <t>PROTECTOR SOLAR SUNWAY PLUS 50FPS NISSI DISPLAY X 12 SACHETS</t>
  </si>
  <si>
    <t>CREMA POWER SENSATION COLAGENO NISSI DISPLAY X 12 SACHETS</t>
  </si>
  <si>
    <t>GLUCOSAMINA IMPORTADO VITAMIN &amp; LINE X 100 CAPSULAS</t>
  </si>
  <si>
    <t>MIEL DE ABEJAS LA ESPERANZA X 90 G</t>
  </si>
  <si>
    <t>GEL DE VAINILLA CALIENTE LUBRICANTE SEXSHOP X 30 ML</t>
  </si>
  <si>
    <t>GEL DE SANDIA CALIENTE LUBRICANTE SEXSHOP X 30 ML</t>
  </si>
  <si>
    <t>GOLD FLY (POTENCIADOR FEMENINO) IMPORTADO MUJER CAJA X 12 SACHETS</t>
  </si>
  <si>
    <t>GOLD FLY (POTENCIADOR FEMENINO) IMPORTADO MUJER SACHET X 5 ML</t>
  </si>
  <si>
    <t>KANNA MULTIORGASM (CANNABIS) MUJER CREMA X 6 G</t>
  </si>
  <si>
    <t>JABON DE SANDALO BIO NATURE BARRA X 90 G</t>
  </si>
  <si>
    <t>FLEXDL ROLL ON IMPROFARME GEL X 90 ML</t>
  </si>
  <si>
    <t>SUPER / TRULULU</t>
  </si>
  <si>
    <t>SUPERCOCO BOMBON SUPER BOLSA X 24 BOMBONES</t>
  </si>
  <si>
    <t>SUPERCOCO TURRON TRADICIONAL SUPER BOLSA X 100 UNIDADES</t>
  </si>
  <si>
    <t>POWERS'X NATURALPOWER JARABE X 500 ML</t>
  </si>
  <si>
    <t>GINKGO BILOBA 120 MG IMPROFARME X 60 TABLETAS</t>
  </si>
  <si>
    <t xml:space="preserve">ALCACHOFA BOLDO NATURFAR X 100 TABLETAS </t>
  </si>
  <si>
    <t>ORTIGA NATURFAR X 100 TABLETAS</t>
  </si>
  <si>
    <t>NATURFLORA (PRO + PREBIOTICOS) NATURFAR X 60 CAPSULAS</t>
  </si>
  <si>
    <t>ARRECHON (POTENCIADOR) NUEVO AMANECER JARABE X 500 ML</t>
  </si>
  <si>
    <t>LOMPAR-77 (PURGANTE) FARNAT POLVO X 20 G</t>
  </si>
  <si>
    <t>BIANCHI CHOCOLATE BLANCO SUPER BOLSA X 100 UNIDADES</t>
  </si>
  <si>
    <t>BIANCHI CHOCOLATE SUPER BOLSA X 100 UNIDADES</t>
  </si>
  <si>
    <t>TRULULU GOMITAS AROS SUPER BOLSA X 100 UNIDADES</t>
  </si>
  <si>
    <t>EROGAN (POTENCIADOR) NATURAL PRODUCTS JARABE X 500 ML</t>
  </si>
  <si>
    <t>ACEITE DE CANNABIS SATIVA GOTAS X 25 ML</t>
  </si>
  <si>
    <t>COLAGENO MARINO HIDROLIZADO CNATURAL POLVO X 700 G</t>
  </si>
  <si>
    <t>LUFFA OPERCULATA CNATURAL SPRAY X 20 ML</t>
  </si>
  <si>
    <t>MIELIX NIÑOS (EXPECTORANTE) CNATURAL JARABE X 120 ML</t>
  </si>
  <si>
    <t>TRANQUINAT (ANSIEDAD-ANGUSTIA) GOTAS X 30 ML</t>
  </si>
  <si>
    <t>MIELIX ADULTOS (EXPECTORANTE TOS CON FLEMA) CNATURAL JARABE X 120 ML</t>
  </si>
  <si>
    <t>GIN BILO (GINKGO BILOBA) FLOMECOL JARABE X 500 ML</t>
  </si>
  <si>
    <t>ACEITE ESENCIAL EUCALIPTO BIO NATURE X 10 ML</t>
  </si>
  <si>
    <t>AROUSAL COOL (MULTIORGASMO) MUJER SEXSHOP CREMA X 6 G</t>
  </si>
  <si>
    <t>FIBRA VITALIA8</t>
  </si>
  <si>
    <t>FIBRA VITALIA4</t>
  </si>
  <si>
    <t>FORTIMAX GOLD (POTENCIADOR) CNATURAL JARABE X 500 ML</t>
  </si>
  <si>
    <t>COLAGENO MARINO HIDRO. + BIOTINA + VIT. E VAINILLA VITAMIN &amp; LINE POLVO X 1000 G</t>
  </si>
  <si>
    <t>NATURALLY</t>
  </si>
  <si>
    <t>VINAGRE DE MANZANA - ALCACHOFA NATURALLY X 500 ML</t>
  </si>
  <si>
    <t>VINAGRE DE MANZANA - BERENJENA NATURALLY X 500 ML</t>
  </si>
  <si>
    <t>VINAGRE DE MANZANA CON LA MADRE GALLO X 500 ML</t>
  </si>
  <si>
    <t>VINAGRE DE MANZANA GALLO X 500 ML</t>
  </si>
  <si>
    <t>SAL MARINA NO CONSUMIBLE NATURALLY X 500 G</t>
  </si>
  <si>
    <t>SAL MARINA CONSUMIBLE NATURALLY X 500 G</t>
  </si>
  <si>
    <t>LINAZA MOLIDA SIN MEZCLAS NATURALLY X 250 G</t>
  </si>
  <si>
    <t>LINAZA GRANO NATURALLY X 250 G</t>
  </si>
  <si>
    <t>PYILLIUM NATURALLY X 200 G</t>
  </si>
  <si>
    <t>FENOGRECO SEMILLA PURO NATURALLY X 100 G</t>
  </si>
  <si>
    <t>CALENDULA FLOR NATURALLY X 20 G</t>
  </si>
  <si>
    <t>ACACIA DE LA INDIA NATURALLY X 20 G</t>
  </si>
  <si>
    <t>BOLDO HOJAS NATURALLY X 30 G</t>
  </si>
  <si>
    <t>CARDAMOMO PURO NATURALLY X 20 G</t>
  </si>
  <si>
    <t>MANZANILLA FLOR NATURALLY X 20 G</t>
  </si>
  <si>
    <t>AJONJOLI PURO NATURALLY X 200 G</t>
  </si>
  <si>
    <t>SEN HOJAS NATURALLY X 30 G</t>
  </si>
  <si>
    <t>BRONQUISAN PASTILLAS MANA DISPLAY X 20 SOBRES</t>
  </si>
  <si>
    <t>VITA GOLD PACA X 100</t>
  </si>
  <si>
    <t>MACH DISNATURA 4 UNID.</t>
  </si>
  <si>
    <t>MACH DISNATURA PACA X 100 X 4</t>
  </si>
  <si>
    <t>MEGAS'X DORADO NATURALPOWER BOLSA X 100 PASTILLEROS X 400 TABLETAS</t>
  </si>
  <si>
    <t>MEGAS'X DORADO NATURALPOWER PASTILLERO X 4 TABLETAS</t>
  </si>
  <si>
    <t>MACH DISNATURA CREM</t>
  </si>
  <si>
    <t>PROPOLEO NIÑOS MARAÑON CAR&amp;MER JALEA X 160 G</t>
  </si>
  <si>
    <t>PROPOLEO ADULTOS JENGIBRE CAR&amp;MER JALEA X 310 G</t>
  </si>
  <si>
    <t>VITA GOLD 4 UNID.</t>
  </si>
  <si>
    <t>RAIZAN FLOMECOL JARABE X 330 ML</t>
  </si>
  <si>
    <t>AGUA DE COCO ELECTROLITOS BIOEIWA X 500 ML</t>
  </si>
  <si>
    <t>SOY &amp; SURE KIDS FRESA VITALFARMA POLVO X 400 G</t>
  </si>
  <si>
    <t>SOY &amp; SURE KIDS VAINILLA VITALFARMA POLVO X 400 G</t>
  </si>
  <si>
    <t>EROTICOS</t>
  </si>
  <si>
    <t>ACEITE CALIENTE + DADOS CHICLE EROTICOS X 12 ML</t>
  </si>
  <si>
    <t>ACEITE CALIENTE + DADOS FRAMBUESA EROTICOS X 12 ML</t>
  </si>
  <si>
    <t>ACEITE CALIENTE + DADOS FRUTOS ROJOS EROTICOS X 12 ML</t>
  </si>
  <si>
    <t>ACEITE CALIENTE + DADOS HIELO EROTICOS X 12 ML</t>
  </si>
  <si>
    <t>ACEITE CALIENTE + DADOS MARACUYA EROTICOS X 12 ML</t>
  </si>
  <si>
    <t>CASTAÑO DE INDIAS X 60 CAPSULAS</t>
  </si>
  <si>
    <t>SAW PALMETTO 500 MG COMPUESTO X 60 CAPSULAS</t>
  </si>
  <si>
    <t>TIGHTEN UP (ESTRECHANTE) MUJER EROTICOS CREMA X 6 G</t>
  </si>
  <si>
    <t>ACEITE DOBLE PROPOSITO CHICLE EROTICOS X 90 ML</t>
  </si>
  <si>
    <t>ACEITE DOBLE PROPOSITO FRESA EROTICOS X 90 ML</t>
  </si>
  <si>
    <t>ACEITE DOBLE PROPOSITO FRUTOS ROJOS EROTICOS X 90 ML</t>
  </si>
  <si>
    <t>GEL CALIENTE BOMBOMBUM LUBRICANTE EROTICOS X 30 ML</t>
  </si>
  <si>
    <t>GEL CALIENTE FRAMBUESA LUBRICANTE EROTICOS X 30 ML</t>
  </si>
  <si>
    <t>GEL CALIENTE FRESA CHOCOLATE LUBRICANTE EROTICOS X 30 ML</t>
  </si>
  <si>
    <t>GEL CALIENTE FRESA LUBRICANTE EROTICOS X 30 ML</t>
  </si>
  <si>
    <t>GEL CALIENTE FRUTOS ROJOS LUBRICANTE EROTICOS X 30 ML</t>
  </si>
  <si>
    <t>GEL CALIENTE HIELO LUBRICANTE EROTICOS X 30 ML</t>
  </si>
  <si>
    <t>GEL EVA MULTIORGASMO AROUSAL LUBRICANTE EROTICOS X 6 ML</t>
  </si>
  <si>
    <t>GEL ESTRECHANTE VAGINAL LUBRICANTE EROTICOS X 6 ML</t>
  </si>
  <si>
    <t>ACEITE KISSES FRUTOS ROJOS LUBRICANTE EROTICOS X 6 ML</t>
  </si>
  <si>
    <t>ACEITE KISSES MANZANA VERDE LUBRICANTE EROTICOS X 6 ML</t>
  </si>
  <si>
    <t>ACEITE KISSES MARACUYA LUBRICANTE EROTICOS X 6 ML</t>
  </si>
  <si>
    <t>ACEITE KISSES MENTA LUBRICANTE EROTICOS X 6 ML</t>
  </si>
  <si>
    <t>ACEITE KISSES TEQUILA LUBRICANTE EROTICOS X 6 ML</t>
  </si>
  <si>
    <t>ACEITE KISSES UVA LUBRICANTE EROTICOS X 6 ML</t>
  </si>
  <si>
    <t>GEL CALIENTE MARACUYA LUBRICANTE EROTICOS X 30 ML</t>
  </si>
  <si>
    <t>BERBERIS VULGARIS COMPLEX LA FARFALLA GOTAS X 50 ML</t>
  </si>
  <si>
    <t>NUX VOMICA COMPLEX LA FARFALLA GOTAS X 50 ML</t>
  </si>
  <si>
    <t>SULPHUR COMPLEX LA FARFALLA GOTAS X 50 ML</t>
  </si>
  <si>
    <t>DESTINO</t>
  </si>
  <si>
    <t>NOBACTER PASTILLAS GARGANTA CHERRY NALEMAM DISPLAY X 24 SOBRES</t>
  </si>
  <si>
    <t>NOBACTER PASTILLAS GARGANTA NARANJA NALEMAM DISPLAY X 24 SOBRES</t>
  </si>
  <si>
    <t>CHIA GRANO NATURALLY X 150 G</t>
  </si>
  <si>
    <t>POWERS'X ROSADO MUJER NATURALPOWER BLISTER X 10 TABLETAS</t>
  </si>
  <si>
    <t>VINAGRE DE SIDRA DE MANZANA CON MADRE LA ESPERANZA X 490 ML</t>
  </si>
  <si>
    <t>NALEMAM</t>
  </si>
  <si>
    <t>HEMOFER (MULTIVITAMINICO) FRESA NALEMAM JARABE X 240 ML</t>
  </si>
  <si>
    <t>GEL LUBRICANTE NEUTRO NORMAL PUNTO G EROTICOS X 30 ML</t>
  </si>
  <si>
    <t>SALES DE SCHUSSLER COMPLEX LA FARFALLA GOTAS X 50 ML</t>
  </si>
  <si>
    <t>TRULULU GOMITAS SURTIDAS SUPER X 6 UNIDADES</t>
  </si>
  <si>
    <t>TRULULU MASMELOS SURTIDAS SUPER X 6 UNIDADES</t>
  </si>
  <si>
    <t>COLAGENO HIDRO. + BIOTINA + VIT. E UVA VITAMIN &amp; LINE JARABE X 1000 ML</t>
  </si>
  <si>
    <t>MEGAS'X TEMP NATURALPOWER BOLSA X 100 PASTILLEROS X 400 TABLETAS</t>
  </si>
  <si>
    <t>MEGAS'X TEMP NATURALPOWER PASTILLERO X 4 TABLETAS</t>
  </si>
  <si>
    <t>FIBRA VITALIA2</t>
  </si>
  <si>
    <t>TE VERDE GR X 30 TISANAS</t>
  </si>
  <si>
    <t>Z-ZINC NIÑOS MULTIVITAMINICO FRESA NALEMAM POLVO X 300 G</t>
  </si>
  <si>
    <t>Z-ZINC NIÑOS MULTIVITAMINICO VAINILLA NALEMAM POLVO X 300 G</t>
  </si>
  <si>
    <t>VITAMINA E 1000 UI + SELENIO IMPORTADO FARNAT BLISTER X 30 SOFTGELS</t>
  </si>
  <si>
    <t>COLAGENO HIDROLIZADO NATURAL LIFE POLVO X 30 SACHETS</t>
  </si>
  <si>
    <t>GINKGO BILOBA (80 MG) IMPORTADO NATURAL LIFE X 100 SOFTGELS</t>
  </si>
  <si>
    <t>GINKGO BILOBA (80 MG) IMPORTADO NATURAL LIFE X 50 SOFTGELS</t>
  </si>
  <si>
    <t>ISOFLAVONA DE SOYA IMPORTADO NATURAL LIFE X 100 SOFTGELS</t>
  </si>
  <si>
    <t>ISOFLAVONA DE SOYA IMPORTADO NATURAL LIFE X 50 SOFTGELS</t>
  </si>
  <si>
    <t>TRIPLE OMEGA 369 IMPORTADO NATURAL LIFE X 100 SOFTGELS</t>
  </si>
  <si>
    <t>TRIPLE OMEGA 369 IMPORTADO NATURAL LIFE X 50 SOFTGELS</t>
  </si>
  <si>
    <t>VITAMINA E 400 IU IMPORTADO NATURAL LIFE X 100 SOFTGELS</t>
  </si>
  <si>
    <t>VITAMINA E 400 IU IMPORTADO NATURAL LIFE X 50 SOFTGELS</t>
  </si>
  <si>
    <t>CALCIO + VITAMINA D3 NATURALPOWER BLISTER X 30 SOFTGELS</t>
  </si>
  <si>
    <t>ALOE VERA + VITAMINA E LOCION IMPORTADO VITAMIN &amp; LINE X 60 SOFTGELS</t>
  </si>
  <si>
    <t>BIOTINA 900 MCG VITAMINE &amp; LINE X 100 SOFTGELS</t>
  </si>
  <si>
    <t>COMPLEJO B + ZINC + VITAMINA D VITAMIN &amp; LINE X 100 SOFTGELS</t>
  </si>
  <si>
    <t>LECITINA DE SOYA IMPORTADO VITAMIN &amp; LINE X 100 SOFTGELS</t>
  </si>
  <si>
    <t>MELATONINA 3 MG IMPORTADO VITAMIN &amp; LINE X 100 SOFTGELS</t>
  </si>
  <si>
    <t>OMEGA 3 6 9 VITAMIN &amp; LINE X 100 SOFTGELS</t>
  </si>
  <si>
    <t>OMEGA 3 VITAMIN &amp; LINE X 100 SOFTGELS</t>
  </si>
  <si>
    <t>PLATA COLOIDAL (ARGENTUM METALLICUM) LA FARFALLA SPRAY X 120 ML</t>
  </si>
  <si>
    <t>HAMAMELIS COMPLEX LA FARFALLA GOTAS X 50 ML</t>
  </si>
  <si>
    <t>SUPREME CREATINA CEREZA IMPORTADO GMN POLVO X 450 G</t>
  </si>
  <si>
    <t>SUPREME CREATINA MANGO BICHE IMPORTADO GMN POLVO X 450 G</t>
  </si>
  <si>
    <t>ACEITE DE ROMERO LA FARFALLA X 240 ML</t>
  </si>
  <si>
    <t>REGUF (ANTIACIDO) MENTA 3Q DISPLAY X 30 SACHETS</t>
  </si>
  <si>
    <t>COLAGENO MARINO CON PEPTIDOS UVA 3Q DISPLAY X 30 SACHETS</t>
  </si>
  <si>
    <t>PERFUME HOMBRE CON FEROMONAS NATURALPOWER SPRAY X 25 ML</t>
  </si>
  <si>
    <t>PERFUME MUJER CON FEROMONAS NATURALPOWER SPRAY X 25 ML</t>
  </si>
  <si>
    <t>GEL WOMAN LUBRICANTE INTIMO NATURALPOWER TUBO X 50 G</t>
  </si>
  <si>
    <t>TRATAMIENTO VOLUMINIZANTE MEN NATURALPOWER TUBO X 50 G</t>
  </si>
  <si>
    <t>CHANCA PIEDRA 1500 MG GENESIS X 90 CAPSULAS</t>
  </si>
  <si>
    <t>CARDOMARIANO 1000 MG + SILIMARINA GENESIS X 90 CAPSULAS</t>
  </si>
  <si>
    <t>ANGELITA Y UCHUVA CAR&amp;MER CON CAJA GOTAS X 30 G</t>
  </si>
  <si>
    <t>ANGELITA Y UCHUVA CAR&amp;MER TERMOCINTADA GOTAS X 30 G</t>
  </si>
  <si>
    <t>LAXARDIG (FIBRA DIGESTIVA LAXANTE) CAR&amp;MER DISPLAY X 20 SACHETS</t>
  </si>
  <si>
    <t>ALCACHOFA 300 MG + BOLDO 200 MG GENESIS X 90 CAPSULAS</t>
  </si>
  <si>
    <t>CITRATO DE MAGNESIO 900 MG + VIT. C 600 MG GENESIS X 90 CAPSULAS</t>
  </si>
  <si>
    <t>CITRATO DE POTASIO 900 MG + VIT. B12 600 MCG GENESIS X 90 CAPSULAS</t>
  </si>
  <si>
    <t>CLORURO DE MAGNESIO + COLAGENO + CURCUMA + D3 GENESIS X 90 CAPSULAS</t>
  </si>
  <si>
    <t>CURCUMA 1500 MG GENESIS X 90 CAPSULAS</t>
  </si>
  <si>
    <t>ESPIRULINA 1500 MG GENESIS X 90 CAPSULAS</t>
  </si>
  <si>
    <t>ACEITE DE COCO EXTRAVIRGEN EL ISLEÑO X 250 ML</t>
  </si>
  <si>
    <t>GINKGO BILOBA 500 MG + MACA 500 MG + GINSENG 500 MG GENESIS X 90 CAPSULAS</t>
  </si>
  <si>
    <t>AGUJ TRADICIONAL NATMED X 100 CAPSULAS</t>
  </si>
  <si>
    <t>COLAGENO MARINO HIDROLIZADO + VIT. C GENESIS X 90 CAPSULAS</t>
  </si>
  <si>
    <t>NATURAL PLUS</t>
  </si>
  <si>
    <t>SHAMPOO CONTROL CASPA NATURAL PLUS X 250 ML</t>
  </si>
  <si>
    <t>SHAMPOO ROMERO Y QUINA NATURAL PLUS X 250 ML</t>
  </si>
  <si>
    <t>ESENCIA FLORAL PASSIFLORA NATURAL PLUS GOTAS X 25 ML</t>
  </si>
  <si>
    <t>SHAMPOO PETROLEO NATURAL PLUS X 250 ML</t>
  </si>
  <si>
    <t>TRATAMIENTO CAPILAR CANNABIS NATURALPOWER X 500 ML</t>
  </si>
  <si>
    <t>SAW PALMETTO 1500 MG GENESIS X 90 CAPSULAS</t>
  </si>
  <si>
    <t>GEL EXTREME DILATADOR ANAL LUBRICANTE EROTICOS X 30 ML</t>
  </si>
  <si>
    <t>SUPREME CREATINA CITRUS PUNCH IMPORTADO GMN POLVO X 450 G</t>
  </si>
  <si>
    <t>HIERBA DE SAN JUAN (ST. JOHN'S WORT) NATURAL PLUS GOTAS X 25 ML</t>
  </si>
  <si>
    <t>DI-33 BEBIDA CALIENTE LIMON MONSER POLVO X 24 SACHETS</t>
  </si>
  <si>
    <t>DI-33 PASTILLAS GARGANTA MIEL MONSER DISPLAY X 100 PASTILLAS</t>
  </si>
  <si>
    <t>CLONODEX (NEOMICINA-CLOTRIMAZOL-BETAMETASONA) MONSER CREMA X 20 G</t>
  </si>
  <si>
    <t>TAUROLAX (LAXANTE) MONSER BLISTER X 10 CAPSULAS</t>
  </si>
  <si>
    <t>SHAMPOO MANZANILLA NATURAL PLUS X 250 ML</t>
  </si>
  <si>
    <t>SHAMPOO ORTIGA NATURAL PLUS X 250 ML</t>
  </si>
  <si>
    <t>CANAMARTH (CANNABIS) 6X EMARTH JARABE X 360 ML</t>
  </si>
  <si>
    <t>INMUNOTHE NIÑOS (ECHINACEA) CONSORCIO GLOBULOS X 10 ML</t>
  </si>
  <si>
    <t>VICIOS COMPLEX LA FARFALLA X 50 ML</t>
  </si>
  <si>
    <t>ALOE VERA + COENZIMA Q10 IMPORTADO NAT. NUTRITION X 60 SOFTGELS TWIST OFF</t>
  </si>
  <si>
    <t>CASTAÑO DE INDIAS GENESIS X 90 CAPSULAS</t>
  </si>
  <si>
    <t>COLAGENO HIDROLIZADO PROFINAT X 60 SOFTGELS</t>
  </si>
  <si>
    <t>CITRATO DE POTASIO 750 MG + CITRATO DE MAGNESIO 750 MG GENESIS X 90 CAPSULAS</t>
  </si>
  <si>
    <t>ZINC + CITRATO DE MAGNESIO GENESIS X 90 CAPSULAS</t>
  </si>
  <si>
    <t>VITAMINA D3 + CITRATO DE MAGNESIO GENESIS X 90 CAPSULAS</t>
  </si>
  <si>
    <t>CASCARA SAGRADA + CITRATO DE MAGNESIO GENESIS X 90 CAPSULAS</t>
  </si>
  <si>
    <t>ESENCIAS FLORALES CHANCAPIEDRA LA FARFALLA GOTAS X 30 ML</t>
  </si>
  <si>
    <t>APIS MELLIFICA COMPLEX LA FARFALLA GOTAS X 50 ML</t>
  </si>
  <si>
    <t>ESENCIAS FLORALES HARPAGOFITO LA FARFALLA GOTAS X 30 ML</t>
  </si>
  <si>
    <t>AJO + CITRATO DE MAGNESIO GENESIS X 90 CAPSULAS</t>
  </si>
  <si>
    <t>FOSFORO + CITRATO DE MAGNESIO GENESIS X 90 CAPSULAS</t>
  </si>
  <si>
    <t>NOPAL + CITRATO DE MAGNESIO GENESIS X 90 CAPSULAS</t>
  </si>
  <si>
    <t>VIRA VIRA + CITRATO DE MAGNESIO GENESIS X 90 CAPSULAS</t>
  </si>
  <si>
    <t>HIGRON KDS (ANTIPARASITARIO) FLOMECOL X 120 ML</t>
  </si>
  <si>
    <t>HIGRON NIÑOS (ANTIPARASITARIO) FLOMECOL CON CAJA X 120 ML</t>
  </si>
  <si>
    <t>GENESIS</t>
  </si>
  <si>
    <t>CHUNZA GRASA NATMED X 100 CAPSULAS</t>
  </si>
  <si>
    <t>GLUCAL - D (GLUCOSAMINA) VAINILLA SUPLE HERBALS POLVO X 700 G</t>
  </si>
  <si>
    <t>GROW KIDS (MULTIVITAMINICO) VAINILLA SUPLE HERBALS POLVO X 700 G</t>
  </si>
  <si>
    <t>POWERS'X BOLSA X 100 PASTILLEROS X 400 TABLETAS</t>
  </si>
  <si>
    <t>POWERS'X PASTILLERO X 4 TABLETAS</t>
  </si>
  <si>
    <t>OMEGA 3 6 9 PROFINAT BLISTER X 30 SOFTGELS</t>
  </si>
  <si>
    <t>PRODUCTO A DESCODIFICAR</t>
  </si>
  <si>
    <t>PRODUCTO SIN REGISTRO</t>
  </si>
  <si>
    <t>CHOLAGOG INDIGENA FLOMECOL JARABE X 500 ML</t>
  </si>
  <si>
    <t>SUPLE HERBALS</t>
  </si>
  <si>
    <t>PRONALICOL</t>
  </si>
  <si>
    <t>C1RQL3N PRONALICOL JARABE X 360 ML</t>
  </si>
  <si>
    <t>PROSTAMAX PRONALICOL JARABE X 360 ML</t>
  </si>
  <si>
    <t>VINU-CR-BR4L PRONALICOL JARABE X 360 ML</t>
  </si>
  <si>
    <t>VITAN-CR-BR1NA PRONALICOL JARABE X 360 ML</t>
  </si>
  <si>
    <t>ZARZAPARRILLA PRONALICOL JARABE X 360 ML</t>
  </si>
  <si>
    <t>SANLY</t>
  </si>
  <si>
    <t>ACEITE DE ALMENDRAS SANLY X 120 ML</t>
  </si>
  <si>
    <t>ACEITE DE NARANJA SANLY X 120 ML</t>
  </si>
  <si>
    <t>ACEITE DE RICINO SANLY X 120 ML</t>
  </si>
  <si>
    <t>ALIFLUS BEBIDA CALIENTE LIMON SANLY POLVO X 24 SACHETS</t>
  </si>
  <si>
    <t>ALIFLUS ADULTOS SANLY JARABE X 120 ML</t>
  </si>
  <si>
    <t>ALIFLUS NIÑOS SANLY JARABE X 120 ML</t>
  </si>
  <si>
    <t>CREMA NUTRITIVA COLAGENO SANLY X 60 G</t>
  </si>
  <si>
    <t>FIBRUELAX (FIBRA DIGESTIVA LAXANTE) SANLY JALEA X 300 G</t>
  </si>
  <si>
    <t>GEL FRIO REAFIRMANTE CON MENTOL SANLY X 400 G</t>
  </si>
  <si>
    <t>GEL CALIENTE REDUCTOR CON L-CARNITINA SANLY X 400 G</t>
  </si>
  <si>
    <t>ZARZAGEN (ZARZAPARRILLA) SANLY JARABE X 360 ML</t>
  </si>
  <si>
    <t>CREMA POWER SENSATION COLAGENO NISSI X 750 ML</t>
  </si>
  <si>
    <t>CRAMBERRY + CITRATO DE MAGNESIO GENESIS X 90 CAPSULAS</t>
  </si>
  <si>
    <t>MELATONINA + PASSIFLORA GENESIS X 90 CAPSULAS</t>
  </si>
  <si>
    <t>SUTRA (POTENCIADOR) GENESIS DISPLAY X 30 SACHETS</t>
  </si>
  <si>
    <t>SUTRA (POTENCIADOR) GENESIS SACHET X 20 ML</t>
  </si>
  <si>
    <t>ACEITE DE COCO SANLY X 120 ML</t>
  </si>
  <si>
    <t>ACTIPEN (POTENCIADOR) FRUTOS ROJOS SANLY JARABE X 500 ML</t>
  </si>
  <si>
    <t>ALIFLUS PROPOLEO SANLY JALEA X 250 G</t>
  </si>
  <si>
    <t>MEMO MAX (MULTIVITAMINICO) SANLY POLVO GRANULADO X 800 G</t>
  </si>
  <si>
    <t>ATOMIC PREWORKOUT FRUTOS ROJOS MASS PROTEINS POLVO X 450 G</t>
  </si>
  <si>
    <t>FORCE CREATINE MASS PROTEINS POLVO X 450 G</t>
  </si>
  <si>
    <t>THUNDER L-GLUTAMINE FRUTOS AMARILLOS MASS PROTEINS POLVO X 450 G</t>
  </si>
  <si>
    <t>EXTREME MEGA MASS GAINER VAINILLA MASS PROTEINS POLVO X 3 LB</t>
  </si>
  <si>
    <t>RAPTOR CARNICA FRUTOS ROJOS MASS PROTEINS POLVO X 3 LB</t>
  </si>
  <si>
    <t>THOR MEGA MASS GAINER VAINILLA MASS PROTEINS POLVO X 13 LB</t>
  </si>
  <si>
    <t>THOR MEGA MASS GAINER VAINILLA MASS PROTEINS POLVO X 3,5 LB</t>
  </si>
  <si>
    <t>SUTRA (POTENCIADOR) GENESIS JARABE X 500 ML + RETARDANTE</t>
  </si>
  <si>
    <t>ENERGY UP BEBIDA ENERGIZANTE GMN TERMO X 25 SACHETS</t>
  </si>
  <si>
    <t>SHAMPOO HOMBRES 2 EN 1 (CABELLO CORTO) Mª SALOME X 400 ML</t>
  </si>
  <si>
    <t>PHARBIOLAB®</t>
  </si>
  <si>
    <t>COLAGENO + BIOTINA PHARBIOLAB® BLISTER X 30 SOFTGELS</t>
  </si>
  <si>
    <t>COLAGENO + BIOTINA PHARBIOLAB® FRASCO X 60 SOFTGELS</t>
  </si>
  <si>
    <t>COMPLEJO B + ZINC + VITAMINA D3 PHARBIOLAB® BLISTER X 30 SOFTGELS</t>
  </si>
  <si>
    <t>FIBERLAB (FIBRA DIETARIA) NARANJA PHARBIOLAB® POLVO X 1000 G</t>
  </si>
  <si>
    <t>GELILAB ADVANCE (COLAGENO HIDROL.) UVA PHARBIOLAB® POLVO X 1000 G</t>
  </si>
  <si>
    <t>OMEGA 3 PHARBIOLAB® BLISTER X 30 SOFTGELS</t>
  </si>
  <si>
    <t>SURELAB ULTRA (MULTIVITAMINICO) VAINILLA PHARBIOLAB® POLVO X 1000 G</t>
  </si>
  <si>
    <t>VITAMINA E 1000 U.I + SELENIO PHARBIOLAB® BLISTER X 30 SOFTGELS</t>
  </si>
  <si>
    <t>VITAMINA E 1000 U.I + SELENIO PHARBIOLAB® FRASCO X 60 SOFTGELS</t>
  </si>
  <si>
    <t>JABON DE AVENA NATURAL LIGHT BARRA X 80 G</t>
  </si>
  <si>
    <t>JABON DE AZUFRE NATURAL LIGHT BARRA X 80 G</t>
  </si>
  <si>
    <t>JABON DE CARBON ACTIVADO NATURAL LIGHT BARRA X 80 G</t>
  </si>
  <si>
    <t>NATURAL LIGHT</t>
  </si>
  <si>
    <t>LIPFAST-NAT NATURAL LIGHT X 60 CAPSULAS</t>
  </si>
  <si>
    <t>SMILAX-NAT (ZARZAPARRILLA) NATURAL LIGHT JARABE X 360 ML</t>
  </si>
  <si>
    <t>STEVIA GREEN SUGAR NATURAL LIGHT GOTAS X 30 ML</t>
  </si>
  <si>
    <t>TE VERDE MEISHEN REPUESTO NATURAL LIGHT X 30 TISANAS</t>
  </si>
  <si>
    <t>THERA WHEY (PROTEINA LIMPIA) VAINILLA NATURAL LIGHT POLVO X 2 LB</t>
  </si>
  <si>
    <t>SURELAB CHILDREN'S (MULTIVITAMINICO) VAINILLA PHARBIOLAB® POLVO X 1000 G</t>
  </si>
  <si>
    <t>ACEITE DE RICINO CONSUMIBLE NATURAL LIGHT X 60 ML</t>
  </si>
  <si>
    <t>QUINUA DESAPONIFICADA NATURAL LIGHT X 500 G</t>
  </si>
  <si>
    <t>RESPIRIN GRIPA (ANTI-GRIPAL) SANLY DISPLAY X 10 BLISTER X 100 CAPSULAS</t>
  </si>
  <si>
    <t>ISOFLAVONAS DE SOYA + CALCIO + VIT. D3 VITAMIN &amp; LINE X 100 SOFTGELS</t>
  </si>
  <si>
    <t>DESES 3 PRONALICOL JARABE X 360 ML</t>
  </si>
  <si>
    <t>CLLORUROX (CLORURO MAGNESIO) FRESA GENESIS JARABE X 500 ML</t>
  </si>
  <si>
    <t>DRASITYHOL (PURGANTE) NAT. GERMANS POLVO X 15 G</t>
  </si>
  <si>
    <t>NEWFOUNDLAND</t>
  </si>
  <si>
    <t>COVID 19 AUTOTEST NEWFOUNDLAND CASETE UNIDAD</t>
  </si>
  <si>
    <t>DEFICIENCIA HIERRO FERRITINA AUTOTEST NEWFOUNDLAND CASETE UNIDAD</t>
  </si>
  <si>
    <t>DEFICIENCIA VITAMINA D AUTOTEST NEWFOUNDLAND CASETE UNIDAD</t>
  </si>
  <si>
    <t>DETECCION DENGUE NSL AUTOTEST NEWFOUNDLAND CASETE UNIDAD</t>
  </si>
  <si>
    <t>FERTILIDAD MASCULINA FOB AUTOTEST NEWFOUNDLAND CASETE UNIDAD</t>
  </si>
  <si>
    <t>SALUD INTESTINAL FOB AUTOTEST NEWFOUNDLAND CASETE UNIDAD</t>
  </si>
  <si>
    <t>SALUD PROSTATICA PSA AUTOTEST NEWFOUNDLAND CASETE UNIDAD</t>
  </si>
  <si>
    <t>TIROIDES TSH AUTOTEST NEWFOUNDLAND CASETE UNIDAD</t>
  </si>
  <si>
    <t>ULCERA ESTOMACAL H. PYLORI AUTOTEST NEWFOUNDLAND CASETE UNIDAD</t>
  </si>
  <si>
    <t>MENOPAUSIA FSH AUTOTEST NEWFOUNDLAND MIDSTREAM UNIDAD</t>
  </si>
  <si>
    <t>OVULACION LH AUTOTEST NEWFOUNDLAND MIDSTREAM UNIDAD</t>
  </si>
  <si>
    <t>SALUD RENAL MAU AUTOTEST NEWFOUNDLAND MIDSTREAM UNIDAD</t>
  </si>
  <si>
    <t>VIH AUTOTEST NEWFOUNDLAND MIDSTREAM UNIDAD</t>
  </si>
  <si>
    <t>TERRANABIS (EXTRACTO CANNABIS) BIO NATURE GOTAS X 25 ML</t>
  </si>
  <si>
    <t>SHAMPOO ANTICASPA Mª SALOME X 400 ML</t>
  </si>
  <si>
    <t>ACEITE DE COCO VIRGEN EL ISLEÑO X 130 ML</t>
  </si>
  <si>
    <t>VITAMINA C 1500 MG GENESIS X 90 CAPSULAS</t>
  </si>
  <si>
    <t>ACEITE DE COCO VIRGEN EL ISLEÑO X 30 ML</t>
  </si>
  <si>
    <t>SURELAB MAMA (MULTIVITAMINICO) VAINILLA PHARBIOLAB® POLVO X 1000 G</t>
  </si>
  <si>
    <t>PURPLUS (ANTIPARASITARIO) NIÑOS SABOR FRESA CNATURAL JARABE X 60 ML</t>
  </si>
  <si>
    <t>GUALAN MAX (GUALANDAY) CNATURAL JARABE X 360 ML</t>
  </si>
  <si>
    <t>GST FULL (ANTIACIDO) MENTA CNATURAL JARABE X 360 ML + 120 ML</t>
  </si>
  <si>
    <t>CITRAMAG (CITRATO MAGNESIO) VAINILLA VITAMIN &amp; LINE POLVO 400 G</t>
  </si>
  <si>
    <t>CITRA-POT (CITRATO POTASIO) VAINILLA VITAMIN &amp; LINE POLVO 400 G</t>
  </si>
  <si>
    <t xml:space="preserve">GUMMY VITS (VITAGOMITAS) VITAMIN &amp; LINE </t>
  </si>
  <si>
    <t>VERIFICAR</t>
  </si>
  <si>
    <t>005</t>
  </si>
  <si>
    <t>0 - 20.000</t>
  </si>
  <si>
    <t>TIENDA N.</t>
  </si>
  <si>
    <t>Precio distribuidor</t>
  </si>
  <si>
    <t xml:space="preserve">Costo envio </t>
  </si>
  <si>
    <t>Margen40%</t>
  </si>
  <si>
    <t xml:space="preserve">Precio final </t>
  </si>
  <si>
    <t>MEGAS'X AZUL NATURALPOWER PASTILLERO X 3</t>
  </si>
  <si>
    <t>COMPLEJO B + ZINC + VITAMINA D3 PHARBIOL</t>
  </si>
  <si>
    <t>GELILAB ADVANCE (COLAGENO HIDROL.) UVA P</t>
  </si>
  <si>
    <t>SURELAB ULTRA (MULTIVITAMINICO) VAINILLA</t>
  </si>
  <si>
    <t xml:space="preserve">CITRATO DE MAGNESIO 900 MG + VIT. C 600 </t>
  </si>
  <si>
    <t xml:space="preserve">RAIZAN FLOMECOL JARABE X 330 ML         </t>
  </si>
  <si>
    <t>VINAGRE DE CIDRA - MANZANA CAR&amp;MER X 750</t>
  </si>
  <si>
    <t xml:space="preserve">BRONCOX MAXX IMPROFARME JARABE X 120 ML </t>
  </si>
  <si>
    <t>ESENCIAS FLORALES STRES, DEPRESION, INSO</t>
  </si>
  <si>
    <t xml:space="preserve">AGUA DE COCO ELECTROLITOS BIOEIWA X 500 </t>
  </si>
  <si>
    <t>VINAGRE DE MANZANA PREMIUM CAR&amp;MER X 750</t>
  </si>
  <si>
    <t>CITRATO DE POTASIO 900 MG + VIT. B12 600</t>
  </si>
  <si>
    <t xml:space="preserve">VINAGRE DE MANZANA CAR&amp;MER X 750 ML     </t>
  </si>
  <si>
    <t>ESCOBITA (PURGANTE) FLOMECOL POLVO X 2 S</t>
  </si>
  <si>
    <t>VITAMINA E 1000 U.I + SELENIO PHARBIOLAB</t>
  </si>
  <si>
    <t>GST FULL (ANTIACIDO) MENTA CNATURAL JARA</t>
  </si>
  <si>
    <t xml:space="preserve">SHAMPOO TRADICIONAL Mª SALOME X 400 ML  </t>
  </si>
  <si>
    <t>CITRATO DE POTASIO 750 MG + CITRATO DE M</t>
  </si>
  <si>
    <t>MIEL ANGELITA ZANAHORIA Y UCHUVA FLOMECO</t>
  </si>
  <si>
    <t>ESENCIAS FLORALES RESCATE LA FARFALLA GO</t>
  </si>
  <si>
    <t>CLORURO DE MAGNESIO + COLAGENO + CURCUMA</t>
  </si>
  <si>
    <t xml:space="preserve">RHEUMADAUL MANA X 20 CAPSULAS           </t>
  </si>
  <si>
    <t>VINAGRE DE CIDRA DE MANZANA CON MADRE CA</t>
  </si>
  <si>
    <t>EXTRACTO VALEPASS FORTE NATURFAR GOTAS X</t>
  </si>
  <si>
    <t>OMEGA 3 PHARBIOLAB® BLISTER X 30 SOFTGEL</t>
  </si>
  <si>
    <t>COLAGENO + BIOTINA PHARBIOLAB® BLISTER X</t>
  </si>
  <si>
    <t xml:space="preserve">EXTRACTO VALEPASS NATURFAR GOTAS X 60   </t>
  </si>
  <si>
    <t>SUPER MEGA GAINER VAINILLA IMPORTADO GMN</t>
  </si>
  <si>
    <t>DRASITYHOL (PURGANTE) NAT. GERMANS POLVO</t>
  </si>
  <si>
    <t xml:space="preserve">POWERS'X NATURALPOWER JARABE X 500 ML   </t>
  </si>
  <si>
    <t>FIBERLAB (FIBRA DIETARIA) NARANJA PHARBI</t>
  </si>
  <si>
    <t xml:space="preserve">MIEL DE ABEJAS LA ESPERANZA X 355 G     </t>
  </si>
  <si>
    <t>CARDOMARIANO 1000 MG + SILIMARINA GENESI</t>
  </si>
  <si>
    <t xml:space="preserve">SAVITOSITO VITALFARMA JARABE X 120 ML   </t>
  </si>
  <si>
    <t xml:space="preserve">VINAGRE DE MANZANA CON LA MADRE GALLO X </t>
  </si>
  <si>
    <t>CLORURO DE MAGNESIO IMPROFARME X 90 CAPS</t>
  </si>
  <si>
    <t>VINAGRE DE MANZANA - MIEL LA ESPERANZA X500</t>
  </si>
  <si>
    <t>TOP VENTAS</t>
  </si>
  <si>
    <t>Posicion</t>
  </si>
  <si>
    <t>Item</t>
  </si>
  <si>
    <t>TOP</t>
  </si>
  <si>
    <t>si</t>
  </si>
  <si>
    <t>no sale</t>
  </si>
  <si>
    <t>Rotacion x mes</t>
  </si>
  <si>
    <t>Ingresos x mes</t>
  </si>
  <si>
    <t>Ganancia bodega</t>
  </si>
  <si>
    <t>Ingreso x mesBodega</t>
  </si>
  <si>
    <t>Precio Mercado</t>
  </si>
  <si>
    <t>Con envio</t>
  </si>
  <si>
    <t>Dif. Vs Productopolis</t>
  </si>
  <si>
    <t>INGRESOS BRUTOS</t>
  </si>
  <si>
    <t>Ingresos x mes Productopolis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</si>
</sst>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(* #,##0.00_);_(* \(#,##0.00\);_(* &quot;-&quot;??_);_(@_)"/>
    <numFmt numFmtId="165" formatCode="_(* #,##0_);_(* \(#,##0\);_(* &quot;-&quot;??_);_(@_)"/>
    <numFmt numFmtId="166" formatCode="_-&quot;$&quot;\ * #,##0_-;\-&quot;$&quot;\ * #,##0_-;_-&quot;$&quot;\ * &quot;-&quot;??_-;_-@_-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8"/>
      <color indexed="8"/>
      <name val="Tahoma"/>
      <family val="2"/>
    </font>
    <font>
      <b/>
      <sz val="10"/>
      <color theme="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814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Border="1"/>
    <xf numFmtId="165" fontId="1" fillId="0" borderId="0" xfId="0" applyNumberFormat="1" applyFont="1"/>
    <xf numFmtId="0" fontId="1" fillId="2" borderId="2" xfId="0" applyFont="1" applyFill="1" applyBorder="1"/>
    <xf numFmtId="0" fontId="2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2" fillId="0" borderId="0" xfId="0" applyFont="1" applyAlignment="1">
      <alignment horizontal="center"/>
    </xf>
    <xf numFmtId="9" fontId="1" fillId="0" borderId="0" xfId="0" applyNumberFormat="1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4" borderId="2" xfId="0" applyFont="1" applyFill="1" applyBorder="1" applyAlignment="1">
      <alignment horizontal="center"/>
    </xf>
    <xf numFmtId="165" fontId="1" fillId="4" borderId="2" xfId="1" applyNumberFormat="1" applyFont="1" applyFill="1" applyBorder="1"/>
    <xf numFmtId="165" fontId="1" fillId="0" borderId="0" xfId="1" applyNumberFormat="1" applyFont="1" applyFill="1" applyBorder="1"/>
    <xf numFmtId="0" fontId="1" fillId="0" borderId="0" xfId="0" applyFont="1" applyAlignment="1">
      <alignment horizontal="right"/>
    </xf>
    <xf numFmtId="9" fontId="1" fillId="0" borderId="0" xfId="7812" applyFont="1"/>
    <xf numFmtId="9" fontId="1" fillId="2" borderId="0" xfId="7812" applyFont="1" applyFill="1"/>
    <xf numFmtId="0" fontId="1" fillId="3" borderId="0" xfId="0" applyFont="1" applyFill="1"/>
    <xf numFmtId="9" fontId="1" fillId="0" borderId="0" xfId="7812" applyFont="1" applyFill="1"/>
    <xf numFmtId="1" fontId="1" fillId="0" borderId="0" xfId="7812" applyNumberFormat="1" applyFont="1" applyFill="1"/>
    <xf numFmtId="0" fontId="2" fillId="5" borderId="2" xfId="0" applyFont="1" applyFill="1" applyBorder="1" applyAlignment="1">
      <alignment horizontal="center"/>
    </xf>
    <xf numFmtId="165" fontId="1" fillId="5" borderId="2" xfId="1" applyNumberFormat="1" applyFont="1" applyFill="1" applyBorder="1"/>
    <xf numFmtId="166" fontId="1" fillId="0" borderId="0" xfId="7813" applyNumberFormat="1" applyFont="1"/>
    <xf numFmtId="49" fontId="7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8" fillId="7" borderId="0" xfId="0" applyFont="1" applyFill="1"/>
    <xf numFmtId="166" fontId="1" fillId="0" borderId="0" xfId="0" applyNumberFormat="1" applyFont="1"/>
    <xf numFmtId="0" fontId="1" fillId="8" borderId="2" xfId="0" applyFont="1" applyFill="1" applyBorder="1"/>
    <xf numFmtId="0" fontId="1" fillId="8" borderId="1" xfId="0" applyFont="1" applyFill="1" applyBorder="1"/>
    <xf numFmtId="0" fontId="1" fillId="0" borderId="1" xfId="0" applyFont="1" applyFill="1" applyBorder="1"/>
    <xf numFmtId="0" fontId="9" fillId="0" borderId="0" xfId="0" applyFont="1"/>
    <xf numFmtId="0" fontId="10" fillId="0" borderId="0" xfId="0" applyFont="1" applyFill="1" applyBorder="1"/>
    <xf numFmtId="166" fontId="9" fillId="0" borderId="0" xfId="0" applyNumberFormat="1" applyFont="1"/>
    <xf numFmtId="166" fontId="11" fillId="9" borderId="0" xfId="0" applyNumberFormat="1" applyFont="1" applyFill="1"/>
    <xf numFmtId="0" fontId="2" fillId="0" borderId="2" xfId="0" applyFont="1" applyBorder="1"/>
  </cellXfs>
  <cellStyles count="7814"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2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68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4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0" builtinId="8" hidden="1"/>
    <cellStyle name="Hipervínculo" xfId="102" builtinId="8" hidden="1"/>
    <cellStyle name="Hipervínculo" xfId="104" builtinId="8" hidden="1"/>
    <cellStyle name="Hipervínculo" xfId="106" builtinId="8" hidden="1"/>
    <cellStyle name="Hipervínculo" xfId="108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6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4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2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0" builtinId="8" hidden="1"/>
    <cellStyle name="Hipervínculo" xfId="142" builtinId="8" hidden="1"/>
    <cellStyle name="Hipervínculo" xfId="144" builtinId="8" hidden="1"/>
    <cellStyle name="Hipervínculo" xfId="146" builtinId="8" hidden="1"/>
    <cellStyle name="Hipervínculo" xfId="148" builtinId="8" hidden="1"/>
    <cellStyle name="Hipervínculo" xfId="150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58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6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4" builtinId="8" hidden="1"/>
    <cellStyle name="Hipervínculo" xfId="176" builtinId="8" hidden="1"/>
    <cellStyle name="Hipervínculo" xfId="178" builtinId="8" hidden="1"/>
    <cellStyle name="Hipervínculo" xfId="180" builtinId="8" hidden="1"/>
    <cellStyle name="Hipervínculo" xfId="182" builtinId="8" hidden="1"/>
    <cellStyle name="Hipervínculo" xfId="184" builtinId="8" hidden="1"/>
    <cellStyle name="Hipervínculo" xfId="186" builtinId="8" hidden="1"/>
    <cellStyle name="Hipervínculo" xfId="188" builtinId="8" hidden="1"/>
    <cellStyle name="Hipervínculo" xfId="190" builtinId="8" hidden="1"/>
    <cellStyle name="Hipervínculo" xfId="192" builtinId="8" hidden="1"/>
    <cellStyle name="Hipervínculo" xfId="194" builtinId="8" hidden="1"/>
    <cellStyle name="Hipervínculo" xfId="196" builtinId="8" hidden="1"/>
    <cellStyle name="Hipervínculo" xfId="198" builtinId="8" hidden="1"/>
    <cellStyle name="Hipervínculo" xfId="200" builtinId="8" hidden="1"/>
    <cellStyle name="Hipervínculo" xfId="202" builtinId="8" hidden="1"/>
    <cellStyle name="Hipervínculo" xfId="204" builtinId="8" hidden="1"/>
    <cellStyle name="Hipervínculo" xfId="206" builtinId="8" hidden="1"/>
    <cellStyle name="Hipervínculo" xfId="208" builtinId="8" hidden="1"/>
    <cellStyle name="Hipervínculo" xfId="210" builtinId="8" hidden="1"/>
    <cellStyle name="Hipervínculo" xfId="212" builtinId="8" hidden="1"/>
    <cellStyle name="Hipervínculo" xfId="214" builtinId="8" hidden="1"/>
    <cellStyle name="Hipervínculo" xfId="216" builtinId="8" hidden="1"/>
    <cellStyle name="Hipervínculo" xfId="218" builtinId="8" hidden="1"/>
    <cellStyle name="Hipervínculo" xfId="220" builtinId="8" hidden="1"/>
    <cellStyle name="Hipervínculo" xfId="222" builtinId="8" hidden="1"/>
    <cellStyle name="Hipervínculo" xfId="224" builtinId="8" hidden="1"/>
    <cellStyle name="Hipervínculo" xfId="226" builtinId="8" hidden="1"/>
    <cellStyle name="Hipervínculo" xfId="228" builtinId="8" hidden="1"/>
    <cellStyle name="Hipervínculo" xfId="230" builtinId="8" hidden="1"/>
    <cellStyle name="Hipervínculo" xfId="232" builtinId="8" hidden="1"/>
    <cellStyle name="Hipervínculo" xfId="234" builtinId="8" hidden="1"/>
    <cellStyle name="Hipervínculo" xfId="236" builtinId="8" hidden="1"/>
    <cellStyle name="Hipervínculo" xfId="238" builtinId="8" hidden="1"/>
    <cellStyle name="Hipervínculo" xfId="240" builtinId="8" hidden="1"/>
    <cellStyle name="Hipervínculo" xfId="242" builtinId="8" hidden="1"/>
    <cellStyle name="Hipervínculo" xfId="244" builtinId="8" hidden="1"/>
    <cellStyle name="Hipervínculo" xfId="246" builtinId="8" hidden="1"/>
    <cellStyle name="Hipervínculo" xfId="248" builtinId="8" hidden="1"/>
    <cellStyle name="Hipervínculo" xfId="250" builtinId="8" hidden="1"/>
    <cellStyle name="Hipervínculo" xfId="252" builtinId="8" hidden="1"/>
    <cellStyle name="Hipervínculo" xfId="254" builtinId="8" hidden="1"/>
    <cellStyle name="Hipervínculo" xfId="256" builtinId="8" hidden="1"/>
    <cellStyle name="Hipervínculo" xfId="258" builtinId="8" hidden="1"/>
    <cellStyle name="Hipervínculo" xfId="260" builtinId="8" hidden="1"/>
    <cellStyle name="Hipervínculo" xfId="262" builtinId="8" hidden="1"/>
    <cellStyle name="Hipervínculo" xfId="264" builtinId="8" hidden="1"/>
    <cellStyle name="Hipervínculo" xfId="266" builtinId="8" hidden="1"/>
    <cellStyle name="Hipervínculo" xfId="268" builtinId="8" hidden="1"/>
    <cellStyle name="Hipervínculo" xfId="270" builtinId="8" hidden="1"/>
    <cellStyle name="Hipervínculo" xfId="273" builtinId="8" hidden="1"/>
    <cellStyle name="Hipervínculo" xfId="275" builtinId="8" hidden="1"/>
    <cellStyle name="Hipervínculo" xfId="277" builtinId="8" hidden="1"/>
    <cellStyle name="Hipervínculo" xfId="279" builtinId="8" hidden="1"/>
    <cellStyle name="Hipervínculo" xfId="281" builtinId="8" hidden="1"/>
    <cellStyle name="Hipervínculo" xfId="283" builtinId="8" hidden="1"/>
    <cellStyle name="Hipervínculo" xfId="285" builtinId="8" hidden="1"/>
    <cellStyle name="Hipervínculo" xfId="287" builtinId="8" hidden="1"/>
    <cellStyle name="Hipervínculo" xfId="289" builtinId="8" hidden="1"/>
    <cellStyle name="Hipervínculo" xfId="291" builtinId="8" hidden="1"/>
    <cellStyle name="Hipervínculo" xfId="293" builtinId="8" hidden="1"/>
    <cellStyle name="Hipervínculo" xfId="295" builtinId="8" hidden="1"/>
    <cellStyle name="Hipervínculo" xfId="297" builtinId="8" hidden="1"/>
    <cellStyle name="Hipervínculo" xfId="299" builtinId="8" hidden="1"/>
    <cellStyle name="Hipervínculo" xfId="301" builtinId="8" hidden="1"/>
    <cellStyle name="Hipervínculo" xfId="303" builtinId="8" hidden="1"/>
    <cellStyle name="Hipervínculo" xfId="305" builtinId="8" hidden="1"/>
    <cellStyle name="Hipervínculo" xfId="307" builtinId="8" hidden="1"/>
    <cellStyle name="Hipervínculo" xfId="309" builtinId="8" hidden="1"/>
    <cellStyle name="Hipervínculo" xfId="311" builtinId="8" hidden="1"/>
    <cellStyle name="Hipervínculo" xfId="313" builtinId="8" hidden="1"/>
    <cellStyle name="Hipervínculo" xfId="315" builtinId="8" hidden="1"/>
    <cellStyle name="Hipervínculo" xfId="317" builtinId="8" hidden="1"/>
    <cellStyle name="Hipervínculo" xfId="319" builtinId="8" hidden="1"/>
    <cellStyle name="Hipervínculo" xfId="321" builtinId="8" hidden="1"/>
    <cellStyle name="Hipervínculo" xfId="323" builtinId="8" hidden="1"/>
    <cellStyle name="Hipervínculo" xfId="325" builtinId="8" hidden="1"/>
    <cellStyle name="Hipervínculo" xfId="327" builtinId="8" hidden="1"/>
    <cellStyle name="Hipervínculo" xfId="329" builtinId="8" hidden="1"/>
    <cellStyle name="Hipervínculo" xfId="331" builtinId="8" hidden="1"/>
    <cellStyle name="Hipervínculo" xfId="333" builtinId="8" hidden="1"/>
    <cellStyle name="Hipervínculo" xfId="335" builtinId="8" hidden="1"/>
    <cellStyle name="Hipervínculo" xfId="337" builtinId="8" hidden="1"/>
    <cellStyle name="Hipervínculo" xfId="339" builtinId="8" hidden="1"/>
    <cellStyle name="Hipervínculo" xfId="341" builtinId="8" hidden="1"/>
    <cellStyle name="Hipervínculo" xfId="343" builtinId="8" hidden="1"/>
    <cellStyle name="Hipervínculo" xfId="345" builtinId="8" hidden="1"/>
    <cellStyle name="Hipervínculo" xfId="347" builtinId="8" hidden="1"/>
    <cellStyle name="Hipervínculo" xfId="349" builtinId="8" hidden="1"/>
    <cellStyle name="Hipervínculo" xfId="351" builtinId="8" hidden="1"/>
    <cellStyle name="Hipervínculo" xfId="353" builtinId="8" hidden="1"/>
    <cellStyle name="Hipervínculo" xfId="355" builtinId="8" hidden="1"/>
    <cellStyle name="Hipervínculo" xfId="357" builtinId="8" hidden="1"/>
    <cellStyle name="Hipervínculo" xfId="359" builtinId="8" hidden="1"/>
    <cellStyle name="Hipervínculo" xfId="361" builtinId="8" hidden="1"/>
    <cellStyle name="Hipervínculo" xfId="363" builtinId="8" hidden="1"/>
    <cellStyle name="Hipervínculo" xfId="365" builtinId="8" hidden="1"/>
    <cellStyle name="Hipervínculo" xfId="367" builtinId="8" hidden="1"/>
    <cellStyle name="Hipervínculo" xfId="369" builtinId="8" hidden="1"/>
    <cellStyle name="Hipervínculo" xfId="371" builtinId="8" hidden="1"/>
    <cellStyle name="Hipervínculo" xfId="373" builtinId="8" hidden="1"/>
    <cellStyle name="Hipervínculo" xfId="375" builtinId="8" hidden="1"/>
    <cellStyle name="Hipervínculo" xfId="377" builtinId="8" hidden="1"/>
    <cellStyle name="Hipervínculo" xfId="379" builtinId="8" hidden="1"/>
    <cellStyle name="Hipervínculo" xfId="381" builtinId="8" hidden="1"/>
    <cellStyle name="Hipervínculo" xfId="383" builtinId="8" hidden="1"/>
    <cellStyle name="Hipervínculo" xfId="385" builtinId="8" hidden="1"/>
    <cellStyle name="Hipervínculo" xfId="387" builtinId="8" hidden="1"/>
    <cellStyle name="Hipervínculo" xfId="389" builtinId="8" hidden="1"/>
    <cellStyle name="Hipervínculo" xfId="391" builtinId="8" hidden="1"/>
    <cellStyle name="Hipervínculo" xfId="393" builtinId="8" hidden="1"/>
    <cellStyle name="Hipervínculo" xfId="395" builtinId="8" hidden="1"/>
    <cellStyle name="Hipervínculo" xfId="397" builtinId="8" hidden="1"/>
    <cellStyle name="Hipervínculo" xfId="399" builtinId="8" hidden="1"/>
    <cellStyle name="Hipervínculo" xfId="401" builtinId="8" hidden="1"/>
    <cellStyle name="Hipervínculo" xfId="403" builtinId="8" hidden="1"/>
    <cellStyle name="Hipervínculo" xfId="405" builtinId="8" hidden="1"/>
    <cellStyle name="Hipervínculo" xfId="407" builtinId="8" hidden="1"/>
    <cellStyle name="Hipervínculo" xfId="409" builtinId="8" hidden="1"/>
    <cellStyle name="Hipervínculo" xfId="411" builtinId="8" hidden="1"/>
    <cellStyle name="Hipervínculo" xfId="413" builtinId="8" hidden="1"/>
    <cellStyle name="Hipervínculo" xfId="415" builtinId="8" hidden="1"/>
    <cellStyle name="Hipervínculo" xfId="417" builtinId="8" hidden="1"/>
    <cellStyle name="Hipervínculo" xfId="419" builtinId="8" hidden="1"/>
    <cellStyle name="Hipervínculo" xfId="421" builtinId="8" hidden="1"/>
    <cellStyle name="Hipervínculo" xfId="423" builtinId="8" hidden="1"/>
    <cellStyle name="Hipervínculo" xfId="425" builtinId="8" hidden="1"/>
    <cellStyle name="Hipervínculo" xfId="427" builtinId="8" hidden="1"/>
    <cellStyle name="Hipervínculo" xfId="429" builtinId="8" hidden="1"/>
    <cellStyle name="Hipervínculo" xfId="431" builtinId="8" hidden="1"/>
    <cellStyle name="Hipervínculo" xfId="433" builtinId="8" hidden="1"/>
    <cellStyle name="Hipervínculo" xfId="435" builtinId="8" hidden="1"/>
    <cellStyle name="Hipervínculo" xfId="437" builtinId="8" hidden="1"/>
    <cellStyle name="Hipervínculo" xfId="439" builtinId="8" hidden="1"/>
    <cellStyle name="Hipervínculo" xfId="441" builtinId="8" hidden="1"/>
    <cellStyle name="Hipervínculo" xfId="443" builtinId="8" hidden="1"/>
    <cellStyle name="Hipervínculo" xfId="445" builtinId="8" hidden="1"/>
    <cellStyle name="Hipervínculo" xfId="447" builtinId="8" hidden="1"/>
    <cellStyle name="Hipervínculo" xfId="449" builtinId="8" hidden="1"/>
    <cellStyle name="Hipervínculo" xfId="451" builtinId="8" hidden="1"/>
    <cellStyle name="Hipervínculo" xfId="453" builtinId="8" hidden="1"/>
    <cellStyle name="Hipervínculo" xfId="455" builtinId="8" hidden="1"/>
    <cellStyle name="Hipervínculo" xfId="457" builtinId="8" hidden="1"/>
    <cellStyle name="Hipervínculo" xfId="459" builtinId="8" hidden="1"/>
    <cellStyle name="Hipervínculo" xfId="461" builtinId="8" hidden="1"/>
    <cellStyle name="Hipervínculo" xfId="463" builtinId="8" hidden="1"/>
    <cellStyle name="Hipervínculo" xfId="465" builtinId="8" hidden="1"/>
    <cellStyle name="Hipervínculo" xfId="467" builtinId="8" hidden="1"/>
    <cellStyle name="Hipervínculo" xfId="469" builtinId="8" hidden="1"/>
    <cellStyle name="Hipervínculo" xfId="471" builtinId="8" hidden="1"/>
    <cellStyle name="Hipervínculo" xfId="473" builtinId="8" hidden="1"/>
    <cellStyle name="Hipervínculo" xfId="475" builtinId="8" hidden="1"/>
    <cellStyle name="Hipervínculo" xfId="477" builtinId="8" hidden="1"/>
    <cellStyle name="Hipervínculo" xfId="479" builtinId="8" hidden="1"/>
    <cellStyle name="Hipervínculo" xfId="481" builtinId="8" hidden="1"/>
    <cellStyle name="Hipervínculo" xfId="483" builtinId="8" hidden="1"/>
    <cellStyle name="Hipervínculo" xfId="485" builtinId="8" hidden="1"/>
    <cellStyle name="Hipervínculo" xfId="487" builtinId="8" hidden="1"/>
    <cellStyle name="Hipervínculo" xfId="489" builtinId="8" hidden="1"/>
    <cellStyle name="Hipervínculo" xfId="491" builtinId="8" hidden="1"/>
    <cellStyle name="Hipervínculo" xfId="493" builtinId="8" hidden="1"/>
    <cellStyle name="Hipervínculo" xfId="495" builtinId="8" hidden="1"/>
    <cellStyle name="Hipervínculo" xfId="497" builtinId="8" hidden="1"/>
    <cellStyle name="Hipervínculo" xfId="499" builtinId="8" hidden="1"/>
    <cellStyle name="Hipervínculo" xfId="501" builtinId="8" hidden="1"/>
    <cellStyle name="Hipervínculo" xfId="503" builtinId="8" hidden="1"/>
    <cellStyle name="Hipervínculo" xfId="505" builtinId="8" hidden="1"/>
    <cellStyle name="Hipervínculo" xfId="507" builtinId="8" hidden="1"/>
    <cellStyle name="Hipervínculo" xfId="509" builtinId="8" hidden="1"/>
    <cellStyle name="Hipervínculo" xfId="511" builtinId="8" hidden="1"/>
    <cellStyle name="Hipervínculo" xfId="513" builtinId="8" hidden="1"/>
    <cellStyle name="Hipervínculo" xfId="515" builtinId="8" hidden="1"/>
    <cellStyle name="Hipervínculo" xfId="517" builtinId="8" hidden="1"/>
    <cellStyle name="Hipervínculo" xfId="519" builtinId="8" hidden="1"/>
    <cellStyle name="Hipervínculo" xfId="521" builtinId="8" hidden="1"/>
    <cellStyle name="Hipervínculo" xfId="523" builtinId="8" hidden="1"/>
    <cellStyle name="Hipervínculo" xfId="525" builtinId="8" hidden="1"/>
    <cellStyle name="Hipervínculo" xfId="527" builtinId="8" hidden="1"/>
    <cellStyle name="Hipervínculo" xfId="529" builtinId="8" hidden="1"/>
    <cellStyle name="Hipervínculo" xfId="531" builtinId="8" hidden="1"/>
    <cellStyle name="Hipervínculo" xfId="533" builtinId="8" hidden="1"/>
    <cellStyle name="Hipervínculo" xfId="535" builtinId="8" hidden="1"/>
    <cellStyle name="Hipervínculo" xfId="537" builtinId="8" hidden="1"/>
    <cellStyle name="Hipervínculo" xfId="271" builtinId="8" hidden="1"/>
    <cellStyle name="Hipervínculo" xfId="540" builtinId="8" hidden="1"/>
    <cellStyle name="Hipervínculo" xfId="542" builtinId="8" hidden="1"/>
    <cellStyle name="Hipervínculo" xfId="544" builtinId="8" hidden="1"/>
    <cellStyle name="Hipervínculo" xfId="546" builtinId="8" hidden="1"/>
    <cellStyle name="Hipervínculo" xfId="548" builtinId="8" hidden="1"/>
    <cellStyle name="Hipervínculo" xfId="550" builtinId="8" hidden="1"/>
    <cellStyle name="Hipervínculo" xfId="552" builtinId="8" hidden="1"/>
    <cellStyle name="Hipervínculo" xfId="554" builtinId="8" hidden="1"/>
    <cellStyle name="Hipervínculo" xfId="556" builtinId="8" hidden="1"/>
    <cellStyle name="Hipervínculo" xfId="558" builtinId="8" hidden="1"/>
    <cellStyle name="Hipervínculo" xfId="560" builtinId="8" hidden="1"/>
    <cellStyle name="Hipervínculo" xfId="562" builtinId="8" hidden="1"/>
    <cellStyle name="Hipervínculo" xfId="564" builtinId="8" hidden="1"/>
    <cellStyle name="Hipervínculo" xfId="566" builtinId="8" hidden="1"/>
    <cellStyle name="Hipervínculo" xfId="568" builtinId="8" hidden="1"/>
    <cellStyle name="Hipervínculo" xfId="570" builtinId="8" hidden="1"/>
    <cellStyle name="Hipervínculo" xfId="572" builtinId="8" hidden="1"/>
    <cellStyle name="Hipervínculo" xfId="574" builtinId="8" hidden="1"/>
    <cellStyle name="Hipervínculo" xfId="576" builtinId="8" hidden="1"/>
    <cellStyle name="Hipervínculo" xfId="578" builtinId="8" hidden="1"/>
    <cellStyle name="Hipervínculo" xfId="580" builtinId="8" hidden="1"/>
    <cellStyle name="Hipervínculo" xfId="582" builtinId="8" hidden="1"/>
    <cellStyle name="Hipervínculo" xfId="584" builtinId="8" hidden="1"/>
    <cellStyle name="Hipervínculo" xfId="586" builtinId="8" hidden="1"/>
    <cellStyle name="Hipervínculo" xfId="588" builtinId="8" hidden="1"/>
    <cellStyle name="Hipervínculo" xfId="590" builtinId="8" hidden="1"/>
    <cellStyle name="Hipervínculo" xfId="592" builtinId="8" hidden="1"/>
    <cellStyle name="Hipervínculo" xfId="594" builtinId="8" hidden="1"/>
    <cellStyle name="Hipervínculo" xfId="596" builtinId="8" hidden="1"/>
    <cellStyle name="Hipervínculo" xfId="598" builtinId="8" hidden="1"/>
    <cellStyle name="Hipervínculo" xfId="600" builtinId="8" hidden="1"/>
    <cellStyle name="Hipervínculo" xfId="602" builtinId="8" hidden="1"/>
    <cellStyle name="Hipervínculo" xfId="604" builtinId="8" hidden="1"/>
    <cellStyle name="Hipervínculo" xfId="606" builtinId="8" hidden="1"/>
    <cellStyle name="Hipervínculo" xfId="608" builtinId="8" hidden="1"/>
    <cellStyle name="Hipervínculo" xfId="610" builtinId="8" hidden="1"/>
    <cellStyle name="Hipervínculo" xfId="612" builtinId="8" hidden="1"/>
    <cellStyle name="Hipervínculo" xfId="614" builtinId="8" hidden="1"/>
    <cellStyle name="Hipervínculo" xfId="616" builtinId="8" hidden="1"/>
    <cellStyle name="Hipervínculo" xfId="618" builtinId="8" hidden="1"/>
    <cellStyle name="Hipervínculo" xfId="620" builtinId="8" hidden="1"/>
    <cellStyle name="Hipervínculo" xfId="622" builtinId="8" hidden="1"/>
    <cellStyle name="Hipervínculo" xfId="624" builtinId="8" hidden="1"/>
    <cellStyle name="Hipervínculo" xfId="626" builtinId="8" hidden="1"/>
    <cellStyle name="Hipervínculo" xfId="628" builtinId="8" hidden="1"/>
    <cellStyle name="Hipervínculo" xfId="630" builtinId="8" hidden="1"/>
    <cellStyle name="Hipervínculo" xfId="632" builtinId="8" hidden="1"/>
    <cellStyle name="Hipervínculo" xfId="634" builtinId="8" hidden="1"/>
    <cellStyle name="Hipervínculo" xfId="636" builtinId="8" hidden="1"/>
    <cellStyle name="Hipervínculo" xfId="638" builtinId="8" hidden="1"/>
    <cellStyle name="Hipervínculo" xfId="640" builtinId="8" hidden="1"/>
    <cellStyle name="Hipervínculo" xfId="642" builtinId="8" hidden="1"/>
    <cellStyle name="Hipervínculo" xfId="644" builtinId="8" hidden="1"/>
    <cellStyle name="Hipervínculo" xfId="646" builtinId="8" hidden="1"/>
    <cellStyle name="Hipervínculo" xfId="648" builtinId="8" hidden="1"/>
    <cellStyle name="Hipervínculo" xfId="650" builtinId="8" hidden="1"/>
    <cellStyle name="Hipervínculo" xfId="652" builtinId="8" hidden="1"/>
    <cellStyle name="Hipervínculo" xfId="654" builtinId="8" hidden="1"/>
    <cellStyle name="Hipervínculo" xfId="656" builtinId="8" hidden="1"/>
    <cellStyle name="Hipervínculo" xfId="658" builtinId="8" hidden="1"/>
    <cellStyle name="Hipervínculo" xfId="660" builtinId="8" hidden="1"/>
    <cellStyle name="Hipervínculo" xfId="662" builtinId="8" hidden="1"/>
    <cellStyle name="Hipervínculo" xfId="664" builtinId="8" hidden="1"/>
    <cellStyle name="Hipervínculo" xfId="666" builtinId="8" hidden="1"/>
    <cellStyle name="Hipervínculo" xfId="668" builtinId="8" hidden="1"/>
    <cellStyle name="Hipervínculo" xfId="670" builtinId="8" hidden="1"/>
    <cellStyle name="Hipervínculo" xfId="672" builtinId="8" hidden="1"/>
    <cellStyle name="Hipervínculo" xfId="674" builtinId="8" hidden="1"/>
    <cellStyle name="Hipervínculo" xfId="676" builtinId="8" hidden="1"/>
    <cellStyle name="Hipervínculo" xfId="678" builtinId="8" hidden="1"/>
    <cellStyle name="Hipervínculo" xfId="680" builtinId="8" hidden="1"/>
    <cellStyle name="Hipervínculo" xfId="682" builtinId="8" hidden="1"/>
    <cellStyle name="Hipervínculo" xfId="684" builtinId="8" hidden="1"/>
    <cellStyle name="Hipervínculo" xfId="686" builtinId="8" hidden="1"/>
    <cellStyle name="Hipervínculo" xfId="688" builtinId="8" hidden="1"/>
    <cellStyle name="Hipervínculo" xfId="690" builtinId="8" hidden="1"/>
    <cellStyle name="Hipervínculo" xfId="692" builtinId="8" hidden="1"/>
    <cellStyle name="Hipervínculo" xfId="694" builtinId="8" hidden="1"/>
    <cellStyle name="Hipervínculo" xfId="696" builtinId="8" hidden="1"/>
    <cellStyle name="Hipervínculo" xfId="698" builtinId="8" hidden="1"/>
    <cellStyle name="Hipervínculo" xfId="700" builtinId="8" hidden="1"/>
    <cellStyle name="Hipervínculo" xfId="702" builtinId="8" hidden="1"/>
    <cellStyle name="Hipervínculo" xfId="704" builtinId="8" hidden="1"/>
    <cellStyle name="Hipervínculo" xfId="706" builtinId="8" hidden="1"/>
    <cellStyle name="Hipervínculo" xfId="708" builtinId="8" hidden="1"/>
    <cellStyle name="Hipervínculo" xfId="710" builtinId="8" hidden="1"/>
    <cellStyle name="Hipervínculo" xfId="712" builtinId="8" hidden="1"/>
    <cellStyle name="Hipervínculo" xfId="714" builtinId="8" hidden="1"/>
    <cellStyle name="Hipervínculo" xfId="716" builtinId="8" hidden="1"/>
    <cellStyle name="Hipervínculo" xfId="718" builtinId="8" hidden="1"/>
    <cellStyle name="Hipervínculo" xfId="720" builtinId="8" hidden="1"/>
    <cellStyle name="Hipervínculo" xfId="722" builtinId="8" hidden="1"/>
    <cellStyle name="Hipervínculo" xfId="724" builtinId="8" hidden="1"/>
    <cellStyle name="Hipervínculo" xfId="726" builtinId="8" hidden="1"/>
    <cellStyle name="Hipervínculo" xfId="728" builtinId="8" hidden="1"/>
    <cellStyle name="Hipervínculo" xfId="730" builtinId="8" hidden="1"/>
    <cellStyle name="Hipervínculo" xfId="732" builtinId="8" hidden="1"/>
    <cellStyle name="Hipervínculo" xfId="734" builtinId="8" hidden="1"/>
    <cellStyle name="Hipervínculo" xfId="736" builtinId="8" hidden="1"/>
    <cellStyle name="Hipervínculo" xfId="738" builtinId="8" hidden="1"/>
    <cellStyle name="Hipervínculo" xfId="740" builtinId="8" hidden="1"/>
    <cellStyle name="Hipervínculo" xfId="742" builtinId="8" hidden="1"/>
    <cellStyle name="Hipervínculo" xfId="744" builtinId="8" hidden="1"/>
    <cellStyle name="Hipervínculo" xfId="746" builtinId="8" hidden="1"/>
    <cellStyle name="Hipervínculo" xfId="748" builtinId="8" hidden="1"/>
    <cellStyle name="Hipervínculo" xfId="750" builtinId="8" hidden="1"/>
    <cellStyle name="Hipervínculo" xfId="752" builtinId="8" hidden="1"/>
    <cellStyle name="Hipervínculo" xfId="754" builtinId="8" hidden="1"/>
    <cellStyle name="Hipervínculo" xfId="756" builtinId="8" hidden="1"/>
    <cellStyle name="Hipervínculo" xfId="758" builtinId="8" hidden="1"/>
    <cellStyle name="Hipervínculo" xfId="760" builtinId="8" hidden="1"/>
    <cellStyle name="Hipervínculo" xfId="762" builtinId="8" hidden="1"/>
    <cellStyle name="Hipervínculo" xfId="764" builtinId="8" hidden="1"/>
    <cellStyle name="Hipervínculo" xfId="766" builtinId="8" hidden="1"/>
    <cellStyle name="Hipervínculo" xfId="768" builtinId="8" hidden="1"/>
    <cellStyle name="Hipervínculo" xfId="770" builtinId="8" hidden="1"/>
    <cellStyle name="Hipervínculo" xfId="772" builtinId="8" hidden="1"/>
    <cellStyle name="Hipervínculo" xfId="774" builtinId="8" hidden="1"/>
    <cellStyle name="Hipervínculo" xfId="776" builtinId="8" hidden="1"/>
    <cellStyle name="Hipervínculo" xfId="778" builtinId="8" hidden="1"/>
    <cellStyle name="Hipervínculo" xfId="780" builtinId="8" hidden="1"/>
    <cellStyle name="Hipervínculo" xfId="782" builtinId="8" hidden="1"/>
    <cellStyle name="Hipervínculo" xfId="784" builtinId="8" hidden="1"/>
    <cellStyle name="Hipervínculo" xfId="786" builtinId="8" hidden="1"/>
    <cellStyle name="Hipervínculo" xfId="788" builtinId="8" hidden="1"/>
    <cellStyle name="Hipervínculo" xfId="790" builtinId="8" hidden="1"/>
    <cellStyle name="Hipervínculo" xfId="792" builtinId="8" hidden="1"/>
    <cellStyle name="Hipervínculo" xfId="794" builtinId="8" hidden="1"/>
    <cellStyle name="Hipervínculo" xfId="796" builtinId="8" hidden="1"/>
    <cellStyle name="Hipervínculo" xfId="798" builtinId="8" hidden="1"/>
    <cellStyle name="Hipervínculo" xfId="800" builtinId="8" hidden="1"/>
    <cellStyle name="Hipervínculo" xfId="802" builtinId="8" hidden="1"/>
    <cellStyle name="Hipervínculo" xfId="804" builtinId="8" hidden="1"/>
    <cellStyle name="Hipervínculo" xfId="806" builtinId="8" hidden="1"/>
    <cellStyle name="Hipervínculo" xfId="808" builtinId="8" hidden="1"/>
    <cellStyle name="Hipervínculo" xfId="810" builtinId="8" hidden="1"/>
    <cellStyle name="Hipervínculo" xfId="812" builtinId="8" hidden="1"/>
    <cellStyle name="Hipervínculo" xfId="814" builtinId="8" hidden="1"/>
    <cellStyle name="Hipervínculo" xfId="816" builtinId="8" hidden="1"/>
    <cellStyle name="Hipervínculo" xfId="818" builtinId="8" hidden="1"/>
    <cellStyle name="Hipervínculo" xfId="820" builtinId="8" hidden="1"/>
    <cellStyle name="Hipervínculo" xfId="822" builtinId="8" hidden="1"/>
    <cellStyle name="Hipervínculo" xfId="824" builtinId="8" hidden="1"/>
    <cellStyle name="Hipervínculo" xfId="826" builtinId="8" hidden="1"/>
    <cellStyle name="Hipervínculo" xfId="828" builtinId="8" hidden="1"/>
    <cellStyle name="Hipervínculo" xfId="830" builtinId="8" hidden="1"/>
    <cellStyle name="Hipervínculo" xfId="832" builtinId="8" hidden="1"/>
    <cellStyle name="Hipervínculo" xfId="834" builtinId="8" hidden="1"/>
    <cellStyle name="Hipervínculo" xfId="836" builtinId="8" hidden="1"/>
    <cellStyle name="Hipervínculo" xfId="838" builtinId="8" hidden="1"/>
    <cellStyle name="Hipervínculo" xfId="840" builtinId="8" hidden="1"/>
    <cellStyle name="Hipervínculo" xfId="842" builtinId="8" hidden="1"/>
    <cellStyle name="Hipervínculo" xfId="844" builtinId="8" hidden="1"/>
    <cellStyle name="Hipervínculo" xfId="846" builtinId="8" hidden="1"/>
    <cellStyle name="Hipervínculo" xfId="848" builtinId="8" hidden="1"/>
    <cellStyle name="Hipervínculo" xfId="850" builtinId="8" hidden="1"/>
    <cellStyle name="Hipervínculo" xfId="852" builtinId="8" hidden="1"/>
    <cellStyle name="Hipervínculo" xfId="854" builtinId="8" hidden="1"/>
    <cellStyle name="Hipervínculo" xfId="856" builtinId="8" hidden="1"/>
    <cellStyle name="Hipervínculo" xfId="858" builtinId="8" hidden="1"/>
    <cellStyle name="Hipervínculo" xfId="860" builtinId="8" hidden="1"/>
    <cellStyle name="Hipervínculo" xfId="862" builtinId="8" hidden="1"/>
    <cellStyle name="Hipervínculo" xfId="864" builtinId="8" hidden="1"/>
    <cellStyle name="Hipervínculo" xfId="866" builtinId="8" hidden="1"/>
    <cellStyle name="Hipervínculo" xfId="868" builtinId="8" hidden="1"/>
    <cellStyle name="Hipervínculo" xfId="870" builtinId="8" hidden="1"/>
    <cellStyle name="Hipervínculo" xfId="872" builtinId="8" hidden="1"/>
    <cellStyle name="Hipervínculo" xfId="874" builtinId="8" hidden="1"/>
    <cellStyle name="Hipervínculo" xfId="876" builtinId="8" hidden="1"/>
    <cellStyle name="Hipervínculo" xfId="878" builtinId="8" hidden="1"/>
    <cellStyle name="Hipervínculo" xfId="880" builtinId="8" hidden="1"/>
    <cellStyle name="Hipervínculo" xfId="882" builtinId="8" hidden="1"/>
    <cellStyle name="Hipervínculo" xfId="884" builtinId="8" hidden="1"/>
    <cellStyle name="Hipervínculo" xfId="886" builtinId="8" hidden="1"/>
    <cellStyle name="Hipervínculo" xfId="888" builtinId="8" hidden="1"/>
    <cellStyle name="Hipervínculo" xfId="890" builtinId="8" hidden="1"/>
    <cellStyle name="Hipervínculo" xfId="892" builtinId="8" hidden="1"/>
    <cellStyle name="Hipervínculo" xfId="894" builtinId="8" hidden="1"/>
    <cellStyle name="Hipervínculo" xfId="896" builtinId="8" hidden="1"/>
    <cellStyle name="Hipervínculo" xfId="898" builtinId="8" hidden="1"/>
    <cellStyle name="Hipervínculo" xfId="900" builtinId="8" hidden="1"/>
    <cellStyle name="Hipervínculo" xfId="902" builtinId="8" hidden="1"/>
    <cellStyle name="Hipervínculo" xfId="904" builtinId="8" hidden="1"/>
    <cellStyle name="Hipervínculo" xfId="906" builtinId="8" hidden="1"/>
    <cellStyle name="Hipervínculo" xfId="908" builtinId="8" hidden="1"/>
    <cellStyle name="Hipervínculo" xfId="910" builtinId="8" hidden="1"/>
    <cellStyle name="Hipervínculo" xfId="912" builtinId="8" hidden="1"/>
    <cellStyle name="Hipervínculo" xfId="914" builtinId="8" hidden="1"/>
    <cellStyle name="Hipervínculo" xfId="916" builtinId="8" hidden="1"/>
    <cellStyle name="Hipervínculo" xfId="918" builtinId="8" hidden="1"/>
    <cellStyle name="Hipervínculo" xfId="920" builtinId="8" hidden="1"/>
    <cellStyle name="Hipervínculo" xfId="922" builtinId="8" hidden="1"/>
    <cellStyle name="Hipervínculo" xfId="924" builtinId="8" hidden="1"/>
    <cellStyle name="Hipervínculo" xfId="926" builtinId="8" hidden="1"/>
    <cellStyle name="Hipervínculo" xfId="928" builtinId="8" hidden="1"/>
    <cellStyle name="Hipervínculo" xfId="930" builtinId="8" hidden="1"/>
    <cellStyle name="Hipervínculo" xfId="932" builtinId="8" hidden="1"/>
    <cellStyle name="Hipervínculo" xfId="934" builtinId="8" hidden="1"/>
    <cellStyle name="Hipervínculo" xfId="936" builtinId="8" hidden="1"/>
    <cellStyle name="Hipervínculo" xfId="938" builtinId="8" hidden="1"/>
    <cellStyle name="Hipervínculo" xfId="940" builtinId="8" hidden="1"/>
    <cellStyle name="Hipervínculo" xfId="942" builtinId="8" hidden="1"/>
    <cellStyle name="Hipervínculo" xfId="944" builtinId="8" hidden="1"/>
    <cellStyle name="Hipervínculo" xfId="946" builtinId="8" hidden="1"/>
    <cellStyle name="Hipervínculo" xfId="948" builtinId="8" hidden="1"/>
    <cellStyle name="Hipervínculo" xfId="950" builtinId="8" hidden="1"/>
    <cellStyle name="Hipervínculo" xfId="952" builtinId="8" hidden="1"/>
    <cellStyle name="Hipervínculo" xfId="954" builtinId="8" hidden="1"/>
    <cellStyle name="Hipervínculo" xfId="956" builtinId="8" hidden="1"/>
    <cellStyle name="Hipervínculo" xfId="958" builtinId="8" hidden="1"/>
    <cellStyle name="Hipervínculo" xfId="960" builtinId="8" hidden="1"/>
    <cellStyle name="Hipervínculo" xfId="962" builtinId="8" hidden="1"/>
    <cellStyle name="Hipervínculo" xfId="964" builtinId="8" hidden="1"/>
    <cellStyle name="Hipervínculo" xfId="966" builtinId="8" hidden="1"/>
    <cellStyle name="Hipervínculo" xfId="968" builtinId="8" hidden="1"/>
    <cellStyle name="Hipervínculo" xfId="970" builtinId="8" hidden="1"/>
    <cellStyle name="Hipervínculo" xfId="972" builtinId="8" hidden="1"/>
    <cellStyle name="Hipervínculo" xfId="974" builtinId="8" hidden="1"/>
    <cellStyle name="Hipervínculo" xfId="976" builtinId="8" hidden="1"/>
    <cellStyle name="Hipervínculo" xfId="978" builtinId="8" hidden="1"/>
    <cellStyle name="Hipervínculo" xfId="980" builtinId="8" hidden="1"/>
    <cellStyle name="Hipervínculo" xfId="982" builtinId="8" hidden="1"/>
    <cellStyle name="Hipervínculo" xfId="984" builtinId="8" hidden="1"/>
    <cellStyle name="Hipervínculo" xfId="986" builtinId="8" hidden="1"/>
    <cellStyle name="Hipervínculo" xfId="988" builtinId="8" hidden="1"/>
    <cellStyle name="Hipervínculo" xfId="990" builtinId="8" hidden="1"/>
    <cellStyle name="Hipervínculo" xfId="992" builtinId="8" hidden="1"/>
    <cellStyle name="Hipervínculo" xfId="994" builtinId="8" hidden="1"/>
    <cellStyle name="Hipervínculo" xfId="996" builtinId="8" hidden="1"/>
    <cellStyle name="Hipervínculo" xfId="998" builtinId="8" hidden="1"/>
    <cellStyle name="Hipervínculo" xfId="1000" builtinId="8" hidden="1"/>
    <cellStyle name="Hipervínculo" xfId="1002" builtinId="8" hidden="1"/>
    <cellStyle name="Hipervínculo" xfId="1004" builtinId="8" hidden="1"/>
    <cellStyle name="Hipervínculo" xfId="1006" builtinId="8" hidden="1"/>
    <cellStyle name="Hipervínculo" xfId="1008" builtinId="8" hidden="1"/>
    <cellStyle name="Hipervínculo" xfId="1010" builtinId="8" hidden="1"/>
    <cellStyle name="Hipervínculo" xfId="1012" builtinId="8" hidden="1"/>
    <cellStyle name="Hipervínculo" xfId="1014" builtinId="8" hidden="1"/>
    <cellStyle name="Hipervínculo" xfId="1016" builtinId="8" hidden="1"/>
    <cellStyle name="Hipervínculo" xfId="1018" builtinId="8" hidden="1"/>
    <cellStyle name="Hipervínculo" xfId="1020" builtinId="8" hidden="1"/>
    <cellStyle name="Hipervínculo" xfId="1022" builtinId="8" hidden="1"/>
    <cellStyle name="Hipervínculo" xfId="1024" builtinId="8" hidden="1"/>
    <cellStyle name="Hipervínculo" xfId="1026" builtinId="8" hidden="1"/>
    <cellStyle name="Hipervínculo" xfId="1028" builtinId="8" hidden="1"/>
    <cellStyle name="Hipervínculo" xfId="1030" builtinId="8" hidden="1"/>
    <cellStyle name="Hipervínculo" xfId="1032" builtinId="8" hidden="1"/>
    <cellStyle name="Hipervínculo" xfId="1034" builtinId="8" hidden="1"/>
    <cellStyle name="Hipervínculo" xfId="1036" builtinId="8" hidden="1"/>
    <cellStyle name="Hipervínculo" xfId="1038" builtinId="8" hidden="1"/>
    <cellStyle name="Hipervínculo" xfId="1040" builtinId="8" hidden="1"/>
    <cellStyle name="Hipervínculo" xfId="1042" builtinId="8" hidden="1"/>
    <cellStyle name="Hipervínculo" xfId="1044" builtinId="8" hidden="1"/>
    <cellStyle name="Hipervínculo" xfId="1046" builtinId="8" hidden="1"/>
    <cellStyle name="Hipervínculo" xfId="1048" builtinId="8" hidden="1"/>
    <cellStyle name="Hipervínculo" xfId="1050" builtinId="8" hidden="1"/>
    <cellStyle name="Hipervínculo" xfId="1052" builtinId="8" hidden="1"/>
    <cellStyle name="Hipervínculo" xfId="1054" builtinId="8" hidden="1"/>
    <cellStyle name="Hipervínculo" xfId="1056" builtinId="8" hidden="1"/>
    <cellStyle name="Hipervínculo" xfId="1058" builtinId="8" hidden="1"/>
    <cellStyle name="Hipervínculo" xfId="1060" builtinId="8" hidden="1"/>
    <cellStyle name="Hipervínculo" xfId="1062" builtinId="8" hidden="1"/>
    <cellStyle name="Hipervínculo" xfId="1064" builtinId="8" hidden="1"/>
    <cellStyle name="Hipervínculo" xfId="1066" builtinId="8" hidden="1"/>
    <cellStyle name="Hipervínculo" xfId="1068" builtinId="8" hidden="1"/>
    <cellStyle name="Hipervínculo" xfId="1070" builtinId="8" hidden="1"/>
    <cellStyle name="Hipervínculo" xfId="1072" builtinId="8" hidden="1"/>
    <cellStyle name="Hipervínculo" xfId="1074" builtinId="8" hidden="1"/>
    <cellStyle name="Hipervínculo" xfId="1076" builtinId="8" hidden="1"/>
    <cellStyle name="Hipervínculo" xfId="1078" builtinId="8" hidden="1"/>
    <cellStyle name="Hipervínculo" xfId="1080" builtinId="8" hidden="1"/>
    <cellStyle name="Hipervínculo" xfId="1082" builtinId="8" hidden="1"/>
    <cellStyle name="Hipervínculo" xfId="1084" builtinId="8" hidden="1"/>
    <cellStyle name="Hipervínculo" xfId="1086" builtinId="8" hidden="1"/>
    <cellStyle name="Hipervínculo" xfId="1088" builtinId="8" hidden="1"/>
    <cellStyle name="Hipervínculo" xfId="1090" builtinId="8" hidden="1"/>
    <cellStyle name="Hipervínculo" xfId="1092" builtinId="8" hidden="1"/>
    <cellStyle name="Hipervínculo" xfId="1094" builtinId="8" hidden="1"/>
    <cellStyle name="Hipervínculo" xfId="1096" builtinId="8" hidden="1"/>
    <cellStyle name="Hipervínculo" xfId="1098" builtinId="8" hidden="1"/>
    <cellStyle name="Hipervínculo" xfId="1100" builtinId="8" hidden="1"/>
    <cellStyle name="Hipervínculo" xfId="1102" builtinId="8" hidden="1"/>
    <cellStyle name="Hipervínculo" xfId="1104" builtinId="8" hidden="1"/>
    <cellStyle name="Hipervínculo" xfId="1106" builtinId="8" hidden="1"/>
    <cellStyle name="Hipervínculo" xfId="1108" builtinId="8" hidden="1"/>
    <cellStyle name="Hipervínculo" xfId="1110" builtinId="8" hidden="1"/>
    <cellStyle name="Hipervínculo" xfId="1112" builtinId="8" hidden="1"/>
    <cellStyle name="Hipervínculo" xfId="1114" builtinId="8" hidden="1"/>
    <cellStyle name="Hipervínculo" xfId="1116" builtinId="8" hidden="1"/>
    <cellStyle name="Hipervínculo" xfId="1118" builtinId="8" hidden="1"/>
    <cellStyle name="Hipervínculo" xfId="1120" builtinId="8" hidden="1"/>
    <cellStyle name="Hipervínculo" xfId="1122" builtinId="8" hidden="1"/>
    <cellStyle name="Hipervínculo" xfId="1124" builtinId="8" hidden="1"/>
    <cellStyle name="Hipervínculo" xfId="1126" builtinId="8" hidden="1"/>
    <cellStyle name="Hipervínculo" xfId="1128" builtinId="8" hidden="1"/>
    <cellStyle name="Hipervínculo" xfId="1130" builtinId="8" hidden="1"/>
    <cellStyle name="Hipervínculo" xfId="1132" builtinId="8" hidden="1"/>
    <cellStyle name="Hipervínculo" xfId="1134" builtinId="8" hidden="1"/>
    <cellStyle name="Hipervínculo" xfId="1136" builtinId="8" hidden="1"/>
    <cellStyle name="Hipervínculo" xfId="1138" builtinId="8" hidden="1"/>
    <cellStyle name="Hipervínculo" xfId="1140" builtinId="8" hidden="1"/>
    <cellStyle name="Hipervínculo" xfId="1142" builtinId="8" hidden="1"/>
    <cellStyle name="Hipervínculo" xfId="1144" builtinId="8" hidden="1"/>
    <cellStyle name="Hipervínculo" xfId="1146" builtinId="8" hidden="1"/>
    <cellStyle name="Hipervínculo" xfId="1148" builtinId="8" hidden="1"/>
    <cellStyle name="Hipervínculo" xfId="1150" builtinId="8" hidden="1"/>
    <cellStyle name="Hipervínculo" xfId="1152" builtinId="8" hidden="1"/>
    <cellStyle name="Hipervínculo" xfId="1154" builtinId="8" hidden="1"/>
    <cellStyle name="Hipervínculo" xfId="1156" builtinId="8" hidden="1"/>
    <cellStyle name="Hipervínculo" xfId="1158" builtinId="8" hidden="1"/>
    <cellStyle name="Hipervínculo" xfId="1160" builtinId="8" hidden="1"/>
    <cellStyle name="Hipervínculo" xfId="1162" builtinId="8" hidden="1"/>
    <cellStyle name="Hipervínculo" xfId="1164" builtinId="8" hidden="1"/>
    <cellStyle name="Hipervínculo" xfId="1166" builtinId="8" hidden="1"/>
    <cellStyle name="Hipervínculo" xfId="1168" builtinId="8" hidden="1"/>
    <cellStyle name="Hipervínculo" xfId="1170" builtinId="8" hidden="1"/>
    <cellStyle name="Hipervínculo" xfId="1172" builtinId="8" hidden="1"/>
    <cellStyle name="Hipervínculo" xfId="1174" builtinId="8" hidden="1"/>
    <cellStyle name="Hipervínculo" xfId="1176" builtinId="8" hidden="1"/>
    <cellStyle name="Hipervínculo" xfId="1178" builtinId="8" hidden="1"/>
    <cellStyle name="Hipervínculo" xfId="1180" builtinId="8" hidden="1"/>
    <cellStyle name="Hipervínculo" xfId="1182" builtinId="8" hidden="1"/>
    <cellStyle name="Hipervínculo" xfId="1184" builtinId="8" hidden="1"/>
    <cellStyle name="Hipervínculo" xfId="1186" builtinId="8" hidden="1"/>
    <cellStyle name="Hipervínculo" xfId="1188" builtinId="8" hidden="1"/>
    <cellStyle name="Hipervínculo" xfId="1190" builtinId="8" hidden="1"/>
    <cellStyle name="Hipervínculo" xfId="1192" builtinId="8" hidden="1"/>
    <cellStyle name="Hipervínculo" xfId="1194" builtinId="8" hidden="1"/>
    <cellStyle name="Hipervínculo" xfId="1196" builtinId="8" hidden="1"/>
    <cellStyle name="Hipervínculo" xfId="1198" builtinId="8" hidden="1"/>
    <cellStyle name="Hipervínculo" xfId="1200" builtinId="8" hidden="1"/>
    <cellStyle name="Hipervínculo" xfId="1202" builtinId="8" hidden="1"/>
    <cellStyle name="Hipervínculo" xfId="1204" builtinId="8" hidden="1"/>
    <cellStyle name="Hipervínculo" xfId="1206" builtinId="8" hidden="1"/>
    <cellStyle name="Hipervínculo" xfId="1208" builtinId="8" hidden="1"/>
    <cellStyle name="Hipervínculo" xfId="1210" builtinId="8" hidden="1"/>
    <cellStyle name="Hipervínculo" xfId="1212" builtinId="8" hidden="1"/>
    <cellStyle name="Hipervínculo" xfId="1214" builtinId="8" hidden="1"/>
    <cellStyle name="Hipervínculo" xfId="1216" builtinId="8" hidden="1"/>
    <cellStyle name="Hipervínculo" xfId="1218" builtinId="8" hidden="1"/>
    <cellStyle name="Hipervínculo" xfId="1220" builtinId="8" hidden="1"/>
    <cellStyle name="Hipervínculo" xfId="1222" builtinId="8" hidden="1"/>
    <cellStyle name="Hipervínculo" xfId="1224" builtinId="8" hidden="1"/>
    <cellStyle name="Hipervínculo" xfId="1226" builtinId="8" hidden="1"/>
    <cellStyle name="Hipervínculo" xfId="1228" builtinId="8" hidden="1"/>
    <cellStyle name="Hipervínculo" xfId="1230" builtinId="8" hidden="1"/>
    <cellStyle name="Hipervínculo" xfId="1232" builtinId="8" hidden="1"/>
    <cellStyle name="Hipervínculo" xfId="1234" builtinId="8" hidden="1"/>
    <cellStyle name="Hipervínculo" xfId="1236" builtinId="8" hidden="1"/>
    <cellStyle name="Hipervínculo" xfId="1238" builtinId="8" hidden="1"/>
    <cellStyle name="Hipervínculo" xfId="1240" builtinId="8" hidden="1"/>
    <cellStyle name="Hipervínculo" xfId="1242" builtinId="8" hidden="1"/>
    <cellStyle name="Hipervínculo" xfId="1244" builtinId="8" hidden="1"/>
    <cellStyle name="Hipervínculo" xfId="1246" builtinId="8" hidden="1"/>
    <cellStyle name="Hipervínculo" xfId="1248" builtinId="8" hidden="1"/>
    <cellStyle name="Hipervínculo" xfId="1250" builtinId="8" hidden="1"/>
    <cellStyle name="Hipervínculo" xfId="1252" builtinId="8" hidden="1"/>
    <cellStyle name="Hipervínculo" xfId="1254" builtinId="8" hidden="1"/>
    <cellStyle name="Hipervínculo" xfId="1256" builtinId="8" hidden="1"/>
    <cellStyle name="Hipervínculo" xfId="1258" builtinId="8" hidden="1"/>
    <cellStyle name="Hipervínculo" xfId="1260" builtinId="8" hidden="1"/>
    <cellStyle name="Hipervínculo" xfId="1262" builtinId="8" hidden="1"/>
    <cellStyle name="Hipervínculo" xfId="1264" builtinId="8" hidden="1"/>
    <cellStyle name="Hipervínculo" xfId="1266" builtinId="8" hidden="1"/>
    <cellStyle name="Hipervínculo" xfId="1268" builtinId="8" hidden="1"/>
    <cellStyle name="Hipervínculo" xfId="1270" builtinId="8" hidden="1"/>
    <cellStyle name="Hipervínculo" xfId="1272" builtinId="8" hidden="1"/>
    <cellStyle name="Hipervínculo" xfId="1274" builtinId="8" hidden="1"/>
    <cellStyle name="Hipervínculo" xfId="1276" builtinId="8" hidden="1"/>
    <cellStyle name="Hipervínculo" xfId="1278" builtinId="8" hidden="1"/>
    <cellStyle name="Hipervínculo" xfId="1280" builtinId="8" hidden="1"/>
    <cellStyle name="Hipervínculo" xfId="1282" builtinId="8" hidden="1"/>
    <cellStyle name="Hipervínculo" xfId="1284" builtinId="8" hidden="1"/>
    <cellStyle name="Hipervínculo" xfId="1286" builtinId="8" hidden="1"/>
    <cellStyle name="Hipervínculo" xfId="1288" builtinId="8" hidden="1"/>
    <cellStyle name="Hipervínculo" xfId="1290" builtinId="8" hidden="1"/>
    <cellStyle name="Hipervínculo" xfId="1292" builtinId="8" hidden="1"/>
    <cellStyle name="Hipervínculo" xfId="1294" builtinId="8" hidden="1"/>
    <cellStyle name="Hipervínculo" xfId="1296" builtinId="8" hidden="1"/>
    <cellStyle name="Hipervínculo" xfId="1298" builtinId="8" hidden="1"/>
    <cellStyle name="Hipervínculo" xfId="1300" builtinId="8" hidden="1"/>
    <cellStyle name="Hipervínculo" xfId="1302" builtinId="8" hidden="1"/>
    <cellStyle name="Hipervínculo" xfId="1304" builtinId="8" hidden="1"/>
    <cellStyle name="Hipervínculo" xfId="1306" builtinId="8" hidden="1"/>
    <cellStyle name="Hipervínculo" xfId="1308" builtinId="8" hidden="1"/>
    <cellStyle name="Hipervínculo" xfId="1310" builtinId="8" hidden="1"/>
    <cellStyle name="Hipervínculo" xfId="1312" builtinId="8" hidden="1"/>
    <cellStyle name="Hipervínculo" xfId="1314" builtinId="8" hidden="1"/>
    <cellStyle name="Hipervínculo" xfId="1316" builtinId="8" hidden="1"/>
    <cellStyle name="Hipervínculo" xfId="1318" builtinId="8" hidden="1"/>
    <cellStyle name="Hipervínculo" xfId="1320" builtinId="8" hidden="1"/>
    <cellStyle name="Hipervínculo" xfId="1322" builtinId="8" hidden="1"/>
    <cellStyle name="Hipervínculo" xfId="1324" builtinId="8" hidden="1"/>
    <cellStyle name="Hipervínculo" xfId="1326" builtinId="8" hidden="1"/>
    <cellStyle name="Hipervínculo" xfId="1328" builtinId="8" hidden="1"/>
    <cellStyle name="Hipervínculo" xfId="1330" builtinId="8" hidden="1"/>
    <cellStyle name="Hipervínculo" xfId="1332" builtinId="8" hidden="1"/>
    <cellStyle name="Hipervínculo" xfId="1334" builtinId="8" hidden="1"/>
    <cellStyle name="Hipervínculo" xfId="1336" builtinId="8" hidden="1"/>
    <cellStyle name="Hipervínculo" xfId="1338" builtinId="8" hidden="1"/>
    <cellStyle name="Hipervínculo" xfId="1340" builtinId="8" hidden="1"/>
    <cellStyle name="Hipervínculo" xfId="1342" builtinId="8" hidden="1"/>
    <cellStyle name="Hipervínculo" xfId="1344" builtinId="8" hidden="1"/>
    <cellStyle name="Hipervínculo" xfId="1346" builtinId="8" hidden="1"/>
    <cellStyle name="Hipervínculo" xfId="1348" builtinId="8" hidden="1"/>
    <cellStyle name="Hipervínculo" xfId="1350" builtinId="8" hidden="1"/>
    <cellStyle name="Hipervínculo" xfId="1352" builtinId="8" hidden="1"/>
    <cellStyle name="Hipervínculo" xfId="1354" builtinId="8" hidden="1"/>
    <cellStyle name="Hipervínculo" xfId="1356" builtinId="8" hidden="1"/>
    <cellStyle name="Hipervínculo" xfId="1358" builtinId="8" hidden="1"/>
    <cellStyle name="Hipervínculo" xfId="1360" builtinId="8" hidden="1"/>
    <cellStyle name="Hipervínculo" xfId="1362" builtinId="8" hidden="1"/>
    <cellStyle name="Hipervínculo" xfId="1364" builtinId="8" hidden="1"/>
    <cellStyle name="Hipervínculo" xfId="1366" builtinId="8" hidden="1"/>
    <cellStyle name="Hipervínculo" xfId="1368" builtinId="8" hidden="1"/>
    <cellStyle name="Hipervínculo" xfId="1370" builtinId="8" hidden="1"/>
    <cellStyle name="Hipervínculo" xfId="1372" builtinId="8" hidden="1"/>
    <cellStyle name="Hipervínculo" xfId="1374" builtinId="8" hidden="1"/>
    <cellStyle name="Hipervínculo" xfId="1376" builtinId="8" hidden="1"/>
    <cellStyle name="Hipervínculo" xfId="1378" builtinId="8" hidden="1"/>
    <cellStyle name="Hipervínculo" xfId="1380" builtinId="8" hidden="1"/>
    <cellStyle name="Hipervínculo" xfId="1382" builtinId="8" hidden="1"/>
    <cellStyle name="Hipervínculo" xfId="1384" builtinId="8" hidden="1"/>
    <cellStyle name="Hipervínculo" xfId="1386" builtinId="8" hidden="1"/>
    <cellStyle name="Hipervínculo" xfId="1388" builtinId="8" hidden="1"/>
    <cellStyle name="Hipervínculo" xfId="1390" builtinId="8" hidden="1"/>
    <cellStyle name="Hipervínculo" xfId="1392" builtinId="8" hidden="1"/>
    <cellStyle name="Hipervínculo" xfId="1394" builtinId="8" hidden="1"/>
    <cellStyle name="Hipervínculo" xfId="1396" builtinId="8" hidden="1"/>
    <cellStyle name="Hipervínculo" xfId="1398" builtinId="8" hidden="1"/>
    <cellStyle name="Hipervínculo" xfId="1400" builtinId="8" hidden="1"/>
    <cellStyle name="Hipervínculo" xfId="1402" builtinId="8" hidden="1"/>
    <cellStyle name="Hipervínculo" xfId="1404" builtinId="8" hidden="1"/>
    <cellStyle name="Hipervínculo" xfId="1406" builtinId="8" hidden="1"/>
    <cellStyle name="Hipervínculo" xfId="1408" builtinId="8" hidden="1"/>
    <cellStyle name="Hipervínculo" xfId="1410" builtinId="8" hidden="1"/>
    <cellStyle name="Hipervínculo" xfId="1412" builtinId="8" hidden="1"/>
    <cellStyle name="Hipervínculo" xfId="1414" builtinId="8" hidden="1"/>
    <cellStyle name="Hipervínculo" xfId="1416" builtinId="8" hidden="1"/>
    <cellStyle name="Hipervínculo" xfId="1418" builtinId="8" hidden="1"/>
    <cellStyle name="Hipervínculo" xfId="1420" builtinId="8" hidden="1"/>
    <cellStyle name="Hipervínculo" xfId="1422" builtinId="8" hidden="1"/>
    <cellStyle name="Hipervínculo" xfId="1424" builtinId="8" hidden="1"/>
    <cellStyle name="Hipervínculo" xfId="1426" builtinId="8" hidden="1"/>
    <cellStyle name="Hipervínculo" xfId="1428" builtinId="8" hidden="1"/>
    <cellStyle name="Hipervínculo" xfId="1430" builtinId="8" hidden="1"/>
    <cellStyle name="Hipervínculo" xfId="1432" builtinId="8" hidden="1"/>
    <cellStyle name="Hipervínculo" xfId="1434" builtinId="8" hidden="1"/>
    <cellStyle name="Hipervínculo" xfId="1436" builtinId="8" hidden="1"/>
    <cellStyle name="Hipervínculo" xfId="1438" builtinId="8" hidden="1"/>
    <cellStyle name="Hipervínculo" xfId="1440" builtinId="8" hidden="1"/>
    <cellStyle name="Hipervínculo" xfId="1442" builtinId="8" hidden="1"/>
    <cellStyle name="Hipervínculo" xfId="1444" builtinId="8" hidden="1"/>
    <cellStyle name="Hipervínculo" xfId="1446" builtinId="8" hidden="1"/>
    <cellStyle name="Hipervínculo" xfId="1448" builtinId="8" hidden="1"/>
    <cellStyle name="Hipervínculo" xfId="1450" builtinId="8" hidden="1"/>
    <cellStyle name="Hipervínculo" xfId="1452" builtinId="8" hidden="1"/>
    <cellStyle name="Hipervínculo" xfId="1454" builtinId="8" hidden="1"/>
    <cellStyle name="Hipervínculo" xfId="1456" builtinId="8" hidden="1"/>
    <cellStyle name="Hipervínculo" xfId="1458" builtinId="8" hidden="1"/>
    <cellStyle name="Hipervínculo" xfId="1460" builtinId="8" hidden="1"/>
    <cellStyle name="Hipervínculo" xfId="1462" builtinId="8" hidden="1"/>
    <cellStyle name="Hipervínculo" xfId="1464" builtinId="8" hidden="1"/>
    <cellStyle name="Hipervínculo" xfId="1466" builtinId="8" hidden="1"/>
    <cellStyle name="Hipervínculo" xfId="1468" builtinId="8" hidden="1"/>
    <cellStyle name="Hipervínculo" xfId="1470" builtinId="8" hidden="1"/>
    <cellStyle name="Hipervínculo" xfId="1472" builtinId="8" hidden="1"/>
    <cellStyle name="Hipervínculo" xfId="1474" builtinId="8" hidden="1"/>
    <cellStyle name="Hipervínculo" xfId="1476" builtinId="8" hidden="1"/>
    <cellStyle name="Hipervínculo" xfId="1478" builtinId="8" hidden="1"/>
    <cellStyle name="Hipervínculo" xfId="1480" builtinId="8" hidden="1"/>
    <cellStyle name="Hipervínculo" xfId="1482" builtinId="8" hidden="1"/>
    <cellStyle name="Hipervínculo" xfId="1484" builtinId="8" hidden="1"/>
    <cellStyle name="Hipervínculo" xfId="1486" builtinId="8" hidden="1"/>
    <cellStyle name="Hipervínculo" xfId="1488" builtinId="8" hidden="1"/>
    <cellStyle name="Hipervínculo" xfId="1490" builtinId="8" hidden="1"/>
    <cellStyle name="Hipervínculo" xfId="1492" builtinId="8" hidden="1"/>
    <cellStyle name="Hipervínculo" xfId="1494" builtinId="8" hidden="1"/>
    <cellStyle name="Hipervínculo" xfId="1496" builtinId="8" hidden="1"/>
    <cellStyle name="Hipervínculo" xfId="1498" builtinId="8" hidden="1"/>
    <cellStyle name="Hipervínculo" xfId="1500" builtinId="8" hidden="1"/>
    <cellStyle name="Hipervínculo" xfId="1502" builtinId="8" hidden="1"/>
    <cellStyle name="Hipervínculo" xfId="1504" builtinId="8" hidden="1"/>
    <cellStyle name="Hipervínculo" xfId="1506" builtinId="8" hidden="1"/>
    <cellStyle name="Hipervínculo" xfId="1508" builtinId="8" hidden="1"/>
    <cellStyle name="Hipervínculo" xfId="1510" builtinId="8" hidden="1"/>
    <cellStyle name="Hipervínculo" xfId="1512" builtinId="8" hidden="1"/>
    <cellStyle name="Hipervínculo" xfId="1514" builtinId="8" hidden="1"/>
    <cellStyle name="Hipervínculo" xfId="1516" builtinId="8" hidden="1"/>
    <cellStyle name="Hipervínculo" xfId="1518" builtinId="8" hidden="1"/>
    <cellStyle name="Hipervínculo" xfId="1520" builtinId="8" hidden="1"/>
    <cellStyle name="Hipervínculo" xfId="1522" builtinId="8" hidden="1"/>
    <cellStyle name="Hipervínculo" xfId="1524" builtinId="8" hidden="1"/>
    <cellStyle name="Hipervínculo" xfId="1526" builtinId="8" hidden="1"/>
    <cellStyle name="Hipervínculo" xfId="1528" builtinId="8" hidden="1"/>
    <cellStyle name="Hipervínculo" xfId="1530" builtinId="8" hidden="1"/>
    <cellStyle name="Hipervínculo" xfId="1532" builtinId="8" hidden="1"/>
    <cellStyle name="Hipervínculo" xfId="1534" builtinId="8" hidden="1"/>
    <cellStyle name="Hipervínculo" xfId="1536" builtinId="8" hidden="1"/>
    <cellStyle name="Hipervínculo" xfId="1538" builtinId="8" hidden="1"/>
    <cellStyle name="Hipervínculo" xfId="1540" builtinId="8" hidden="1"/>
    <cellStyle name="Hipervínculo" xfId="1542" builtinId="8" hidden="1"/>
    <cellStyle name="Hipervínculo" xfId="1544" builtinId="8" hidden="1"/>
    <cellStyle name="Hipervínculo" xfId="1546" builtinId="8" hidden="1"/>
    <cellStyle name="Hipervínculo" xfId="1548" builtinId="8" hidden="1"/>
    <cellStyle name="Hipervínculo" xfId="1550" builtinId="8" hidden="1"/>
    <cellStyle name="Hipervínculo" xfId="1552" builtinId="8" hidden="1"/>
    <cellStyle name="Hipervínculo" xfId="1554" builtinId="8" hidden="1"/>
    <cellStyle name="Hipervínculo" xfId="1556" builtinId="8" hidden="1"/>
    <cellStyle name="Hipervínculo" xfId="1558" builtinId="8" hidden="1"/>
    <cellStyle name="Hipervínculo" xfId="1560" builtinId="8" hidden="1"/>
    <cellStyle name="Hipervínculo" xfId="1562" builtinId="8" hidden="1"/>
    <cellStyle name="Hipervínculo" xfId="1564" builtinId="8" hidden="1"/>
    <cellStyle name="Hipervínculo" xfId="1566" builtinId="8" hidden="1"/>
    <cellStyle name="Hipervínculo" xfId="1568" builtinId="8" hidden="1"/>
    <cellStyle name="Hipervínculo" xfId="1570" builtinId="8" hidden="1"/>
    <cellStyle name="Hipervínculo" xfId="1572" builtinId="8" hidden="1"/>
    <cellStyle name="Hipervínculo" xfId="1574" builtinId="8" hidden="1"/>
    <cellStyle name="Hipervínculo" xfId="1576" builtinId="8" hidden="1"/>
    <cellStyle name="Hipervínculo" xfId="1578" builtinId="8" hidden="1"/>
    <cellStyle name="Hipervínculo" xfId="1580" builtinId="8" hidden="1"/>
    <cellStyle name="Hipervínculo" xfId="1582" builtinId="8" hidden="1"/>
    <cellStyle name="Hipervínculo" xfId="1584" builtinId="8" hidden="1"/>
    <cellStyle name="Hipervínculo" xfId="1586" builtinId="8" hidden="1"/>
    <cellStyle name="Hipervínculo" xfId="1588" builtinId="8" hidden="1"/>
    <cellStyle name="Hipervínculo" xfId="1590" builtinId="8" hidden="1"/>
    <cellStyle name="Hipervínculo" xfId="1592" builtinId="8" hidden="1"/>
    <cellStyle name="Hipervínculo" xfId="1594" builtinId="8" hidden="1"/>
    <cellStyle name="Hipervínculo" xfId="1596" builtinId="8" hidden="1"/>
    <cellStyle name="Hipervínculo" xfId="1598" builtinId="8" hidden="1"/>
    <cellStyle name="Hipervínculo" xfId="1600" builtinId="8" hidden="1"/>
    <cellStyle name="Hipervínculo" xfId="1602" builtinId="8" hidden="1"/>
    <cellStyle name="Hipervínculo" xfId="1604" builtinId="8" hidden="1"/>
    <cellStyle name="Hipervínculo" xfId="1606" builtinId="8" hidden="1"/>
    <cellStyle name="Hipervínculo" xfId="1608" builtinId="8" hidden="1"/>
    <cellStyle name="Hipervínculo" xfId="1610" builtinId="8" hidden="1"/>
    <cellStyle name="Hipervínculo" xfId="1612" builtinId="8" hidden="1"/>
    <cellStyle name="Hipervínculo" xfId="1614" builtinId="8" hidden="1"/>
    <cellStyle name="Hipervínculo" xfId="1616" builtinId="8" hidden="1"/>
    <cellStyle name="Hipervínculo" xfId="1618" builtinId="8" hidden="1"/>
    <cellStyle name="Hipervínculo" xfId="1620" builtinId="8" hidden="1"/>
    <cellStyle name="Hipervínculo" xfId="1622" builtinId="8" hidden="1"/>
    <cellStyle name="Hipervínculo" xfId="1624" builtinId="8" hidden="1"/>
    <cellStyle name="Hipervínculo" xfId="1626" builtinId="8" hidden="1"/>
    <cellStyle name="Hipervínculo" xfId="1628" builtinId="8" hidden="1"/>
    <cellStyle name="Hipervínculo" xfId="1630" builtinId="8" hidden="1"/>
    <cellStyle name="Hipervínculo" xfId="1632" builtinId="8" hidden="1"/>
    <cellStyle name="Hipervínculo" xfId="1634" builtinId="8" hidden="1"/>
    <cellStyle name="Hipervínculo" xfId="1636" builtinId="8" hidden="1"/>
    <cellStyle name="Hipervínculo" xfId="1638" builtinId="8" hidden="1"/>
    <cellStyle name="Hipervínculo" xfId="1640" builtinId="8" hidden="1"/>
    <cellStyle name="Hipervínculo" xfId="1642" builtinId="8" hidden="1"/>
    <cellStyle name="Hipervínculo" xfId="1644" builtinId="8" hidden="1"/>
    <cellStyle name="Hipervínculo" xfId="1646" builtinId="8" hidden="1"/>
    <cellStyle name="Hipervínculo" xfId="1648" builtinId="8" hidden="1"/>
    <cellStyle name="Hipervínculo" xfId="1650" builtinId="8" hidden="1"/>
    <cellStyle name="Hipervínculo" xfId="1652" builtinId="8" hidden="1"/>
    <cellStyle name="Hipervínculo" xfId="1654" builtinId="8" hidden="1"/>
    <cellStyle name="Hipervínculo" xfId="1656" builtinId="8" hidden="1"/>
    <cellStyle name="Hipervínculo" xfId="1658" builtinId="8" hidden="1"/>
    <cellStyle name="Hipervínculo" xfId="1660" builtinId="8" hidden="1"/>
    <cellStyle name="Hipervínculo" xfId="1662" builtinId="8" hidden="1"/>
    <cellStyle name="Hipervínculo" xfId="1664" builtinId="8" hidden="1"/>
    <cellStyle name="Hipervínculo" xfId="1666" builtinId="8" hidden="1"/>
    <cellStyle name="Hipervínculo" xfId="1668" builtinId="8" hidden="1"/>
    <cellStyle name="Hipervínculo" xfId="1670" builtinId="8" hidden="1"/>
    <cellStyle name="Hipervínculo" xfId="1672" builtinId="8" hidden="1"/>
    <cellStyle name="Hipervínculo" xfId="1674" builtinId="8" hidden="1"/>
    <cellStyle name="Hipervínculo" xfId="1676" builtinId="8" hidden="1"/>
    <cellStyle name="Hipervínculo" xfId="1678" builtinId="8" hidden="1"/>
    <cellStyle name="Hipervínculo" xfId="1680" builtinId="8" hidden="1"/>
    <cellStyle name="Hipervínculo" xfId="1682" builtinId="8" hidden="1"/>
    <cellStyle name="Hipervínculo" xfId="1684" builtinId="8" hidden="1"/>
    <cellStyle name="Hipervínculo" xfId="1686" builtinId="8" hidden="1"/>
    <cellStyle name="Hipervínculo" xfId="1688" builtinId="8" hidden="1"/>
    <cellStyle name="Hipervínculo" xfId="1690" builtinId="8" hidden="1"/>
    <cellStyle name="Hipervínculo" xfId="1692" builtinId="8" hidden="1"/>
    <cellStyle name="Hipervínculo" xfId="1694" builtinId="8" hidden="1"/>
    <cellStyle name="Hipervínculo" xfId="1696" builtinId="8" hidden="1"/>
    <cellStyle name="Hipervínculo" xfId="1698" builtinId="8" hidden="1"/>
    <cellStyle name="Hipervínculo" xfId="1700" builtinId="8" hidden="1"/>
    <cellStyle name="Hipervínculo" xfId="1702" builtinId="8" hidden="1"/>
    <cellStyle name="Hipervínculo" xfId="1704" builtinId="8" hidden="1"/>
    <cellStyle name="Hipervínculo" xfId="1706" builtinId="8" hidden="1"/>
    <cellStyle name="Hipervínculo" xfId="1708" builtinId="8" hidden="1"/>
    <cellStyle name="Hipervínculo" xfId="1710" builtinId="8" hidden="1"/>
    <cellStyle name="Hipervínculo" xfId="1712" builtinId="8" hidden="1"/>
    <cellStyle name="Hipervínculo" xfId="1714" builtinId="8" hidden="1"/>
    <cellStyle name="Hipervínculo" xfId="1716" builtinId="8" hidden="1"/>
    <cellStyle name="Hipervínculo" xfId="1718" builtinId="8" hidden="1"/>
    <cellStyle name="Hipervínculo" xfId="1720" builtinId="8" hidden="1"/>
    <cellStyle name="Hipervínculo" xfId="1722" builtinId="8" hidden="1"/>
    <cellStyle name="Hipervínculo" xfId="1724" builtinId="8" hidden="1"/>
    <cellStyle name="Hipervínculo" xfId="1726" builtinId="8" hidden="1"/>
    <cellStyle name="Hipervínculo" xfId="1728" builtinId="8" hidden="1"/>
    <cellStyle name="Hipervínculo" xfId="1730" builtinId="8" hidden="1"/>
    <cellStyle name="Hipervínculo" xfId="1732" builtinId="8" hidden="1"/>
    <cellStyle name="Hipervínculo" xfId="1734" builtinId="8" hidden="1"/>
    <cellStyle name="Hipervínculo" xfId="1736" builtinId="8" hidden="1"/>
    <cellStyle name="Hipervínculo" xfId="1738" builtinId="8" hidden="1"/>
    <cellStyle name="Hipervínculo" xfId="1740" builtinId="8" hidden="1"/>
    <cellStyle name="Hipervínculo" xfId="1742" builtinId="8" hidden="1"/>
    <cellStyle name="Hipervínculo" xfId="1744" builtinId="8" hidden="1"/>
    <cellStyle name="Hipervínculo" xfId="1746" builtinId="8" hidden="1"/>
    <cellStyle name="Hipervínculo" xfId="1748" builtinId="8" hidden="1"/>
    <cellStyle name="Hipervínculo" xfId="1750" builtinId="8" hidden="1"/>
    <cellStyle name="Hipervínculo" xfId="1752" builtinId="8" hidden="1"/>
    <cellStyle name="Hipervínculo" xfId="1754" builtinId="8" hidden="1"/>
    <cellStyle name="Hipervínculo" xfId="1756" builtinId="8" hidden="1"/>
    <cellStyle name="Hipervínculo" xfId="1758" builtinId="8" hidden="1"/>
    <cellStyle name="Hipervínculo" xfId="1760" builtinId="8" hidden="1"/>
    <cellStyle name="Hipervínculo" xfId="1762" builtinId="8" hidden="1"/>
    <cellStyle name="Hipervínculo" xfId="1764" builtinId="8" hidden="1"/>
    <cellStyle name="Hipervínculo" xfId="1766" builtinId="8" hidden="1"/>
    <cellStyle name="Hipervínculo" xfId="1768" builtinId="8" hidden="1"/>
    <cellStyle name="Hipervínculo" xfId="1770" builtinId="8" hidden="1"/>
    <cellStyle name="Hipervínculo" xfId="1772" builtinId="8" hidden="1"/>
    <cellStyle name="Hipervínculo" xfId="1774" builtinId="8" hidden="1"/>
    <cellStyle name="Hipervínculo" xfId="1776" builtinId="8" hidden="1"/>
    <cellStyle name="Hipervínculo" xfId="1778" builtinId="8" hidden="1"/>
    <cellStyle name="Hipervínculo" xfId="1780" builtinId="8" hidden="1"/>
    <cellStyle name="Hipervínculo" xfId="1782" builtinId="8" hidden="1"/>
    <cellStyle name="Hipervínculo" xfId="1784" builtinId="8" hidden="1"/>
    <cellStyle name="Hipervínculo" xfId="1786" builtinId="8" hidden="1"/>
    <cellStyle name="Hipervínculo" xfId="1788" builtinId="8" hidden="1"/>
    <cellStyle name="Hipervínculo" xfId="1790" builtinId="8" hidden="1"/>
    <cellStyle name="Hipervínculo" xfId="1792" builtinId="8" hidden="1"/>
    <cellStyle name="Hipervínculo" xfId="1794" builtinId="8" hidden="1"/>
    <cellStyle name="Hipervínculo" xfId="1796" builtinId="8" hidden="1"/>
    <cellStyle name="Hipervínculo" xfId="1798" builtinId="8" hidden="1"/>
    <cellStyle name="Hipervínculo" xfId="1800" builtinId="8" hidden="1"/>
    <cellStyle name="Hipervínculo" xfId="1802" builtinId="8" hidden="1"/>
    <cellStyle name="Hipervínculo" xfId="1804" builtinId="8" hidden="1"/>
    <cellStyle name="Hipervínculo" xfId="1806" builtinId="8" hidden="1"/>
    <cellStyle name="Hipervínculo" xfId="1808" builtinId="8" hidden="1"/>
    <cellStyle name="Hipervínculo" xfId="1810" builtinId="8" hidden="1"/>
    <cellStyle name="Hipervínculo" xfId="1812" builtinId="8" hidden="1"/>
    <cellStyle name="Hipervínculo" xfId="1814" builtinId="8" hidden="1"/>
    <cellStyle name="Hipervínculo" xfId="1816" builtinId="8" hidden="1"/>
    <cellStyle name="Hipervínculo" xfId="1818" builtinId="8" hidden="1"/>
    <cellStyle name="Hipervínculo" xfId="1820" builtinId="8" hidden="1"/>
    <cellStyle name="Hipervínculo" xfId="1822" builtinId="8" hidden="1"/>
    <cellStyle name="Hipervínculo" xfId="1824" builtinId="8" hidden="1"/>
    <cellStyle name="Hipervínculo" xfId="1826" builtinId="8" hidden="1"/>
    <cellStyle name="Hipervínculo" xfId="1828" builtinId="8" hidden="1"/>
    <cellStyle name="Hipervínculo" xfId="1830" builtinId="8" hidden="1"/>
    <cellStyle name="Hipervínculo" xfId="1832" builtinId="8" hidden="1"/>
    <cellStyle name="Hipervínculo" xfId="1834" builtinId="8" hidden="1"/>
    <cellStyle name="Hipervínculo" xfId="1836" builtinId="8" hidden="1"/>
    <cellStyle name="Hipervínculo" xfId="1838" builtinId="8" hidden="1"/>
    <cellStyle name="Hipervínculo" xfId="1840" builtinId="8" hidden="1"/>
    <cellStyle name="Hipervínculo" xfId="1842" builtinId="8" hidden="1"/>
    <cellStyle name="Hipervínculo" xfId="1844" builtinId="8" hidden="1"/>
    <cellStyle name="Hipervínculo" xfId="1846" builtinId="8" hidden="1"/>
    <cellStyle name="Hipervínculo" xfId="1848" builtinId="8" hidden="1"/>
    <cellStyle name="Hipervínculo" xfId="1850" builtinId="8" hidden="1"/>
    <cellStyle name="Hipervínculo" xfId="1852" builtinId="8" hidden="1"/>
    <cellStyle name="Hipervínculo" xfId="1854" builtinId="8" hidden="1"/>
    <cellStyle name="Hipervínculo" xfId="1856" builtinId="8" hidden="1"/>
    <cellStyle name="Hipervínculo" xfId="1858" builtinId="8" hidden="1"/>
    <cellStyle name="Hipervínculo" xfId="1860" builtinId="8" hidden="1"/>
    <cellStyle name="Hipervínculo" xfId="1862" builtinId="8" hidden="1"/>
    <cellStyle name="Hipervínculo" xfId="1864" builtinId="8" hidden="1"/>
    <cellStyle name="Hipervínculo" xfId="1866" builtinId="8" hidden="1"/>
    <cellStyle name="Hipervínculo" xfId="1868" builtinId="8" hidden="1"/>
    <cellStyle name="Hipervínculo" xfId="1870" builtinId="8" hidden="1"/>
    <cellStyle name="Hipervínculo" xfId="1872" builtinId="8" hidden="1"/>
    <cellStyle name="Hipervínculo" xfId="1874" builtinId="8" hidden="1"/>
    <cellStyle name="Hipervínculo" xfId="1876" builtinId="8" hidden="1"/>
    <cellStyle name="Hipervínculo" xfId="1878" builtinId="8" hidden="1"/>
    <cellStyle name="Hipervínculo" xfId="1880" builtinId="8" hidden="1"/>
    <cellStyle name="Hipervínculo" xfId="1882" builtinId="8" hidden="1"/>
    <cellStyle name="Hipervínculo" xfId="1884" builtinId="8" hidden="1"/>
    <cellStyle name="Hipervínculo" xfId="1886" builtinId="8" hidden="1"/>
    <cellStyle name="Hipervínculo" xfId="1888" builtinId="8" hidden="1"/>
    <cellStyle name="Hipervínculo" xfId="1890" builtinId="8" hidden="1"/>
    <cellStyle name="Hipervínculo" xfId="1892" builtinId="8" hidden="1"/>
    <cellStyle name="Hipervínculo" xfId="1894" builtinId="8" hidden="1"/>
    <cellStyle name="Hipervínculo" xfId="1896" builtinId="8" hidden="1"/>
    <cellStyle name="Hipervínculo" xfId="1898" builtinId="8" hidden="1"/>
    <cellStyle name="Hipervínculo" xfId="1900" builtinId="8" hidden="1"/>
    <cellStyle name="Hipervínculo" xfId="1902" builtinId="8" hidden="1"/>
    <cellStyle name="Hipervínculo" xfId="1904" builtinId="8" hidden="1"/>
    <cellStyle name="Hipervínculo" xfId="1906" builtinId="8" hidden="1"/>
    <cellStyle name="Hipervínculo" xfId="1908" builtinId="8" hidden="1"/>
    <cellStyle name="Hipervínculo" xfId="1910" builtinId="8" hidden="1"/>
    <cellStyle name="Hipervínculo" xfId="1912" builtinId="8" hidden="1"/>
    <cellStyle name="Hipervínculo" xfId="1914" builtinId="8" hidden="1"/>
    <cellStyle name="Hipervínculo" xfId="1916" builtinId="8" hidden="1"/>
    <cellStyle name="Hipervínculo" xfId="1918" builtinId="8" hidden="1"/>
    <cellStyle name="Hipervínculo" xfId="1920" builtinId="8" hidden="1"/>
    <cellStyle name="Hipervínculo" xfId="1922" builtinId="8" hidden="1"/>
    <cellStyle name="Hipervínculo" xfId="1924" builtinId="8" hidden="1"/>
    <cellStyle name="Hipervínculo" xfId="1926" builtinId="8" hidden="1"/>
    <cellStyle name="Hipervínculo" xfId="1928" builtinId="8" hidden="1"/>
    <cellStyle name="Hipervínculo" xfId="1930" builtinId="8" hidden="1"/>
    <cellStyle name="Hipervínculo" xfId="1932" builtinId="8" hidden="1"/>
    <cellStyle name="Hipervínculo" xfId="1934" builtinId="8" hidden="1"/>
    <cellStyle name="Hipervínculo" xfId="1936" builtinId="8" hidden="1"/>
    <cellStyle name="Hipervínculo" xfId="1938" builtinId="8" hidden="1"/>
    <cellStyle name="Hipervínculo" xfId="1940" builtinId="8" hidden="1"/>
    <cellStyle name="Hipervínculo" xfId="1942" builtinId="8" hidden="1"/>
    <cellStyle name="Hipervínculo" xfId="1944" builtinId="8" hidden="1"/>
    <cellStyle name="Hipervínculo" xfId="1946" builtinId="8" hidden="1"/>
    <cellStyle name="Hipervínculo" xfId="1948" builtinId="8" hidden="1"/>
    <cellStyle name="Hipervínculo" xfId="1950" builtinId="8" hidden="1"/>
    <cellStyle name="Hipervínculo" xfId="1952" builtinId="8" hidden="1"/>
    <cellStyle name="Hipervínculo" xfId="1954" builtinId="8" hidden="1"/>
    <cellStyle name="Hipervínculo" xfId="1956" builtinId="8" hidden="1"/>
    <cellStyle name="Hipervínculo" xfId="1958" builtinId="8" hidden="1"/>
    <cellStyle name="Hipervínculo" xfId="1960" builtinId="8" hidden="1"/>
    <cellStyle name="Hipervínculo" xfId="1962" builtinId="8" hidden="1"/>
    <cellStyle name="Hipervínculo" xfId="1964" builtinId="8" hidden="1"/>
    <cellStyle name="Hipervínculo" xfId="1966" builtinId="8" hidden="1"/>
    <cellStyle name="Hipervínculo" xfId="1968" builtinId="8" hidden="1"/>
    <cellStyle name="Hipervínculo" xfId="1970" builtinId="8" hidden="1"/>
    <cellStyle name="Hipervínculo" xfId="1972" builtinId="8" hidden="1"/>
    <cellStyle name="Hipervínculo" xfId="1974" builtinId="8" hidden="1"/>
    <cellStyle name="Hipervínculo" xfId="1976" builtinId="8" hidden="1"/>
    <cellStyle name="Hipervínculo" xfId="1978" builtinId="8" hidden="1"/>
    <cellStyle name="Hipervínculo" xfId="1980" builtinId="8" hidden="1"/>
    <cellStyle name="Hipervínculo" xfId="1982" builtinId="8" hidden="1"/>
    <cellStyle name="Hipervínculo" xfId="1984" builtinId="8" hidden="1"/>
    <cellStyle name="Hipervínculo" xfId="1986" builtinId="8" hidden="1"/>
    <cellStyle name="Hipervínculo" xfId="1988" builtinId="8" hidden="1"/>
    <cellStyle name="Hipervínculo" xfId="1990" builtinId="8" hidden="1"/>
    <cellStyle name="Hipervínculo" xfId="1992" builtinId="8" hidden="1"/>
    <cellStyle name="Hipervínculo" xfId="1994" builtinId="8" hidden="1"/>
    <cellStyle name="Hipervínculo" xfId="1996" builtinId="8" hidden="1"/>
    <cellStyle name="Hipervínculo" xfId="1998" builtinId="8" hidden="1"/>
    <cellStyle name="Hipervínculo" xfId="2000" builtinId="8" hidden="1"/>
    <cellStyle name="Hipervínculo" xfId="2002" builtinId="8" hidden="1"/>
    <cellStyle name="Hipervínculo" xfId="2004" builtinId="8" hidden="1"/>
    <cellStyle name="Hipervínculo" xfId="2006" builtinId="8" hidden="1"/>
    <cellStyle name="Hipervínculo" xfId="2008" builtinId="8" hidden="1"/>
    <cellStyle name="Hipervínculo" xfId="2010" builtinId="8" hidden="1"/>
    <cellStyle name="Hipervínculo" xfId="2012" builtinId="8" hidden="1"/>
    <cellStyle name="Hipervínculo" xfId="2014" builtinId="8" hidden="1"/>
    <cellStyle name="Hipervínculo" xfId="2016" builtinId="8" hidden="1"/>
    <cellStyle name="Hipervínculo" xfId="2018" builtinId="8" hidden="1"/>
    <cellStyle name="Hipervínculo" xfId="2020" builtinId="8" hidden="1"/>
    <cellStyle name="Hipervínculo" xfId="2022" builtinId="8" hidden="1"/>
    <cellStyle name="Hipervínculo" xfId="2024" builtinId="8" hidden="1"/>
    <cellStyle name="Hipervínculo" xfId="2026" builtinId="8" hidden="1"/>
    <cellStyle name="Hipervínculo" xfId="2028" builtinId="8" hidden="1"/>
    <cellStyle name="Hipervínculo" xfId="2030" builtinId="8" hidden="1"/>
    <cellStyle name="Hipervínculo" xfId="2032" builtinId="8" hidden="1"/>
    <cellStyle name="Hipervínculo" xfId="2034" builtinId="8" hidden="1"/>
    <cellStyle name="Hipervínculo" xfId="2036" builtinId="8" hidden="1"/>
    <cellStyle name="Hipervínculo" xfId="2038" builtinId="8" hidden="1"/>
    <cellStyle name="Hipervínculo" xfId="2040" builtinId="8" hidden="1"/>
    <cellStyle name="Hipervínculo" xfId="2042" builtinId="8" hidden="1"/>
    <cellStyle name="Hipervínculo" xfId="2044" builtinId="8" hidden="1"/>
    <cellStyle name="Hipervínculo" xfId="2046" builtinId="8" hidden="1"/>
    <cellStyle name="Hipervínculo" xfId="2048" builtinId="8" hidden="1"/>
    <cellStyle name="Hipervínculo" xfId="2050" builtinId="8" hidden="1"/>
    <cellStyle name="Hipervínculo" xfId="2052" builtinId="8" hidden="1"/>
    <cellStyle name="Hipervínculo" xfId="2054" builtinId="8" hidden="1"/>
    <cellStyle name="Hipervínculo" xfId="2056" builtinId="8" hidden="1"/>
    <cellStyle name="Hipervínculo" xfId="2058" builtinId="8" hidden="1"/>
    <cellStyle name="Hipervínculo" xfId="2060" builtinId="8" hidden="1"/>
    <cellStyle name="Hipervínculo" xfId="2062" builtinId="8" hidden="1"/>
    <cellStyle name="Hipervínculo" xfId="2064" builtinId="8" hidden="1"/>
    <cellStyle name="Hipervínculo" xfId="2066" builtinId="8" hidden="1"/>
    <cellStyle name="Hipervínculo" xfId="2068" builtinId="8" hidden="1"/>
    <cellStyle name="Hipervínculo" xfId="2070" builtinId="8" hidden="1"/>
    <cellStyle name="Hipervínculo" xfId="2072" builtinId="8" hidden="1"/>
    <cellStyle name="Hipervínculo" xfId="2074" builtinId="8" hidden="1"/>
    <cellStyle name="Hipervínculo" xfId="2076" builtinId="8" hidden="1"/>
    <cellStyle name="Hipervínculo" xfId="2078" builtinId="8" hidden="1"/>
    <cellStyle name="Hipervínculo" xfId="2080" builtinId="8" hidden="1"/>
    <cellStyle name="Hipervínculo" xfId="2082" builtinId="8" hidden="1"/>
    <cellStyle name="Hipervínculo" xfId="2084" builtinId="8" hidden="1"/>
    <cellStyle name="Hipervínculo" xfId="2086" builtinId="8" hidden="1"/>
    <cellStyle name="Hipervínculo" xfId="2088" builtinId="8" hidden="1"/>
    <cellStyle name="Hipervínculo" xfId="2090" builtinId="8" hidden="1"/>
    <cellStyle name="Hipervínculo" xfId="2092" builtinId="8" hidden="1"/>
    <cellStyle name="Hipervínculo" xfId="2094" builtinId="8" hidden="1"/>
    <cellStyle name="Hipervínculo" xfId="2096" builtinId="8" hidden="1"/>
    <cellStyle name="Hipervínculo" xfId="2098" builtinId="8" hidden="1"/>
    <cellStyle name="Hipervínculo" xfId="2100" builtinId="8" hidden="1"/>
    <cellStyle name="Hipervínculo" xfId="2102" builtinId="8" hidden="1"/>
    <cellStyle name="Hipervínculo" xfId="2104" builtinId="8" hidden="1"/>
    <cellStyle name="Hipervínculo" xfId="2106" builtinId="8" hidden="1"/>
    <cellStyle name="Hipervínculo" xfId="2108" builtinId="8" hidden="1"/>
    <cellStyle name="Hipervínculo" xfId="2110" builtinId="8" hidden="1"/>
    <cellStyle name="Hipervínculo" xfId="2112" builtinId="8" hidden="1"/>
    <cellStyle name="Hipervínculo" xfId="2114" builtinId="8" hidden="1"/>
    <cellStyle name="Hipervínculo" xfId="2116" builtinId="8" hidden="1"/>
    <cellStyle name="Hipervínculo" xfId="2118" builtinId="8" hidden="1"/>
    <cellStyle name="Hipervínculo" xfId="2120" builtinId="8" hidden="1"/>
    <cellStyle name="Hipervínculo" xfId="2122" builtinId="8" hidden="1"/>
    <cellStyle name="Hipervínculo" xfId="2124" builtinId="8" hidden="1"/>
    <cellStyle name="Hipervínculo" xfId="2126" builtinId="8" hidden="1"/>
    <cellStyle name="Hipervínculo" xfId="2128" builtinId="8" hidden="1"/>
    <cellStyle name="Hipervínculo" xfId="2130" builtinId="8" hidden="1"/>
    <cellStyle name="Hipervínculo" xfId="2132" builtinId="8" hidden="1"/>
    <cellStyle name="Hipervínculo" xfId="2134" builtinId="8" hidden="1"/>
    <cellStyle name="Hipervínculo" xfId="2136" builtinId="8" hidden="1"/>
    <cellStyle name="Hipervínculo" xfId="2138" builtinId="8" hidden="1"/>
    <cellStyle name="Hipervínculo" xfId="2140" builtinId="8" hidden="1"/>
    <cellStyle name="Hipervínculo" xfId="2142" builtinId="8" hidden="1"/>
    <cellStyle name="Hipervínculo" xfId="2144" builtinId="8" hidden="1"/>
    <cellStyle name="Hipervínculo" xfId="2146" builtinId="8" hidden="1"/>
    <cellStyle name="Hipervínculo" xfId="2148" builtinId="8" hidden="1"/>
    <cellStyle name="Hipervínculo" xfId="2150" builtinId="8" hidden="1"/>
    <cellStyle name="Hipervínculo" xfId="2152" builtinId="8" hidden="1"/>
    <cellStyle name="Hipervínculo" xfId="2154" builtinId="8" hidden="1"/>
    <cellStyle name="Hipervínculo" xfId="2156" builtinId="8" hidden="1"/>
    <cellStyle name="Hipervínculo" xfId="2158" builtinId="8" hidden="1"/>
    <cellStyle name="Hipervínculo" xfId="2160" builtinId="8" hidden="1"/>
    <cellStyle name="Hipervínculo" xfId="2162" builtinId="8" hidden="1"/>
    <cellStyle name="Hipervínculo" xfId="2164" builtinId="8" hidden="1"/>
    <cellStyle name="Hipervínculo" xfId="2166" builtinId="8" hidden="1"/>
    <cellStyle name="Hipervínculo" xfId="2168" builtinId="8" hidden="1"/>
    <cellStyle name="Hipervínculo" xfId="2170" builtinId="8" hidden="1"/>
    <cellStyle name="Hipervínculo" xfId="2172" builtinId="8" hidden="1"/>
    <cellStyle name="Hipervínculo" xfId="2174" builtinId="8" hidden="1"/>
    <cellStyle name="Hipervínculo" xfId="2176" builtinId="8" hidden="1"/>
    <cellStyle name="Hipervínculo" xfId="2178" builtinId="8" hidden="1"/>
    <cellStyle name="Hipervínculo" xfId="2180" builtinId="8" hidden="1"/>
    <cellStyle name="Hipervínculo" xfId="2182" builtinId="8" hidden="1"/>
    <cellStyle name="Hipervínculo" xfId="2184" builtinId="8" hidden="1"/>
    <cellStyle name="Hipervínculo" xfId="2186" builtinId="8" hidden="1"/>
    <cellStyle name="Hipervínculo" xfId="2188" builtinId="8" hidden="1"/>
    <cellStyle name="Hipervínculo" xfId="2190" builtinId="8" hidden="1"/>
    <cellStyle name="Hipervínculo" xfId="2192" builtinId="8" hidden="1"/>
    <cellStyle name="Hipervínculo" xfId="2194" builtinId="8" hidden="1"/>
    <cellStyle name="Hipervínculo" xfId="2196" builtinId="8" hidden="1"/>
    <cellStyle name="Hipervínculo" xfId="2198" builtinId="8" hidden="1"/>
    <cellStyle name="Hipervínculo" xfId="2200" builtinId="8" hidden="1"/>
    <cellStyle name="Hipervínculo" xfId="2202" builtinId="8" hidden="1"/>
    <cellStyle name="Hipervínculo" xfId="2204" builtinId="8" hidden="1"/>
    <cellStyle name="Hipervínculo" xfId="2206" builtinId="8" hidden="1"/>
    <cellStyle name="Hipervínculo" xfId="2208" builtinId="8" hidden="1"/>
    <cellStyle name="Hipervínculo" xfId="2210" builtinId="8" hidden="1"/>
    <cellStyle name="Hipervínculo" xfId="2212" builtinId="8" hidden="1"/>
    <cellStyle name="Hipervínculo" xfId="2214" builtinId="8" hidden="1"/>
    <cellStyle name="Hipervínculo" xfId="2216" builtinId="8" hidden="1"/>
    <cellStyle name="Hipervínculo" xfId="2218" builtinId="8" hidden="1"/>
    <cellStyle name="Hipervínculo" xfId="2220" builtinId="8" hidden="1"/>
    <cellStyle name="Hipervínculo" xfId="2222" builtinId="8" hidden="1"/>
    <cellStyle name="Hipervínculo" xfId="2224" builtinId="8" hidden="1"/>
    <cellStyle name="Hipervínculo" xfId="2226" builtinId="8" hidden="1"/>
    <cellStyle name="Hipervínculo" xfId="2228" builtinId="8" hidden="1"/>
    <cellStyle name="Hipervínculo" xfId="2230" builtinId="8" hidden="1"/>
    <cellStyle name="Hipervínculo" xfId="2232" builtinId="8" hidden="1"/>
    <cellStyle name="Hipervínculo" xfId="2234" builtinId="8" hidden="1"/>
    <cellStyle name="Hipervínculo" xfId="2236" builtinId="8" hidden="1"/>
    <cellStyle name="Hipervínculo" xfId="2238" builtinId="8" hidden="1"/>
    <cellStyle name="Hipervínculo" xfId="2240" builtinId="8" hidden="1"/>
    <cellStyle name="Hipervínculo" xfId="2242" builtinId="8" hidden="1"/>
    <cellStyle name="Hipervínculo" xfId="2244" builtinId="8" hidden="1"/>
    <cellStyle name="Hipervínculo" xfId="2246" builtinId="8" hidden="1"/>
    <cellStyle name="Hipervínculo" xfId="2248" builtinId="8" hidden="1"/>
    <cellStyle name="Hipervínculo" xfId="2250" builtinId="8" hidden="1"/>
    <cellStyle name="Hipervínculo" xfId="2252" builtinId="8" hidden="1"/>
    <cellStyle name="Hipervínculo" xfId="2254" builtinId="8" hidden="1"/>
    <cellStyle name="Hipervínculo" xfId="2256" builtinId="8" hidden="1"/>
    <cellStyle name="Hipervínculo" xfId="2258" builtinId="8" hidden="1"/>
    <cellStyle name="Hipervínculo" xfId="2260" builtinId="8" hidden="1"/>
    <cellStyle name="Hipervínculo" xfId="2262" builtinId="8" hidden="1"/>
    <cellStyle name="Hipervínculo" xfId="2264" builtinId="8" hidden="1"/>
    <cellStyle name="Hipervínculo" xfId="2266" builtinId="8" hidden="1"/>
    <cellStyle name="Hipervínculo" xfId="2268" builtinId="8" hidden="1"/>
    <cellStyle name="Hipervínculo" xfId="2270" builtinId="8" hidden="1"/>
    <cellStyle name="Hipervínculo" xfId="2272" builtinId="8" hidden="1"/>
    <cellStyle name="Hipervínculo" xfId="2274" builtinId="8" hidden="1"/>
    <cellStyle name="Hipervínculo" xfId="2276" builtinId="8" hidden="1"/>
    <cellStyle name="Hipervínculo" xfId="2278" builtinId="8" hidden="1"/>
    <cellStyle name="Hipervínculo" xfId="2280" builtinId="8" hidden="1"/>
    <cellStyle name="Hipervínculo" xfId="2282" builtinId="8" hidden="1"/>
    <cellStyle name="Hipervínculo" xfId="2284" builtinId="8" hidden="1"/>
    <cellStyle name="Hipervínculo" xfId="2286" builtinId="8" hidden="1"/>
    <cellStyle name="Hipervínculo" xfId="2288" builtinId="8" hidden="1"/>
    <cellStyle name="Hipervínculo" xfId="2290" builtinId="8" hidden="1"/>
    <cellStyle name="Hipervínculo" xfId="2292" builtinId="8" hidden="1"/>
    <cellStyle name="Hipervínculo" xfId="2294" builtinId="8" hidden="1"/>
    <cellStyle name="Hipervínculo" xfId="2296" builtinId="8" hidden="1"/>
    <cellStyle name="Hipervínculo" xfId="2298" builtinId="8" hidden="1"/>
    <cellStyle name="Hipervínculo" xfId="2300" builtinId="8" hidden="1"/>
    <cellStyle name="Hipervínculo" xfId="2302" builtinId="8" hidden="1"/>
    <cellStyle name="Hipervínculo" xfId="2304" builtinId="8" hidden="1"/>
    <cellStyle name="Hipervínculo" xfId="2306" builtinId="8" hidden="1"/>
    <cellStyle name="Hipervínculo" xfId="2308" builtinId="8" hidden="1"/>
    <cellStyle name="Hipervínculo" xfId="2310" builtinId="8" hidden="1"/>
    <cellStyle name="Hipervínculo" xfId="2312" builtinId="8" hidden="1"/>
    <cellStyle name="Hipervínculo" xfId="2314" builtinId="8" hidden="1"/>
    <cellStyle name="Hipervínculo" xfId="2316" builtinId="8" hidden="1"/>
    <cellStyle name="Hipervínculo" xfId="2318" builtinId="8" hidden="1"/>
    <cellStyle name="Hipervínculo" xfId="2320" builtinId="8" hidden="1"/>
    <cellStyle name="Hipervínculo" xfId="2322" builtinId="8" hidden="1"/>
    <cellStyle name="Hipervínculo" xfId="2324" builtinId="8" hidden="1"/>
    <cellStyle name="Hipervínculo" xfId="2326" builtinId="8" hidden="1"/>
    <cellStyle name="Hipervínculo" xfId="2328" builtinId="8" hidden="1"/>
    <cellStyle name="Hipervínculo" xfId="2330" builtinId="8" hidden="1"/>
    <cellStyle name="Hipervínculo" xfId="2332" builtinId="8" hidden="1"/>
    <cellStyle name="Hipervínculo" xfId="2334" builtinId="8" hidden="1"/>
    <cellStyle name="Hipervínculo" xfId="2336" builtinId="8" hidden="1"/>
    <cellStyle name="Hipervínculo" xfId="2338" builtinId="8" hidden="1"/>
    <cellStyle name="Hipervínculo" xfId="2340" builtinId="8" hidden="1"/>
    <cellStyle name="Hipervínculo" xfId="2342" builtinId="8" hidden="1"/>
    <cellStyle name="Hipervínculo" xfId="2344" builtinId="8" hidden="1"/>
    <cellStyle name="Hipervínculo" xfId="2346" builtinId="8" hidden="1"/>
    <cellStyle name="Hipervínculo" xfId="2348" builtinId="8" hidden="1"/>
    <cellStyle name="Hipervínculo" xfId="2350" builtinId="8" hidden="1"/>
    <cellStyle name="Hipervínculo" xfId="2352" builtinId="8" hidden="1"/>
    <cellStyle name="Hipervínculo" xfId="2354" builtinId="8" hidden="1"/>
    <cellStyle name="Hipervínculo" xfId="2356" builtinId="8" hidden="1"/>
    <cellStyle name="Hipervínculo" xfId="2358" builtinId="8" hidden="1"/>
    <cellStyle name="Hipervínculo" xfId="2360" builtinId="8" hidden="1"/>
    <cellStyle name="Hipervínculo" xfId="2362" builtinId="8" hidden="1"/>
    <cellStyle name="Hipervínculo" xfId="2364" builtinId="8" hidden="1"/>
    <cellStyle name="Hipervínculo" xfId="2366" builtinId="8" hidden="1"/>
    <cellStyle name="Hipervínculo" xfId="2368" builtinId="8" hidden="1"/>
    <cellStyle name="Hipervínculo" xfId="2370" builtinId="8" hidden="1"/>
    <cellStyle name="Hipervínculo" xfId="2372" builtinId="8" hidden="1"/>
    <cellStyle name="Hipervínculo" xfId="2374" builtinId="8" hidden="1"/>
    <cellStyle name="Hipervínculo" xfId="2376" builtinId="8" hidden="1"/>
    <cellStyle name="Hipervínculo" xfId="2378" builtinId="8" hidden="1"/>
    <cellStyle name="Hipervínculo" xfId="2380" builtinId="8" hidden="1"/>
    <cellStyle name="Hipervínculo" xfId="2382" builtinId="8" hidden="1"/>
    <cellStyle name="Hipervínculo" xfId="2384" builtinId="8" hidden="1"/>
    <cellStyle name="Hipervínculo" xfId="2386" builtinId="8" hidden="1"/>
    <cellStyle name="Hipervínculo" xfId="2388" builtinId="8" hidden="1"/>
    <cellStyle name="Hipervínculo" xfId="2390" builtinId="8" hidden="1"/>
    <cellStyle name="Hipervínculo" xfId="2392" builtinId="8" hidden="1"/>
    <cellStyle name="Hipervínculo" xfId="2394" builtinId="8" hidden="1"/>
    <cellStyle name="Hipervínculo" xfId="2396" builtinId="8" hidden="1"/>
    <cellStyle name="Hipervínculo" xfId="2398" builtinId="8" hidden="1"/>
    <cellStyle name="Hipervínculo" xfId="2400" builtinId="8" hidden="1"/>
    <cellStyle name="Hipervínculo" xfId="2402" builtinId="8" hidden="1"/>
    <cellStyle name="Hipervínculo" xfId="2404" builtinId="8" hidden="1"/>
    <cellStyle name="Hipervínculo" xfId="2406" builtinId="8" hidden="1"/>
    <cellStyle name="Hipervínculo" xfId="2408" builtinId="8" hidden="1"/>
    <cellStyle name="Hipervínculo" xfId="2410" builtinId="8" hidden="1"/>
    <cellStyle name="Hipervínculo" xfId="2412" builtinId="8" hidden="1"/>
    <cellStyle name="Hipervínculo" xfId="2414" builtinId="8" hidden="1"/>
    <cellStyle name="Hipervínculo" xfId="2416" builtinId="8" hidden="1"/>
    <cellStyle name="Hipervínculo" xfId="2418" builtinId="8" hidden="1"/>
    <cellStyle name="Hipervínculo" xfId="2420" builtinId="8" hidden="1"/>
    <cellStyle name="Hipervínculo" xfId="2422" builtinId="8" hidden="1"/>
    <cellStyle name="Hipervínculo" xfId="2424" builtinId="8" hidden="1"/>
    <cellStyle name="Hipervínculo" xfId="2426" builtinId="8" hidden="1"/>
    <cellStyle name="Hipervínculo" xfId="2428" builtinId="8" hidden="1"/>
    <cellStyle name="Hipervínculo" xfId="2430" builtinId="8" hidden="1"/>
    <cellStyle name="Hipervínculo" xfId="2432" builtinId="8" hidden="1"/>
    <cellStyle name="Hipervínculo" xfId="2434" builtinId="8" hidden="1"/>
    <cellStyle name="Hipervínculo" xfId="2436" builtinId="8" hidden="1"/>
    <cellStyle name="Hipervínculo" xfId="2438" builtinId="8" hidden="1"/>
    <cellStyle name="Hipervínculo" xfId="2440" builtinId="8" hidden="1"/>
    <cellStyle name="Hipervínculo" xfId="2442" builtinId="8" hidden="1"/>
    <cellStyle name="Hipervínculo" xfId="2444" builtinId="8" hidden="1"/>
    <cellStyle name="Hipervínculo" xfId="2446" builtinId="8" hidden="1"/>
    <cellStyle name="Hipervínculo" xfId="2448" builtinId="8" hidden="1"/>
    <cellStyle name="Hipervínculo" xfId="2450" builtinId="8" hidden="1"/>
    <cellStyle name="Hipervínculo" xfId="2452" builtinId="8" hidden="1"/>
    <cellStyle name="Hipervínculo" xfId="2454" builtinId="8" hidden="1"/>
    <cellStyle name="Hipervínculo" xfId="2456" builtinId="8" hidden="1"/>
    <cellStyle name="Hipervínculo" xfId="2458" builtinId="8" hidden="1"/>
    <cellStyle name="Hipervínculo" xfId="2460" builtinId="8" hidden="1"/>
    <cellStyle name="Hipervínculo" xfId="2462" builtinId="8" hidden="1"/>
    <cellStyle name="Hipervínculo" xfId="2464" builtinId="8" hidden="1"/>
    <cellStyle name="Hipervínculo" xfId="2466" builtinId="8" hidden="1"/>
    <cellStyle name="Hipervínculo" xfId="2468" builtinId="8" hidden="1"/>
    <cellStyle name="Hipervínculo" xfId="2470" builtinId="8" hidden="1"/>
    <cellStyle name="Hipervínculo" xfId="2472" builtinId="8" hidden="1"/>
    <cellStyle name="Hipervínculo" xfId="2474" builtinId="8" hidden="1"/>
    <cellStyle name="Hipervínculo" xfId="2476" builtinId="8" hidden="1"/>
    <cellStyle name="Hipervínculo" xfId="2478" builtinId="8" hidden="1"/>
    <cellStyle name="Hipervínculo" xfId="2480" builtinId="8" hidden="1"/>
    <cellStyle name="Hipervínculo" xfId="2482" builtinId="8" hidden="1"/>
    <cellStyle name="Hipervínculo" xfId="2484" builtinId="8" hidden="1"/>
    <cellStyle name="Hipervínculo" xfId="2486" builtinId="8" hidden="1"/>
    <cellStyle name="Hipervínculo" xfId="2488" builtinId="8" hidden="1"/>
    <cellStyle name="Hipervínculo" xfId="2490" builtinId="8" hidden="1"/>
    <cellStyle name="Hipervínculo" xfId="2492" builtinId="8" hidden="1"/>
    <cellStyle name="Hipervínculo" xfId="2494" builtinId="8" hidden="1"/>
    <cellStyle name="Hipervínculo" xfId="2496" builtinId="8" hidden="1"/>
    <cellStyle name="Hipervínculo" xfId="2498" builtinId="8" hidden="1"/>
    <cellStyle name="Hipervínculo" xfId="2500" builtinId="8" hidden="1"/>
    <cellStyle name="Hipervínculo" xfId="2502" builtinId="8" hidden="1"/>
    <cellStyle name="Hipervínculo" xfId="2504" builtinId="8" hidden="1"/>
    <cellStyle name="Hipervínculo" xfId="2506" builtinId="8" hidden="1"/>
    <cellStyle name="Hipervínculo" xfId="2508" builtinId="8" hidden="1"/>
    <cellStyle name="Hipervínculo" xfId="2510" builtinId="8" hidden="1"/>
    <cellStyle name="Hipervínculo" xfId="2512" builtinId="8" hidden="1"/>
    <cellStyle name="Hipervínculo" xfId="2514" builtinId="8" hidden="1"/>
    <cellStyle name="Hipervínculo" xfId="2516" builtinId="8" hidden="1"/>
    <cellStyle name="Hipervínculo" xfId="2518" builtinId="8" hidden="1"/>
    <cellStyle name="Hipervínculo" xfId="2520" builtinId="8" hidden="1"/>
    <cellStyle name="Hipervínculo" xfId="2522" builtinId="8" hidden="1"/>
    <cellStyle name="Hipervínculo" xfId="2524" builtinId="8" hidden="1"/>
    <cellStyle name="Hipervínculo" xfId="2526" builtinId="8" hidden="1"/>
    <cellStyle name="Hipervínculo" xfId="2528" builtinId="8" hidden="1"/>
    <cellStyle name="Hipervínculo" xfId="2530" builtinId="8" hidden="1"/>
    <cellStyle name="Hipervínculo" xfId="2532" builtinId="8" hidden="1"/>
    <cellStyle name="Hipervínculo" xfId="2534" builtinId="8" hidden="1"/>
    <cellStyle name="Hipervínculo" xfId="2536" builtinId="8" hidden="1"/>
    <cellStyle name="Hipervínculo" xfId="2538" builtinId="8" hidden="1"/>
    <cellStyle name="Hipervínculo" xfId="2540" builtinId="8" hidden="1"/>
    <cellStyle name="Hipervínculo" xfId="2542" builtinId="8" hidden="1"/>
    <cellStyle name="Hipervínculo" xfId="2544" builtinId="8" hidden="1"/>
    <cellStyle name="Hipervínculo" xfId="2546" builtinId="8" hidden="1"/>
    <cellStyle name="Hipervínculo" xfId="2548" builtinId="8" hidden="1"/>
    <cellStyle name="Hipervínculo" xfId="2550" builtinId="8" hidden="1"/>
    <cellStyle name="Hipervínculo" xfId="2552" builtinId="8" hidden="1"/>
    <cellStyle name="Hipervínculo" xfId="2554" builtinId="8" hidden="1"/>
    <cellStyle name="Hipervínculo" xfId="2556" builtinId="8" hidden="1"/>
    <cellStyle name="Hipervínculo" xfId="2558" builtinId="8" hidden="1"/>
    <cellStyle name="Hipervínculo" xfId="2560" builtinId="8" hidden="1"/>
    <cellStyle name="Hipervínculo" xfId="2562" builtinId="8" hidden="1"/>
    <cellStyle name="Hipervínculo" xfId="2564" builtinId="8" hidden="1"/>
    <cellStyle name="Hipervínculo" xfId="2566" builtinId="8" hidden="1"/>
    <cellStyle name="Hipervínculo" xfId="2568" builtinId="8" hidden="1"/>
    <cellStyle name="Hipervínculo" xfId="2570" builtinId="8" hidden="1"/>
    <cellStyle name="Hipervínculo" xfId="2572" builtinId="8" hidden="1"/>
    <cellStyle name="Hipervínculo" xfId="2574" builtinId="8" hidden="1"/>
    <cellStyle name="Hipervínculo" xfId="2576" builtinId="8" hidden="1"/>
    <cellStyle name="Hipervínculo" xfId="2578" builtinId="8" hidden="1"/>
    <cellStyle name="Hipervínculo" xfId="2580" builtinId="8" hidden="1"/>
    <cellStyle name="Hipervínculo" xfId="2582" builtinId="8" hidden="1"/>
    <cellStyle name="Hipervínculo" xfId="2584" builtinId="8" hidden="1"/>
    <cellStyle name="Hipervínculo" xfId="2586" builtinId="8" hidden="1"/>
    <cellStyle name="Hipervínculo" xfId="2588" builtinId="8" hidden="1"/>
    <cellStyle name="Hipervínculo" xfId="2590" builtinId="8" hidden="1"/>
    <cellStyle name="Hipervínculo" xfId="2592" builtinId="8" hidden="1"/>
    <cellStyle name="Hipervínculo" xfId="2594" builtinId="8" hidden="1"/>
    <cellStyle name="Hipervínculo" xfId="2596" builtinId="8" hidden="1"/>
    <cellStyle name="Hipervínculo" xfId="2598" builtinId="8" hidden="1"/>
    <cellStyle name="Hipervínculo" xfId="2600" builtinId="8" hidden="1"/>
    <cellStyle name="Hipervínculo" xfId="2602" builtinId="8" hidden="1"/>
    <cellStyle name="Hipervínculo" xfId="2604" builtinId="8" hidden="1"/>
    <cellStyle name="Hipervínculo" xfId="2606" builtinId="8" hidden="1"/>
    <cellStyle name="Hipervínculo" xfId="2608" builtinId="8" hidden="1"/>
    <cellStyle name="Hipervínculo" xfId="2610" builtinId="8" hidden="1"/>
    <cellStyle name="Hipervínculo" xfId="2612" builtinId="8" hidden="1"/>
    <cellStyle name="Hipervínculo" xfId="2614" builtinId="8" hidden="1"/>
    <cellStyle name="Hipervínculo" xfId="2616" builtinId="8" hidden="1"/>
    <cellStyle name="Hipervínculo" xfId="2618" builtinId="8" hidden="1"/>
    <cellStyle name="Hipervínculo" xfId="2620" builtinId="8" hidden="1"/>
    <cellStyle name="Hipervínculo" xfId="2622" builtinId="8" hidden="1"/>
    <cellStyle name="Hipervínculo" xfId="2624" builtinId="8" hidden="1"/>
    <cellStyle name="Hipervínculo" xfId="2626" builtinId="8" hidden="1"/>
    <cellStyle name="Hipervínculo" xfId="2628" builtinId="8" hidden="1"/>
    <cellStyle name="Hipervínculo" xfId="2630" builtinId="8" hidden="1"/>
    <cellStyle name="Hipervínculo" xfId="2632" builtinId="8" hidden="1"/>
    <cellStyle name="Hipervínculo" xfId="2634" builtinId="8" hidden="1"/>
    <cellStyle name="Hipervínculo" xfId="2636" builtinId="8" hidden="1"/>
    <cellStyle name="Hipervínculo" xfId="2638" builtinId="8" hidden="1"/>
    <cellStyle name="Hipervínculo" xfId="2640" builtinId="8" hidden="1"/>
    <cellStyle name="Hipervínculo" xfId="2642" builtinId="8" hidden="1"/>
    <cellStyle name="Hipervínculo" xfId="2644" builtinId="8" hidden="1"/>
    <cellStyle name="Hipervínculo" xfId="2646" builtinId="8" hidden="1"/>
    <cellStyle name="Hipervínculo" xfId="2648" builtinId="8" hidden="1"/>
    <cellStyle name="Hipervínculo" xfId="2650" builtinId="8" hidden="1"/>
    <cellStyle name="Hipervínculo" xfId="2652" builtinId="8" hidden="1"/>
    <cellStyle name="Hipervínculo" xfId="2654" builtinId="8" hidden="1"/>
    <cellStyle name="Hipervínculo" xfId="2656" builtinId="8" hidden="1"/>
    <cellStyle name="Hipervínculo" xfId="2658" builtinId="8" hidden="1"/>
    <cellStyle name="Hipervínculo" xfId="2660" builtinId="8" hidden="1"/>
    <cellStyle name="Hipervínculo" xfId="2662" builtinId="8" hidden="1"/>
    <cellStyle name="Hipervínculo" xfId="2664" builtinId="8" hidden="1"/>
    <cellStyle name="Hipervínculo" xfId="2666" builtinId="8" hidden="1"/>
    <cellStyle name="Hipervínculo" xfId="2668" builtinId="8" hidden="1"/>
    <cellStyle name="Hipervínculo" xfId="2670" builtinId="8" hidden="1"/>
    <cellStyle name="Hipervínculo" xfId="2672" builtinId="8" hidden="1"/>
    <cellStyle name="Hipervínculo" xfId="2674" builtinId="8" hidden="1"/>
    <cellStyle name="Hipervínculo" xfId="2676" builtinId="8" hidden="1"/>
    <cellStyle name="Hipervínculo" xfId="2678" builtinId="8" hidden="1"/>
    <cellStyle name="Hipervínculo" xfId="2680" builtinId="8" hidden="1"/>
    <cellStyle name="Hipervínculo" xfId="2682" builtinId="8" hidden="1"/>
    <cellStyle name="Hipervínculo" xfId="2684" builtinId="8" hidden="1"/>
    <cellStyle name="Hipervínculo" xfId="2686" builtinId="8" hidden="1"/>
    <cellStyle name="Hipervínculo" xfId="2688" builtinId="8" hidden="1"/>
    <cellStyle name="Hipervínculo" xfId="2690" builtinId="8" hidden="1"/>
    <cellStyle name="Hipervínculo" xfId="2692" builtinId="8" hidden="1"/>
    <cellStyle name="Hipervínculo" xfId="2694" builtinId="8" hidden="1"/>
    <cellStyle name="Hipervínculo" xfId="2696" builtinId="8" hidden="1"/>
    <cellStyle name="Hipervínculo" xfId="2698" builtinId="8" hidden="1"/>
    <cellStyle name="Hipervínculo" xfId="2700" builtinId="8" hidden="1"/>
    <cellStyle name="Hipervínculo" xfId="2702" builtinId="8" hidden="1"/>
    <cellStyle name="Hipervínculo" xfId="2704" builtinId="8" hidden="1"/>
    <cellStyle name="Hipervínculo" xfId="2706" builtinId="8" hidden="1"/>
    <cellStyle name="Hipervínculo" xfId="2708" builtinId="8" hidden="1"/>
    <cellStyle name="Hipervínculo" xfId="2710" builtinId="8" hidden="1"/>
    <cellStyle name="Hipervínculo" xfId="2712" builtinId="8" hidden="1"/>
    <cellStyle name="Hipervínculo" xfId="2714" builtinId="8" hidden="1"/>
    <cellStyle name="Hipervínculo" xfId="2716" builtinId="8" hidden="1"/>
    <cellStyle name="Hipervínculo" xfId="2718" builtinId="8" hidden="1"/>
    <cellStyle name="Hipervínculo" xfId="2720" builtinId="8" hidden="1"/>
    <cellStyle name="Hipervínculo" xfId="2722" builtinId="8" hidden="1"/>
    <cellStyle name="Hipervínculo" xfId="2724" builtinId="8" hidden="1"/>
    <cellStyle name="Hipervínculo" xfId="2726" builtinId="8" hidden="1"/>
    <cellStyle name="Hipervínculo" xfId="2728" builtinId="8" hidden="1"/>
    <cellStyle name="Hipervínculo" xfId="2730" builtinId="8" hidden="1"/>
    <cellStyle name="Hipervínculo" xfId="2732" builtinId="8" hidden="1"/>
    <cellStyle name="Hipervínculo" xfId="2734" builtinId="8" hidden="1"/>
    <cellStyle name="Hipervínculo" xfId="2736" builtinId="8" hidden="1"/>
    <cellStyle name="Hipervínculo" xfId="2738" builtinId="8" hidden="1"/>
    <cellStyle name="Hipervínculo" xfId="2740" builtinId="8" hidden="1"/>
    <cellStyle name="Hipervínculo" xfId="2742" builtinId="8" hidden="1"/>
    <cellStyle name="Hipervínculo" xfId="2744" builtinId="8" hidden="1"/>
    <cellStyle name="Hipervínculo" xfId="2746" builtinId="8" hidden="1"/>
    <cellStyle name="Hipervínculo" xfId="2748" builtinId="8" hidden="1"/>
    <cellStyle name="Hipervínculo" xfId="2750" builtinId="8" hidden="1"/>
    <cellStyle name="Hipervínculo" xfId="2752" builtinId="8" hidden="1"/>
    <cellStyle name="Hipervínculo" xfId="2754" builtinId="8" hidden="1"/>
    <cellStyle name="Hipervínculo" xfId="2756" builtinId="8" hidden="1"/>
    <cellStyle name="Hipervínculo" xfId="2758" builtinId="8" hidden="1"/>
    <cellStyle name="Hipervínculo" xfId="2760" builtinId="8" hidden="1"/>
    <cellStyle name="Hipervínculo" xfId="2762" builtinId="8" hidden="1"/>
    <cellStyle name="Hipervínculo" xfId="2764" builtinId="8" hidden="1"/>
    <cellStyle name="Hipervínculo" xfId="2766" builtinId="8" hidden="1"/>
    <cellStyle name="Hipervínculo" xfId="2768" builtinId="8" hidden="1"/>
    <cellStyle name="Hipervínculo" xfId="2770" builtinId="8" hidden="1"/>
    <cellStyle name="Hipervínculo" xfId="2772" builtinId="8" hidden="1"/>
    <cellStyle name="Hipervínculo" xfId="2774" builtinId="8" hidden="1"/>
    <cellStyle name="Hipervínculo" xfId="2776" builtinId="8" hidden="1"/>
    <cellStyle name="Hipervínculo" xfId="2778" builtinId="8" hidden="1"/>
    <cellStyle name="Hipervínculo" xfId="2780" builtinId="8" hidden="1"/>
    <cellStyle name="Hipervínculo" xfId="2782" builtinId="8" hidden="1"/>
    <cellStyle name="Hipervínculo" xfId="2784" builtinId="8" hidden="1"/>
    <cellStyle name="Hipervínculo" xfId="2786" builtinId="8" hidden="1"/>
    <cellStyle name="Hipervínculo" xfId="2788" builtinId="8" hidden="1"/>
    <cellStyle name="Hipervínculo" xfId="2790" builtinId="8" hidden="1"/>
    <cellStyle name="Hipervínculo" xfId="2792" builtinId="8" hidden="1"/>
    <cellStyle name="Hipervínculo" xfId="2794" builtinId="8" hidden="1"/>
    <cellStyle name="Hipervínculo" xfId="2796" builtinId="8" hidden="1"/>
    <cellStyle name="Hipervínculo" xfId="2798" builtinId="8" hidden="1"/>
    <cellStyle name="Hipervínculo" xfId="2800" builtinId="8" hidden="1"/>
    <cellStyle name="Hipervínculo" xfId="2802" builtinId="8" hidden="1"/>
    <cellStyle name="Hipervínculo" xfId="2804" builtinId="8" hidden="1"/>
    <cellStyle name="Hipervínculo" xfId="2806" builtinId="8" hidden="1"/>
    <cellStyle name="Hipervínculo" xfId="2808" builtinId="8" hidden="1"/>
    <cellStyle name="Hipervínculo" xfId="2810" builtinId="8" hidden="1"/>
    <cellStyle name="Hipervínculo" xfId="2812" builtinId="8" hidden="1"/>
    <cellStyle name="Hipervínculo" xfId="2814" builtinId="8" hidden="1"/>
    <cellStyle name="Hipervínculo" xfId="2816" builtinId="8" hidden="1"/>
    <cellStyle name="Hipervínculo" xfId="2818" builtinId="8" hidden="1"/>
    <cellStyle name="Hipervínculo" xfId="2820" builtinId="8" hidden="1"/>
    <cellStyle name="Hipervínculo" xfId="2822" builtinId="8" hidden="1"/>
    <cellStyle name="Hipervínculo" xfId="2824" builtinId="8" hidden="1"/>
    <cellStyle name="Hipervínculo" xfId="2826" builtinId="8" hidden="1"/>
    <cellStyle name="Hipervínculo" xfId="2828" builtinId="8" hidden="1"/>
    <cellStyle name="Hipervínculo" xfId="2830" builtinId="8" hidden="1"/>
    <cellStyle name="Hipervínculo" xfId="2832" builtinId="8" hidden="1"/>
    <cellStyle name="Hipervínculo" xfId="2834" builtinId="8" hidden="1"/>
    <cellStyle name="Hipervínculo" xfId="2836" builtinId="8" hidden="1"/>
    <cellStyle name="Hipervínculo" xfId="2838" builtinId="8" hidden="1"/>
    <cellStyle name="Hipervínculo" xfId="2840" builtinId="8" hidden="1"/>
    <cellStyle name="Hipervínculo" xfId="2842" builtinId="8" hidden="1"/>
    <cellStyle name="Hipervínculo" xfId="2844" builtinId="8" hidden="1"/>
    <cellStyle name="Hipervínculo" xfId="2846" builtinId="8" hidden="1"/>
    <cellStyle name="Hipervínculo" xfId="2848" builtinId="8" hidden="1"/>
    <cellStyle name="Hipervínculo" xfId="2850" builtinId="8" hidden="1"/>
    <cellStyle name="Hipervínculo" xfId="2852" builtinId="8" hidden="1"/>
    <cellStyle name="Hipervínculo" xfId="2854" builtinId="8" hidden="1"/>
    <cellStyle name="Hipervínculo" xfId="2856" builtinId="8" hidden="1"/>
    <cellStyle name="Hipervínculo" xfId="2858" builtinId="8" hidden="1"/>
    <cellStyle name="Hipervínculo" xfId="2860" builtinId="8" hidden="1"/>
    <cellStyle name="Hipervínculo" xfId="2862" builtinId="8" hidden="1"/>
    <cellStyle name="Hipervínculo" xfId="2864" builtinId="8" hidden="1"/>
    <cellStyle name="Hipervínculo" xfId="2866" builtinId="8" hidden="1"/>
    <cellStyle name="Hipervínculo" xfId="2868" builtinId="8" hidden="1"/>
    <cellStyle name="Hipervínculo" xfId="2870" builtinId="8" hidden="1"/>
    <cellStyle name="Hipervínculo" xfId="2872" builtinId="8" hidden="1"/>
    <cellStyle name="Hipervínculo" xfId="2874" builtinId="8" hidden="1"/>
    <cellStyle name="Hipervínculo" xfId="2876" builtinId="8" hidden="1"/>
    <cellStyle name="Hipervínculo" xfId="2878" builtinId="8" hidden="1"/>
    <cellStyle name="Hipervínculo" xfId="2880" builtinId="8" hidden="1"/>
    <cellStyle name="Hipervínculo" xfId="2882" builtinId="8" hidden="1"/>
    <cellStyle name="Hipervínculo" xfId="2884" builtinId="8" hidden="1"/>
    <cellStyle name="Hipervínculo" xfId="2886" builtinId="8" hidden="1"/>
    <cellStyle name="Hipervínculo" xfId="2888" builtinId="8" hidden="1"/>
    <cellStyle name="Hipervínculo" xfId="2890" builtinId="8" hidden="1"/>
    <cellStyle name="Hipervínculo" xfId="2892" builtinId="8" hidden="1"/>
    <cellStyle name="Hipervínculo" xfId="2894" builtinId="8" hidden="1"/>
    <cellStyle name="Hipervínculo" xfId="2896" builtinId="8" hidden="1"/>
    <cellStyle name="Hipervínculo" xfId="2898" builtinId="8" hidden="1"/>
    <cellStyle name="Hipervínculo" xfId="2900" builtinId="8" hidden="1"/>
    <cellStyle name="Hipervínculo" xfId="2902" builtinId="8" hidden="1"/>
    <cellStyle name="Hipervínculo" xfId="2904" builtinId="8" hidden="1"/>
    <cellStyle name="Hipervínculo" xfId="2906" builtinId="8" hidden="1"/>
    <cellStyle name="Hipervínculo" xfId="2908" builtinId="8" hidden="1"/>
    <cellStyle name="Hipervínculo" xfId="2910" builtinId="8" hidden="1"/>
    <cellStyle name="Hipervínculo" xfId="2912" builtinId="8" hidden="1"/>
    <cellStyle name="Hipervínculo" xfId="2914" builtinId="8" hidden="1"/>
    <cellStyle name="Hipervínculo" xfId="2916" builtinId="8" hidden="1"/>
    <cellStyle name="Hipervínculo" xfId="2918" builtinId="8" hidden="1"/>
    <cellStyle name="Hipervínculo" xfId="2920" builtinId="8" hidden="1"/>
    <cellStyle name="Hipervínculo" xfId="2922" builtinId="8" hidden="1"/>
    <cellStyle name="Hipervínculo" xfId="2924" builtinId="8" hidden="1"/>
    <cellStyle name="Hipervínculo" xfId="2926" builtinId="8" hidden="1"/>
    <cellStyle name="Hipervínculo" xfId="2928" builtinId="8" hidden="1"/>
    <cellStyle name="Hipervínculo" xfId="2930" builtinId="8" hidden="1"/>
    <cellStyle name="Hipervínculo" xfId="2932" builtinId="8" hidden="1"/>
    <cellStyle name="Hipervínculo" xfId="2934" builtinId="8" hidden="1"/>
    <cellStyle name="Hipervínculo" xfId="2936" builtinId="8" hidden="1"/>
    <cellStyle name="Hipervínculo" xfId="2938" builtinId="8" hidden="1"/>
    <cellStyle name="Hipervínculo" xfId="2940" builtinId="8" hidden="1"/>
    <cellStyle name="Hipervínculo" xfId="2942" builtinId="8" hidden="1"/>
    <cellStyle name="Hipervínculo" xfId="2944" builtinId="8" hidden="1"/>
    <cellStyle name="Hipervínculo" xfId="2946" builtinId="8" hidden="1"/>
    <cellStyle name="Hipervínculo" xfId="2948" builtinId="8" hidden="1"/>
    <cellStyle name="Hipervínculo" xfId="2950" builtinId="8" hidden="1"/>
    <cellStyle name="Hipervínculo" xfId="2952" builtinId="8" hidden="1"/>
    <cellStyle name="Hipervínculo" xfId="2954" builtinId="8" hidden="1"/>
    <cellStyle name="Hipervínculo" xfId="2956" builtinId="8" hidden="1"/>
    <cellStyle name="Hipervínculo" xfId="2958" builtinId="8" hidden="1"/>
    <cellStyle name="Hipervínculo" xfId="2960" builtinId="8" hidden="1"/>
    <cellStyle name="Hipervínculo" xfId="2962" builtinId="8" hidden="1"/>
    <cellStyle name="Hipervínculo" xfId="2964" builtinId="8" hidden="1"/>
    <cellStyle name="Hipervínculo" xfId="2966" builtinId="8" hidden="1"/>
    <cellStyle name="Hipervínculo" xfId="2968" builtinId="8" hidden="1"/>
    <cellStyle name="Hipervínculo" xfId="2970" builtinId="8" hidden="1"/>
    <cellStyle name="Hipervínculo" xfId="2972" builtinId="8" hidden="1"/>
    <cellStyle name="Hipervínculo" xfId="2974" builtinId="8" hidden="1"/>
    <cellStyle name="Hipervínculo" xfId="2976" builtinId="8" hidden="1"/>
    <cellStyle name="Hipervínculo" xfId="2978" builtinId="8" hidden="1"/>
    <cellStyle name="Hipervínculo" xfId="2980" builtinId="8" hidden="1"/>
    <cellStyle name="Hipervínculo" xfId="2982" builtinId="8" hidden="1"/>
    <cellStyle name="Hipervínculo" xfId="2984" builtinId="8" hidden="1"/>
    <cellStyle name="Hipervínculo" xfId="2986" builtinId="8" hidden="1"/>
    <cellStyle name="Hipervínculo" xfId="2988" builtinId="8" hidden="1"/>
    <cellStyle name="Hipervínculo" xfId="2990" builtinId="8" hidden="1"/>
    <cellStyle name="Hipervínculo" xfId="2992" builtinId="8" hidden="1"/>
    <cellStyle name="Hipervínculo" xfId="2994" builtinId="8" hidden="1"/>
    <cellStyle name="Hipervínculo" xfId="2996" builtinId="8" hidden="1"/>
    <cellStyle name="Hipervínculo" xfId="2998" builtinId="8" hidden="1"/>
    <cellStyle name="Hipervínculo" xfId="3000" builtinId="8" hidden="1"/>
    <cellStyle name="Hipervínculo" xfId="3002" builtinId="8" hidden="1"/>
    <cellStyle name="Hipervínculo" xfId="3004" builtinId="8" hidden="1"/>
    <cellStyle name="Hipervínculo" xfId="3006" builtinId="8" hidden="1"/>
    <cellStyle name="Hipervínculo" xfId="3008" builtinId="8" hidden="1"/>
    <cellStyle name="Hipervínculo" xfId="3010" builtinId="8" hidden="1"/>
    <cellStyle name="Hipervínculo" xfId="3012" builtinId="8" hidden="1"/>
    <cellStyle name="Hipervínculo" xfId="3014" builtinId="8" hidden="1"/>
    <cellStyle name="Hipervínculo" xfId="3016" builtinId="8" hidden="1"/>
    <cellStyle name="Hipervínculo" xfId="3018" builtinId="8" hidden="1"/>
    <cellStyle name="Hipervínculo" xfId="3020" builtinId="8" hidden="1"/>
    <cellStyle name="Hipervínculo" xfId="3022" builtinId="8" hidden="1"/>
    <cellStyle name="Hipervínculo" xfId="3024" builtinId="8" hidden="1"/>
    <cellStyle name="Hipervínculo" xfId="3026" builtinId="8" hidden="1"/>
    <cellStyle name="Hipervínculo" xfId="3028" builtinId="8" hidden="1"/>
    <cellStyle name="Hipervínculo" xfId="3030" builtinId="8" hidden="1"/>
    <cellStyle name="Hipervínculo" xfId="3032" builtinId="8" hidden="1"/>
    <cellStyle name="Hipervínculo" xfId="3034" builtinId="8" hidden="1"/>
    <cellStyle name="Hipervínculo" xfId="3036" builtinId="8" hidden="1"/>
    <cellStyle name="Hipervínculo" xfId="3038" builtinId="8" hidden="1"/>
    <cellStyle name="Hipervínculo" xfId="3040" builtinId="8" hidden="1"/>
    <cellStyle name="Hipervínculo" xfId="3042" builtinId="8" hidden="1"/>
    <cellStyle name="Hipervínculo" xfId="3044" builtinId="8" hidden="1"/>
    <cellStyle name="Hipervínculo" xfId="3046" builtinId="8" hidden="1"/>
    <cellStyle name="Hipervínculo" xfId="3048" builtinId="8" hidden="1"/>
    <cellStyle name="Hipervínculo" xfId="3050" builtinId="8" hidden="1"/>
    <cellStyle name="Hipervínculo" xfId="3052" builtinId="8" hidden="1"/>
    <cellStyle name="Hipervínculo" xfId="3054" builtinId="8" hidden="1"/>
    <cellStyle name="Hipervínculo" xfId="3056" builtinId="8" hidden="1"/>
    <cellStyle name="Hipervínculo" xfId="3058" builtinId="8" hidden="1"/>
    <cellStyle name="Hipervínculo" xfId="3060" builtinId="8" hidden="1"/>
    <cellStyle name="Hipervínculo" xfId="3062" builtinId="8" hidden="1"/>
    <cellStyle name="Hipervínculo" xfId="3064" builtinId="8" hidden="1"/>
    <cellStyle name="Hipervínculo" xfId="3066" builtinId="8" hidden="1"/>
    <cellStyle name="Hipervínculo" xfId="3068" builtinId="8" hidden="1"/>
    <cellStyle name="Hipervínculo" xfId="3070" builtinId="8" hidden="1"/>
    <cellStyle name="Hipervínculo" xfId="3072" builtinId="8" hidden="1"/>
    <cellStyle name="Hipervínculo" xfId="3074" builtinId="8" hidden="1"/>
    <cellStyle name="Hipervínculo" xfId="3076" builtinId="8" hidden="1"/>
    <cellStyle name="Hipervínculo" xfId="3078" builtinId="8" hidden="1"/>
    <cellStyle name="Hipervínculo" xfId="3080" builtinId="8" hidden="1"/>
    <cellStyle name="Hipervínculo" xfId="3082" builtinId="8" hidden="1"/>
    <cellStyle name="Hipervínculo" xfId="3084" builtinId="8" hidden="1"/>
    <cellStyle name="Hipervínculo" xfId="3086" builtinId="8" hidden="1"/>
    <cellStyle name="Hipervínculo" xfId="3088" builtinId="8" hidden="1"/>
    <cellStyle name="Hipervínculo" xfId="3090" builtinId="8" hidden="1"/>
    <cellStyle name="Hipervínculo" xfId="3092" builtinId="8" hidden="1"/>
    <cellStyle name="Hipervínculo" xfId="3094" builtinId="8" hidden="1"/>
    <cellStyle name="Hipervínculo" xfId="3096" builtinId="8" hidden="1"/>
    <cellStyle name="Hipervínculo" xfId="3098" builtinId="8" hidden="1"/>
    <cellStyle name="Hipervínculo" xfId="3100" builtinId="8" hidden="1"/>
    <cellStyle name="Hipervínculo" xfId="3102" builtinId="8" hidden="1"/>
    <cellStyle name="Hipervínculo" xfId="3104" builtinId="8" hidden="1"/>
    <cellStyle name="Hipervínculo" xfId="3106" builtinId="8" hidden="1"/>
    <cellStyle name="Hipervínculo" xfId="3108" builtinId="8" hidden="1"/>
    <cellStyle name="Hipervínculo" xfId="3110" builtinId="8" hidden="1"/>
    <cellStyle name="Hipervínculo" xfId="3112" builtinId="8" hidden="1"/>
    <cellStyle name="Hipervínculo" xfId="3114" builtinId="8" hidden="1"/>
    <cellStyle name="Hipervínculo" xfId="3116" builtinId="8" hidden="1"/>
    <cellStyle name="Hipervínculo" xfId="3118" builtinId="8" hidden="1"/>
    <cellStyle name="Hipervínculo" xfId="3120" builtinId="8" hidden="1"/>
    <cellStyle name="Hipervínculo" xfId="3122" builtinId="8" hidden="1"/>
    <cellStyle name="Hipervínculo" xfId="3124" builtinId="8" hidden="1"/>
    <cellStyle name="Hipervínculo" xfId="3126" builtinId="8" hidden="1"/>
    <cellStyle name="Hipervínculo" xfId="3128" builtinId="8" hidden="1"/>
    <cellStyle name="Hipervínculo" xfId="3130" builtinId="8" hidden="1"/>
    <cellStyle name="Hipervínculo" xfId="3132" builtinId="8" hidden="1"/>
    <cellStyle name="Hipervínculo" xfId="3134" builtinId="8" hidden="1"/>
    <cellStyle name="Hipervínculo" xfId="3136" builtinId="8" hidden="1"/>
    <cellStyle name="Hipervínculo" xfId="3138" builtinId="8" hidden="1"/>
    <cellStyle name="Hipervínculo" xfId="3140" builtinId="8" hidden="1"/>
    <cellStyle name="Hipervínculo" xfId="3142" builtinId="8" hidden="1"/>
    <cellStyle name="Hipervínculo" xfId="3144" builtinId="8" hidden="1"/>
    <cellStyle name="Hipervínculo" xfId="3146" builtinId="8" hidden="1"/>
    <cellStyle name="Hipervínculo" xfId="3148" builtinId="8" hidden="1"/>
    <cellStyle name="Hipervínculo" xfId="3150" builtinId="8" hidden="1"/>
    <cellStyle name="Hipervínculo" xfId="3152" builtinId="8" hidden="1"/>
    <cellStyle name="Hipervínculo" xfId="3154" builtinId="8" hidden="1"/>
    <cellStyle name="Hipervínculo" xfId="3156" builtinId="8" hidden="1"/>
    <cellStyle name="Hipervínculo" xfId="3158" builtinId="8" hidden="1"/>
    <cellStyle name="Hipervínculo" xfId="3160" builtinId="8" hidden="1"/>
    <cellStyle name="Hipervínculo" xfId="3162" builtinId="8" hidden="1"/>
    <cellStyle name="Hipervínculo" xfId="3164" builtinId="8" hidden="1"/>
    <cellStyle name="Hipervínculo" xfId="3166" builtinId="8" hidden="1"/>
    <cellStyle name="Hipervínculo" xfId="3168" builtinId="8" hidden="1"/>
    <cellStyle name="Hipervínculo" xfId="3170" builtinId="8" hidden="1"/>
    <cellStyle name="Hipervínculo" xfId="3172" builtinId="8" hidden="1"/>
    <cellStyle name="Hipervínculo" xfId="3174" builtinId="8" hidden="1"/>
    <cellStyle name="Hipervínculo" xfId="3176" builtinId="8" hidden="1"/>
    <cellStyle name="Hipervínculo" xfId="3178" builtinId="8" hidden="1"/>
    <cellStyle name="Hipervínculo" xfId="3180" builtinId="8" hidden="1"/>
    <cellStyle name="Hipervínculo" xfId="3182" builtinId="8" hidden="1"/>
    <cellStyle name="Hipervínculo" xfId="3184" builtinId="8" hidden="1"/>
    <cellStyle name="Hipervínculo" xfId="3186" builtinId="8" hidden="1"/>
    <cellStyle name="Hipervínculo" xfId="3188" builtinId="8" hidden="1"/>
    <cellStyle name="Hipervínculo" xfId="3190" builtinId="8" hidden="1"/>
    <cellStyle name="Hipervínculo" xfId="3192" builtinId="8" hidden="1"/>
    <cellStyle name="Hipervínculo" xfId="3194" builtinId="8" hidden="1"/>
    <cellStyle name="Hipervínculo" xfId="3196" builtinId="8" hidden="1"/>
    <cellStyle name="Hipervínculo" xfId="3198" builtinId="8" hidden="1"/>
    <cellStyle name="Hipervínculo" xfId="3200" builtinId="8" hidden="1"/>
    <cellStyle name="Hipervínculo" xfId="3202" builtinId="8" hidden="1"/>
    <cellStyle name="Hipervínculo" xfId="3204" builtinId="8" hidden="1"/>
    <cellStyle name="Hipervínculo" xfId="3206" builtinId="8" hidden="1"/>
    <cellStyle name="Hipervínculo" xfId="3208" builtinId="8" hidden="1"/>
    <cellStyle name="Hipervínculo" xfId="3210" builtinId="8" hidden="1"/>
    <cellStyle name="Hipervínculo" xfId="3212" builtinId="8" hidden="1"/>
    <cellStyle name="Hipervínculo" xfId="3214" builtinId="8" hidden="1"/>
    <cellStyle name="Hipervínculo" xfId="3216" builtinId="8" hidden="1"/>
    <cellStyle name="Hipervínculo" xfId="3218" builtinId="8" hidden="1"/>
    <cellStyle name="Hipervínculo" xfId="3220" builtinId="8" hidden="1"/>
    <cellStyle name="Hipervínculo" xfId="3222" builtinId="8" hidden="1"/>
    <cellStyle name="Hipervínculo" xfId="3224" builtinId="8" hidden="1"/>
    <cellStyle name="Hipervínculo" xfId="3226" builtinId="8" hidden="1"/>
    <cellStyle name="Hipervínculo" xfId="3228" builtinId="8" hidden="1"/>
    <cellStyle name="Hipervínculo" xfId="3230" builtinId="8" hidden="1"/>
    <cellStyle name="Hipervínculo" xfId="3232" builtinId="8" hidden="1"/>
    <cellStyle name="Hipervínculo" xfId="3234" builtinId="8" hidden="1"/>
    <cellStyle name="Hipervínculo" xfId="3236" builtinId="8" hidden="1"/>
    <cellStyle name="Hipervínculo" xfId="3238" builtinId="8" hidden="1"/>
    <cellStyle name="Hipervínculo" xfId="3240" builtinId="8" hidden="1"/>
    <cellStyle name="Hipervínculo" xfId="3242" builtinId="8" hidden="1"/>
    <cellStyle name="Hipervínculo" xfId="3244" builtinId="8" hidden="1"/>
    <cellStyle name="Hipervínculo" xfId="3246" builtinId="8" hidden="1"/>
    <cellStyle name="Hipervínculo" xfId="3248" builtinId="8" hidden="1"/>
    <cellStyle name="Hipervínculo" xfId="3250" builtinId="8" hidden="1"/>
    <cellStyle name="Hipervínculo" xfId="3252" builtinId="8" hidden="1"/>
    <cellStyle name="Hipervínculo" xfId="3254" builtinId="8" hidden="1"/>
    <cellStyle name="Hipervínculo" xfId="3256" builtinId="8" hidden="1"/>
    <cellStyle name="Hipervínculo" xfId="3258" builtinId="8" hidden="1"/>
    <cellStyle name="Hipervínculo" xfId="3260" builtinId="8" hidden="1"/>
    <cellStyle name="Hipervínculo" xfId="3262" builtinId="8" hidden="1"/>
    <cellStyle name="Hipervínculo" xfId="3264" builtinId="8" hidden="1"/>
    <cellStyle name="Hipervínculo" xfId="3266" builtinId="8" hidden="1"/>
    <cellStyle name="Hipervínculo" xfId="3268" builtinId="8" hidden="1"/>
    <cellStyle name="Hipervínculo" xfId="3270" builtinId="8" hidden="1"/>
    <cellStyle name="Hipervínculo" xfId="3272" builtinId="8" hidden="1"/>
    <cellStyle name="Hipervínculo" xfId="3274" builtinId="8" hidden="1"/>
    <cellStyle name="Hipervínculo" xfId="3276" builtinId="8" hidden="1"/>
    <cellStyle name="Hipervínculo" xfId="3278" builtinId="8" hidden="1"/>
    <cellStyle name="Hipervínculo" xfId="3280" builtinId="8" hidden="1"/>
    <cellStyle name="Hipervínculo" xfId="3282" builtinId="8" hidden="1"/>
    <cellStyle name="Hipervínculo" xfId="3284" builtinId="8" hidden="1"/>
    <cellStyle name="Hipervínculo" xfId="3286" builtinId="8" hidden="1"/>
    <cellStyle name="Hipervínculo" xfId="3288" builtinId="8" hidden="1"/>
    <cellStyle name="Hipervínculo" xfId="3290" builtinId="8" hidden="1"/>
    <cellStyle name="Hipervínculo" xfId="3292" builtinId="8" hidden="1"/>
    <cellStyle name="Hipervínculo" xfId="3294" builtinId="8" hidden="1"/>
    <cellStyle name="Hipervínculo" xfId="3296" builtinId="8" hidden="1"/>
    <cellStyle name="Hipervínculo" xfId="3298" builtinId="8" hidden="1"/>
    <cellStyle name="Hipervínculo" xfId="3300" builtinId="8" hidden="1"/>
    <cellStyle name="Hipervínculo" xfId="3302" builtinId="8" hidden="1"/>
    <cellStyle name="Hipervínculo" xfId="3304" builtinId="8" hidden="1"/>
    <cellStyle name="Hipervínculo" xfId="3306" builtinId="8" hidden="1"/>
    <cellStyle name="Hipervínculo" xfId="3308" builtinId="8" hidden="1"/>
    <cellStyle name="Hipervínculo" xfId="3310" builtinId="8" hidden="1"/>
    <cellStyle name="Hipervínculo" xfId="3312" builtinId="8" hidden="1"/>
    <cellStyle name="Hipervínculo" xfId="3314" builtinId="8" hidden="1"/>
    <cellStyle name="Hipervínculo" xfId="3316" builtinId="8" hidden="1"/>
    <cellStyle name="Hipervínculo" xfId="3318" builtinId="8" hidden="1"/>
    <cellStyle name="Hipervínculo" xfId="3320" builtinId="8" hidden="1"/>
    <cellStyle name="Hipervínculo" xfId="3322" builtinId="8" hidden="1"/>
    <cellStyle name="Hipervínculo" xfId="3324" builtinId="8" hidden="1"/>
    <cellStyle name="Hipervínculo" xfId="3326" builtinId="8" hidden="1"/>
    <cellStyle name="Hipervínculo" xfId="3328" builtinId="8" hidden="1"/>
    <cellStyle name="Hipervínculo" xfId="3330" builtinId="8" hidden="1"/>
    <cellStyle name="Hipervínculo" xfId="3332" builtinId="8" hidden="1"/>
    <cellStyle name="Hipervínculo" xfId="3334" builtinId="8" hidden="1"/>
    <cellStyle name="Hipervínculo" xfId="3336" builtinId="8" hidden="1"/>
    <cellStyle name="Hipervínculo" xfId="3338" builtinId="8" hidden="1"/>
    <cellStyle name="Hipervínculo" xfId="3340" builtinId="8" hidden="1"/>
    <cellStyle name="Hipervínculo" xfId="3342" builtinId="8" hidden="1"/>
    <cellStyle name="Hipervínculo" xfId="3344" builtinId="8" hidden="1"/>
    <cellStyle name="Hipervínculo" xfId="3346" builtinId="8" hidden="1"/>
    <cellStyle name="Hipervínculo" xfId="3348" builtinId="8" hidden="1"/>
    <cellStyle name="Hipervínculo" xfId="3350" builtinId="8" hidden="1"/>
    <cellStyle name="Hipervínculo" xfId="3352" builtinId="8" hidden="1"/>
    <cellStyle name="Hipervínculo" xfId="3354" builtinId="8" hidden="1"/>
    <cellStyle name="Hipervínculo" xfId="3356" builtinId="8" hidden="1"/>
    <cellStyle name="Hipervínculo" xfId="3358" builtinId="8" hidden="1"/>
    <cellStyle name="Hipervínculo" xfId="3360" builtinId="8" hidden="1"/>
    <cellStyle name="Hipervínculo" xfId="3362" builtinId="8" hidden="1"/>
    <cellStyle name="Hipervínculo" xfId="3364" builtinId="8" hidden="1"/>
    <cellStyle name="Hipervínculo" xfId="3366" builtinId="8" hidden="1"/>
    <cellStyle name="Hipervínculo" xfId="3368" builtinId="8" hidden="1"/>
    <cellStyle name="Hipervínculo" xfId="3370" builtinId="8" hidden="1"/>
    <cellStyle name="Hipervínculo" xfId="3372" builtinId="8" hidden="1"/>
    <cellStyle name="Hipervínculo" xfId="3374" builtinId="8" hidden="1"/>
    <cellStyle name="Hipervínculo" xfId="3376" builtinId="8" hidden="1"/>
    <cellStyle name="Hipervínculo" xfId="3378" builtinId="8" hidden="1"/>
    <cellStyle name="Hipervínculo" xfId="3380" builtinId="8" hidden="1"/>
    <cellStyle name="Hipervínculo" xfId="3382" builtinId="8" hidden="1"/>
    <cellStyle name="Hipervínculo" xfId="3384" builtinId="8" hidden="1"/>
    <cellStyle name="Hipervínculo" xfId="3386" builtinId="8" hidden="1"/>
    <cellStyle name="Hipervínculo" xfId="3388" builtinId="8" hidden="1"/>
    <cellStyle name="Hipervínculo" xfId="3390" builtinId="8" hidden="1"/>
    <cellStyle name="Hipervínculo" xfId="3392" builtinId="8" hidden="1"/>
    <cellStyle name="Hipervínculo" xfId="3394" builtinId="8" hidden="1"/>
    <cellStyle name="Hipervínculo" xfId="3396" builtinId="8" hidden="1"/>
    <cellStyle name="Hipervínculo" xfId="3398" builtinId="8" hidden="1"/>
    <cellStyle name="Hipervínculo" xfId="3400" builtinId="8" hidden="1"/>
    <cellStyle name="Hipervínculo" xfId="3402" builtinId="8" hidden="1"/>
    <cellStyle name="Hipervínculo" xfId="3404" builtinId="8" hidden="1"/>
    <cellStyle name="Hipervínculo" xfId="3406" builtinId="8" hidden="1"/>
    <cellStyle name="Hipervínculo" xfId="3408" builtinId="8" hidden="1"/>
    <cellStyle name="Hipervínculo" xfId="3410" builtinId="8" hidden="1"/>
    <cellStyle name="Hipervínculo" xfId="3412" builtinId="8" hidden="1"/>
    <cellStyle name="Hipervínculo" xfId="3414" builtinId="8" hidden="1"/>
    <cellStyle name="Hipervínculo" xfId="3416" builtinId="8" hidden="1"/>
    <cellStyle name="Hipervínculo" xfId="3418" builtinId="8" hidden="1"/>
    <cellStyle name="Hipervínculo" xfId="3420" builtinId="8" hidden="1"/>
    <cellStyle name="Hipervínculo" xfId="3422" builtinId="8" hidden="1"/>
    <cellStyle name="Hipervínculo" xfId="3424" builtinId="8" hidden="1"/>
    <cellStyle name="Hipervínculo" xfId="3426" builtinId="8" hidden="1"/>
    <cellStyle name="Hipervínculo" xfId="3428" builtinId="8" hidden="1"/>
    <cellStyle name="Hipervínculo" xfId="3430" builtinId="8" hidden="1"/>
    <cellStyle name="Hipervínculo" xfId="3432" builtinId="8" hidden="1"/>
    <cellStyle name="Hipervínculo" xfId="3434" builtinId="8" hidden="1"/>
    <cellStyle name="Hipervínculo" xfId="3436" builtinId="8" hidden="1"/>
    <cellStyle name="Hipervínculo" xfId="3438" builtinId="8" hidden="1"/>
    <cellStyle name="Hipervínculo" xfId="3440" builtinId="8" hidden="1"/>
    <cellStyle name="Hipervínculo" xfId="3442" builtinId="8" hidden="1"/>
    <cellStyle name="Hipervínculo" xfId="3444" builtinId="8" hidden="1"/>
    <cellStyle name="Hipervínculo" xfId="3446" builtinId="8" hidden="1"/>
    <cellStyle name="Hipervínculo" xfId="3448" builtinId="8" hidden="1"/>
    <cellStyle name="Hipervínculo" xfId="3450" builtinId="8" hidden="1"/>
    <cellStyle name="Hipervínculo" xfId="3452" builtinId="8" hidden="1"/>
    <cellStyle name="Hipervínculo" xfId="3454" builtinId="8" hidden="1"/>
    <cellStyle name="Hipervínculo" xfId="3456" builtinId="8" hidden="1"/>
    <cellStyle name="Hipervínculo" xfId="3458" builtinId="8" hidden="1"/>
    <cellStyle name="Hipervínculo" xfId="3460" builtinId="8" hidden="1"/>
    <cellStyle name="Hipervínculo" xfId="3462" builtinId="8" hidden="1"/>
    <cellStyle name="Hipervínculo" xfId="3464" builtinId="8" hidden="1"/>
    <cellStyle name="Hipervínculo" xfId="3466" builtinId="8" hidden="1"/>
    <cellStyle name="Hipervínculo" xfId="3468" builtinId="8" hidden="1"/>
    <cellStyle name="Hipervínculo" xfId="3470" builtinId="8" hidden="1"/>
    <cellStyle name="Hipervínculo" xfId="3472" builtinId="8" hidden="1"/>
    <cellStyle name="Hipervínculo" xfId="3474" builtinId="8" hidden="1"/>
    <cellStyle name="Hipervínculo" xfId="3476" builtinId="8" hidden="1"/>
    <cellStyle name="Hipervínculo" xfId="3478" builtinId="8" hidden="1"/>
    <cellStyle name="Hipervínculo" xfId="3480" builtinId="8" hidden="1"/>
    <cellStyle name="Hipervínculo" xfId="3482" builtinId="8" hidden="1"/>
    <cellStyle name="Hipervínculo" xfId="3484" builtinId="8" hidden="1"/>
    <cellStyle name="Hipervínculo" xfId="3486" builtinId="8" hidden="1"/>
    <cellStyle name="Hipervínculo" xfId="3488" builtinId="8" hidden="1"/>
    <cellStyle name="Hipervínculo" xfId="3490" builtinId="8" hidden="1"/>
    <cellStyle name="Hipervínculo" xfId="3492" builtinId="8" hidden="1"/>
    <cellStyle name="Hipervínculo" xfId="3494" builtinId="8" hidden="1"/>
    <cellStyle name="Hipervínculo" xfId="3496" builtinId="8" hidden="1"/>
    <cellStyle name="Hipervínculo" xfId="3498" builtinId="8" hidden="1"/>
    <cellStyle name="Hipervínculo" xfId="3500" builtinId="8" hidden="1"/>
    <cellStyle name="Hipervínculo" xfId="3502" builtinId="8" hidden="1"/>
    <cellStyle name="Hipervínculo" xfId="3504" builtinId="8" hidden="1"/>
    <cellStyle name="Hipervínculo" xfId="3506" builtinId="8" hidden="1"/>
    <cellStyle name="Hipervínculo" xfId="3508" builtinId="8" hidden="1"/>
    <cellStyle name="Hipervínculo" xfId="3510" builtinId="8" hidden="1"/>
    <cellStyle name="Hipervínculo" xfId="3512" builtinId="8" hidden="1"/>
    <cellStyle name="Hipervínculo" xfId="3514" builtinId="8" hidden="1"/>
    <cellStyle name="Hipervínculo" xfId="3516" builtinId="8" hidden="1"/>
    <cellStyle name="Hipervínculo" xfId="3518" builtinId="8" hidden="1"/>
    <cellStyle name="Hipervínculo" xfId="3520" builtinId="8" hidden="1"/>
    <cellStyle name="Hipervínculo" xfId="3522" builtinId="8" hidden="1"/>
    <cellStyle name="Hipervínculo" xfId="3524" builtinId="8" hidden="1"/>
    <cellStyle name="Hipervínculo" xfId="3526" builtinId="8" hidden="1"/>
    <cellStyle name="Hipervínculo" xfId="3528" builtinId="8" hidden="1"/>
    <cellStyle name="Hipervínculo" xfId="3530" builtinId="8" hidden="1"/>
    <cellStyle name="Hipervínculo" xfId="3532" builtinId="8" hidden="1"/>
    <cellStyle name="Hipervínculo" xfId="3534" builtinId="8" hidden="1"/>
    <cellStyle name="Hipervínculo" xfId="3536" builtinId="8" hidden="1"/>
    <cellStyle name="Hipervínculo" xfId="3538" builtinId="8" hidden="1"/>
    <cellStyle name="Hipervínculo" xfId="3540" builtinId="8" hidden="1"/>
    <cellStyle name="Hipervínculo" xfId="3542" builtinId="8" hidden="1"/>
    <cellStyle name="Hipervínculo" xfId="3544" builtinId="8" hidden="1"/>
    <cellStyle name="Hipervínculo" xfId="3546" builtinId="8" hidden="1"/>
    <cellStyle name="Hipervínculo" xfId="3548" builtinId="8" hidden="1"/>
    <cellStyle name="Hipervínculo" xfId="3550" builtinId="8" hidden="1"/>
    <cellStyle name="Hipervínculo" xfId="3552" builtinId="8" hidden="1"/>
    <cellStyle name="Hipervínculo" xfId="3554" builtinId="8" hidden="1"/>
    <cellStyle name="Hipervínculo" xfId="3556" builtinId="8" hidden="1"/>
    <cellStyle name="Hipervínculo" xfId="3558" builtinId="8" hidden="1"/>
    <cellStyle name="Hipervínculo" xfId="3560" builtinId="8" hidden="1"/>
    <cellStyle name="Hipervínculo" xfId="3562" builtinId="8" hidden="1"/>
    <cellStyle name="Hipervínculo" xfId="3564" builtinId="8" hidden="1"/>
    <cellStyle name="Hipervínculo" xfId="3566" builtinId="8" hidden="1"/>
    <cellStyle name="Hipervínculo" xfId="3568" builtinId="8" hidden="1"/>
    <cellStyle name="Hipervínculo" xfId="3570" builtinId="8" hidden="1"/>
    <cellStyle name="Hipervínculo" xfId="3572" builtinId="8" hidden="1"/>
    <cellStyle name="Hipervínculo" xfId="3574" builtinId="8" hidden="1"/>
    <cellStyle name="Hipervínculo" xfId="3576" builtinId="8" hidden="1"/>
    <cellStyle name="Hipervínculo" xfId="3578" builtinId="8" hidden="1"/>
    <cellStyle name="Hipervínculo" xfId="3580" builtinId="8" hidden="1"/>
    <cellStyle name="Hipervínculo" xfId="3582" builtinId="8" hidden="1"/>
    <cellStyle name="Hipervínculo" xfId="3584" builtinId="8" hidden="1"/>
    <cellStyle name="Hipervínculo" xfId="3586" builtinId="8" hidden="1"/>
    <cellStyle name="Hipervínculo" xfId="3588" builtinId="8" hidden="1"/>
    <cellStyle name="Hipervínculo" xfId="3590" builtinId="8" hidden="1"/>
    <cellStyle name="Hipervínculo" xfId="3592" builtinId="8" hidden="1"/>
    <cellStyle name="Hipervínculo" xfId="3594" builtinId="8" hidden="1"/>
    <cellStyle name="Hipervínculo" xfId="3596" builtinId="8" hidden="1"/>
    <cellStyle name="Hipervínculo" xfId="3598" builtinId="8" hidden="1"/>
    <cellStyle name="Hipervínculo" xfId="3600" builtinId="8" hidden="1"/>
    <cellStyle name="Hipervínculo" xfId="3602" builtinId="8" hidden="1"/>
    <cellStyle name="Hipervínculo" xfId="3604" builtinId="8" hidden="1"/>
    <cellStyle name="Hipervínculo" xfId="3606" builtinId="8" hidden="1"/>
    <cellStyle name="Hipervínculo" xfId="3608" builtinId="8" hidden="1"/>
    <cellStyle name="Hipervínculo" xfId="3610" builtinId="8" hidden="1"/>
    <cellStyle name="Hipervínculo" xfId="3612" builtinId="8" hidden="1"/>
    <cellStyle name="Hipervínculo" xfId="3614" builtinId="8" hidden="1"/>
    <cellStyle name="Hipervínculo" xfId="3616" builtinId="8" hidden="1"/>
    <cellStyle name="Hipervínculo" xfId="3618" builtinId="8" hidden="1"/>
    <cellStyle name="Hipervínculo" xfId="3620" builtinId="8" hidden="1"/>
    <cellStyle name="Hipervínculo" xfId="3622" builtinId="8" hidden="1"/>
    <cellStyle name="Hipervínculo" xfId="3624" builtinId="8" hidden="1"/>
    <cellStyle name="Hipervínculo" xfId="3626" builtinId="8" hidden="1"/>
    <cellStyle name="Hipervínculo" xfId="3628" builtinId="8" hidden="1"/>
    <cellStyle name="Hipervínculo" xfId="3630" builtinId="8" hidden="1"/>
    <cellStyle name="Hipervínculo" xfId="3632" builtinId="8" hidden="1"/>
    <cellStyle name="Hipervínculo" xfId="3634" builtinId="8" hidden="1"/>
    <cellStyle name="Hipervínculo" xfId="3636" builtinId="8" hidden="1"/>
    <cellStyle name="Hipervínculo" xfId="3638" builtinId="8" hidden="1"/>
    <cellStyle name="Hipervínculo" xfId="3640" builtinId="8" hidden="1"/>
    <cellStyle name="Hipervínculo" xfId="3642" builtinId="8" hidden="1"/>
    <cellStyle name="Hipervínculo" xfId="3644" builtinId="8" hidden="1"/>
    <cellStyle name="Hipervínculo" xfId="3646" builtinId="8" hidden="1"/>
    <cellStyle name="Hipervínculo" xfId="3648" builtinId="8" hidden="1"/>
    <cellStyle name="Hipervínculo" xfId="3650" builtinId="8" hidden="1"/>
    <cellStyle name="Hipervínculo" xfId="3652" builtinId="8" hidden="1"/>
    <cellStyle name="Hipervínculo" xfId="3654" builtinId="8" hidden="1"/>
    <cellStyle name="Hipervínculo" xfId="3656" builtinId="8" hidden="1"/>
    <cellStyle name="Hipervínculo" xfId="3658" builtinId="8" hidden="1"/>
    <cellStyle name="Hipervínculo" xfId="3660" builtinId="8" hidden="1"/>
    <cellStyle name="Hipervínculo" xfId="3662" builtinId="8" hidden="1"/>
    <cellStyle name="Hipervínculo" xfId="3664" builtinId="8" hidden="1"/>
    <cellStyle name="Hipervínculo" xfId="3666" builtinId="8" hidden="1"/>
    <cellStyle name="Hipervínculo" xfId="3668" builtinId="8" hidden="1"/>
    <cellStyle name="Hipervínculo" xfId="3670" builtinId="8" hidden="1"/>
    <cellStyle name="Hipervínculo" xfId="3672" builtinId="8" hidden="1"/>
    <cellStyle name="Hipervínculo" xfId="3674" builtinId="8" hidden="1"/>
    <cellStyle name="Hipervínculo" xfId="3676" builtinId="8" hidden="1"/>
    <cellStyle name="Hipervínculo" xfId="3678" builtinId="8" hidden="1"/>
    <cellStyle name="Hipervínculo" xfId="3680" builtinId="8" hidden="1"/>
    <cellStyle name="Hipervínculo" xfId="3682" builtinId="8" hidden="1"/>
    <cellStyle name="Hipervínculo" xfId="3684" builtinId="8" hidden="1"/>
    <cellStyle name="Hipervínculo" xfId="3686" builtinId="8" hidden="1"/>
    <cellStyle name="Hipervínculo" xfId="3688" builtinId="8" hidden="1"/>
    <cellStyle name="Hipervínculo" xfId="3690" builtinId="8" hidden="1"/>
    <cellStyle name="Hipervínculo" xfId="3692" builtinId="8" hidden="1"/>
    <cellStyle name="Hipervínculo" xfId="3694" builtinId="8" hidden="1"/>
    <cellStyle name="Hipervínculo" xfId="3696" builtinId="8" hidden="1"/>
    <cellStyle name="Hipervínculo" xfId="3698" builtinId="8" hidden="1"/>
    <cellStyle name="Hipervínculo" xfId="3700" builtinId="8" hidden="1"/>
    <cellStyle name="Hipervínculo" xfId="3702" builtinId="8" hidden="1"/>
    <cellStyle name="Hipervínculo" xfId="3704" builtinId="8" hidden="1"/>
    <cellStyle name="Hipervínculo" xfId="3706" builtinId="8" hidden="1"/>
    <cellStyle name="Hipervínculo" xfId="3708" builtinId="8" hidden="1"/>
    <cellStyle name="Hipervínculo" xfId="3710" builtinId="8" hidden="1"/>
    <cellStyle name="Hipervínculo" xfId="3712" builtinId="8" hidden="1"/>
    <cellStyle name="Hipervínculo" xfId="3714" builtinId="8" hidden="1"/>
    <cellStyle name="Hipervínculo" xfId="3716" builtinId="8" hidden="1"/>
    <cellStyle name="Hipervínculo" xfId="3718" builtinId="8" hidden="1"/>
    <cellStyle name="Hipervínculo" xfId="3720" builtinId="8" hidden="1"/>
    <cellStyle name="Hipervínculo" xfId="3722" builtinId="8" hidden="1"/>
    <cellStyle name="Hipervínculo" xfId="3724" builtinId="8" hidden="1"/>
    <cellStyle name="Hipervínculo" xfId="3726" builtinId="8" hidden="1"/>
    <cellStyle name="Hipervínculo" xfId="3728" builtinId="8" hidden="1"/>
    <cellStyle name="Hipervínculo" xfId="3730" builtinId="8" hidden="1"/>
    <cellStyle name="Hipervínculo" xfId="3732" builtinId="8" hidden="1"/>
    <cellStyle name="Hipervínculo" xfId="3734" builtinId="8" hidden="1"/>
    <cellStyle name="Hipervínculo" xfId="3736" builtinId="8" hidden="1"/>
    <cellStyle name="Hipervínculo" xfId="3738" builtinId="8" hidden="1"/>
    <cellStyle name="Hipervínculo" xfId="3740" builtinId="8" hidden="1"/>
    <cellStyle name="Hipervínculo" xfId="3742" builtinId="8" hidden="1"/>
    <cellStyle name="Hipervínculo" xfId="3744" builtinId="8" hidden="1"/>
    <cellStyle name="Hipervínculo" xfId="3746" builtinId="8" hidden="1"/>
    <cellStyle name="Hipervínculo" xfId="3748" builtinId="8" hidden="1"/>
    <cellStyle name="Hipervínculo" xfId="3750" builtinId="8" hidden="1"/>
    <cellStyle name="Hipervínculo" xfId="3752" builtinId="8" hidden="1"/>
    <cellStyle name="Hipervínculo" xfId="3754" builtinId="8" hidden="1"/>
    <cellStyle name="Hipervínculo" xfId="3756" builtinId="8" hidden="1"/>
    <cellStyle name="Hipervínculo" xfId="3758" builtinId="8" hidden="1"/>
    <cellStyle name="Hipervínculo" xfId="3760" builtinId="8" hidden="1"/>
    <cellStyle name="Hipervínculo" xfId="3762" builtinId="8" hidden="1"/>
    <cellStyle name="Hipervínculo" xfId="3764" builtinId="8" hidden="1"/>
    <cellStyle name="Hipervínculo" xfId="3766" builtinId="8" hidden="1"/>
    <cellStyle name="Hipervínculo" xfId="3768" builtinId="8" hidden="1"/>
    <cellStyle name="Hipervínculo" xfId="3770" builtinId="8" hidden="1"/>
    <cellStyle name="Hipervínculo" xfId="3772" builtinId="8" hidden="1"/>
    <cellStyle name="Hipervínculo" xfId="3774" builtinId="8" hidden="1"/>
    <cellStyle name="Hipervínculo" xfId="3776" builtinId="8" hidden="1"/>
    <cellStyle name="Hipervínculo" xfId="3778" builtinId="8" hidden="1"/>
    <cellStyle name="Hipervínculo" xfId="3780" builtinId="8" hidden="1"/>
    <cellStyle name="Hipervínculo" xfId="3782" builtinId="8" hidden="1"/>
    <cellStyle name="Hipervínculo" xfId="3784" builtinId="8" hidden="1"/>
    <cellStyle name="Hipervínculo" xfId="3786" builtinId="8" hidden="1"/>
    <cellStyle name="Hipervínculo" xfId="3788" builtinId="8" hidden="1"/>
    <cellStyle name="Hipervínculo" xfId="3790" builtinId="8" hidden="1"/>
    <cellStyle name="Hipervínculo" xfId="3792" builtinId="8" hidden="1"/>
    <cellStyle name="Hipervínculo" xfId="3794" builtinId="8" hidden="1"/>
    <cellStyle name="Hipervínculo" xfId="3796" builtinId="8" hidden="1"/>
    <cellStyle name="Hipervínculo" xfId="3798" builtinId="8" hidden="1"/>
    <cellStyle name="Hipervínculo" xfId="3800" builtinId="8" hidden="1"/>
    <cellStyle name="Hipervínculo" xfId="3802" builtinId="8" hidden="1"/>
    <cellStyle name="Hipervínculo" xfId="3804" builtinId="8" hidden="1"/>
    <cellStyle name="Hipervínculo" xfId="3806" builtinId="8" hidden="1"/>
    <cellStyle name="Hipervínculo" xfId="3808" builtinId="8" hidden="1"/>
    <cellStyle name="Hipervínculo" xfId="3810" builtinId="8" hidden="1"/>
    <cellStyle name="Hipervínculo" xfId="3812" builtinId="8" hidden="1"/>
    <cellStyle name="Hipervínculo" xfId="3814" builtinId="8" hidden="1"/>
    <cellStyle name="Hipervínculo" xfId="3816" builtinId="8" hidden="1"/>
    <cellStyle name="Hipervínculo" xfId="3818" builtinId="8" hidden="1"/>
    <cellStyle name="Hipervínculo" xfId="3820" builtinId="8" hidden="1"/>
    <cellStyle name="Hipervínculo" xfId="3822" builtinId="8" hidden="1"/>
    <cellStyle name="Hipervínculo" xfId="3824" builtinId="8" hidden="1"/>
    <cellStyle name="Hipervínculo" xfId="3826" builtinId="8" hidden="1"/>
    <cellStyle name="Hipervínculo" xfId="3828" builtinId="8" hidden="1"/>
    <cellStyle name="Hipervínculo" xfId="3830" builtinId="8" hidden="1"/>
    <cellStyle name="Hipervínculo" xfId="3832" builtinId="8" hidden="1"/>
    <cellStyle name="Hipervínculo" xfId="3834" builtinId="8" hidden="1"/>
    <cellStyle name="Hipervínculo" xfId="3836" builtinId="8" hidden="1"/>
    <cellStyle name="Hipervínculo" xfId="3838" builtinId="8" hidden="1"/>
    <cellStyle name="Hipervínculo" xfId="3840" builtinId="8" hidden="1"/>
    <cellStyle name="Hipervínculo" xfId="3842" builtinId="8" hidden="1"/>
    <cellStyle name="Hipervínculo" xfId="3844" builtinId="8" hidden="1"/>
    <cellStyle name="Hipervínculo" xfId="3846" builtinId="8" hidden="1"/>
    <cellStyle name="Hipervínculo" xfId="3848" builtinId="8" hidden="1"/>
    <cellStyle name="Hipervínculo" xfId="3850" builtinId="8" hidden="1"/>
    <cellStyle name="Hipervínculo" xfId="3852" builtinId="8" hidden="1"/>
    <cellStyle name="Hipervínculo" xfId="3854" builtinId="8" hidden="1"/>
    <cellStyle name="Hipervínculo" xfId="3856" builtinId="8" hidden="1"/>
    <cellStyle name="Hipervínculo" xfId="3858" builtinId="8" hidden="1"/>
    <cellStyle name="Hipervínculo" xfId="3860" builtinId="8" hidden="1"/>
    <cellStyle name="Hipervínculo" xfId="3862" builtinId="8" hidden="1"/>
    <cellStyle name="Hipervínculo" xfId="3864" builtinId="8" hidden="1"/>
    <cellStyle name="Hipervínculo" xfId="3866" builtinId="8" hidden="1"/>
    <cellStyle name="Hipervínculo" xfId="3868" builtinId="8" hidden="1"/>
    <cellStyle name="Hipervínculo" xfId="3870" builtinId="8" hidden="1"/>
    <cellStyle name="Hipervínculo" xfId="3872" builtinId="8" hidden="1"/>
    <cellStyle name="Hipervínculo" xfId="3874" builtinId="8" hidden="1"/>
    <cellStyle name="Hipervínculo" xfId="3876" builtinId="8" hidden="1"/>
    <cellStyle name="Hipervínculo" xfId="3878" builtinId="8" hidden="1"/>
    <cellStyle name="Hipervínculo" xfId="3880" builtinId="8" hidden="1"/>
    <cellStyle name="Hipervínculo" xfId="3882" builtinId="8" hidden="1"/>
    <cellStyle name="Hipervínculo" xfId="3884" builtinId="8" hidden="1"/>
    <cellStyle name="Hipervínculo" xfId="3886" builtinId="8" hidden="1"/>
    <cellStyle name="Hipervínculo" xfId="3888" builtinId="8" hidden="1"/>
    <cellStyle name="Hipervínculo" xfId="3890" builtinId="8" hidden="1"/>
    <cellStyle name="Hipervínculo" xfId="3892" builtinId="8" hidden="1"/>
    <cellStyle name="Hipervínculo" xfId="3894" builtinId="8" hidden="1"/>
    <cellStyle name="Hipervínculo" xfId="3896" builtinId="8" hidden="1"/>
    <cellStyle name="Hipervínculo" xfId="3898" builtinId="8" hidden="1"/>
    <cellStyle name="Hipervínculo" xfId="3900" builtinId="8" hidden="1"/>
    <cellStyle name="Hipervínculo" xfId="3902" builtinId="8" hidden="1"/>
    <cellStyle name="Hipervínculo" xfId="3904" builtinId="8" hidden="1"/>
    <cellStyle name="Hipervínculo" xfId="3906" builtinId="8" hidden="1"/>
    <cellStyle name="Hipervínculo" xfId="3908" builtinId="8" hidden="1"/>
    <cellStyle name="Hipervínculo" xfId="3910" builtinId="8" hidden="1"/>
    <cellStyle name="Hipervínculo" xfId="3912" builtinId="8" hidden="1"/>
    <cellStyle name="Hipervínculo" xfId="3914" builtinId="8" hidden="1"/>
    <cellStyle name="Hipervínculo" xfId="3916" builtinId="8" hidden="1"/>
    <cellStyle name="Hipervínculo" xfId="3918" builtinId="8" hidden="1"/>
    <cellStyle name="Hipervínculo" xfId="3920" builtinId="8" hidden="1"/>
    <cellStyle name="Hipervínculo" xfId="3922" builtinId="8" hidden="1"/>
    <cellStyle name="Hipervínculo" xfId="3924" builtinId="8" hidden="1"/>
    <cellStyle name="Hipervínculo" xfId="3926" builtinId="8" hidden="1"/>
    <cellStyle name="Hipervínculo" xfId="3928" builtinId="8" hidden="1"/>
    <cellStyle name="Hipervínculo" xfId="3930" builtinId="8" hidden="1"/>
    <cellStyle name="Hipervínculo" xfId="3932" builtinId="8" hidden="1"/>
    <cellStyle name="Hipervínculo" xfId="3934" builtinId="8" hidden="1"/>
    <cellStyle name="Hipervínculo" xfId="3936" builtinId="8" hidden="1"/>
    <cellStyle name="Hipervínculo" xfId="3938" builtinId="8" hidden="1"/>
    <cellStyle name="Hipervínculo" xfId="3940" builtinId="8" hidden="1"/>
    <cellStyle name="Hipervínculo" xfId="3942" builtinId="8" hidden="1"/>
    <cellStyle name="Hipervínculo" xfId="3944" builtinId="8" hidden="1"/>
    <cellStyle name="Hipervínculo" xfId="3946" builtinId="8" hidden="1"/>
    <cellStyle name="Hipervínculo" xfId="3948" builtinId="8" hidden="1"/>
    <cellStyle name="Hipervínculo" xfId="3950" builtinId="8" hidden="1"/>
    <cellStyle name="Hipervínculo" xfId="3952" builtinId="8" hidden="1"/>
    <cellStyle name="Hipervínculo" xfId="3954" builtinId="8" hidden="1"/>
    <cellStyle name="Hipervínculo" xfId="3956" builtinId="8" hidden="1"/>
    <cellStyle name="Hipervínculo" xfId="3958" builtinId="8" hidden="1"/>
    <cellStyle name="Hipervínculo" xfId="3960" builtinId="8" hidden="1"/>
    <cellStyle name="Hipervínculo" xfId="3962" builtinId="8" hidden="1"/>
    <cellStyle name="Hipervínculo" xfId="3964" builtinId="8" hidden="1"/>
    <cellStyle name="Hipervínculo" xfId="3966" builtinId="8" hidden="1"/>
    <cellStyle name="Hipervínculo" xfId="3968" builtinId="8" hidden="1"/>
    <cellStyle name="Hipervínculo" xfId="3970" builtinId="8" hidden="1"/>
    <cellStyle name="Hipervínculo" xfId="3972" builtinId="8" hidden="1"/>
    <cellStyle name="Hipervínculo" xfId="3974" builtinId="8" hidden="1"/>
    <cellStyle name="Hipervínculo" xfId="3976" builtinId="8" hidden="1"/>
    <cellStyle name="Hipervínculo" xfId="3978" builtinId="8" hidden="1"/>
    <cellStyle name="Hipervínculo" xfId="3980" builtinId="8" hidden="1"/>
    <cellStyle name="Hipervínculo" xfId="3982" builtinId="8" hidden="1"/>
    <cellStyle name="Hipervínculo" xfId="3984" builtinId="8" hidden="1"/>
    <cellStyle name="Hipervínculo" xfId="3986" builtinId="8" hidden="1"/>
    <cellStyle name="Hipervínculo" xfId="3988" builtinId="8" hidden="1"/>
    <cellStyle name="Hipervínculo" xfId="3990" builtinId="8" hidden="1"/>
    <cellStyle name="Hipervínculo" xfId="3992" builtinId="8" hidden="1"/>
    <cellStyle name="Hipervínculo" xfId="3994" builtinId="8" hidden="1"/>
    <cellStyle name="Hipervínculo" xfId="3996" builtinId="8" hidden="1"/>
    <cellStyle name="Hipervínculo" xfId="3998" builtinId="8" hidden="1"/>
    <cellStyle name="Hipervínculo" xfId="4000" builtinId="8" hidden="1"/>
    <cellStyle name="Hipervínculo" xfId="4002" builtinId="8" hidden="1"/>
    <cellStyle name="Hipervínculo" xfId="4004" builtinId="8" hidden="1"/>
    <cellStyle name="Hipervínculo" xfId="4006" builtinId="8" hidden="1"/>
    <cellStyle name="Hipervínculo" xfId="4008" builtinId="8" hidden="1"/>
    <cellStyle name="Hipervínculo" xfId="4010" builtinId="8" hidden="1"/>
    <cellStyle name="Hipervínculo" xfId="4012" builtinId="8" hidden="1"/>
    <cellStyle name="Hipervínculo" xfId="4014" builtinId="8" hidden="1"/>
    <cellStyle name="Hipervínculo" xfId="4016" builtinId="8" hidden="1"/>
    <cellStyle name="Hipervínculo" xfId="4018" builtinId="8" hidden="1"/>
    <cellStyle name="Hipervínculo" xfId="4020" builtinId="8" hidden="1"/>
    <cellStyle name="Hipervínculo" xfId="4022" builtinId="8" hidden="1"/>
    <cellStyle name="Hipervínculo" xfId="4024" builtinId="8" hidden="1"/>
    <cellStyle name="Hipervínculo" xfId="4026" builtinId="8" hidden="1"/>
    <cellStyle name="Hipervínculo" xfId="4028" builtinId="8" hidden="1"/>
    <cellStyle name="Hipervínculo" xfId="4030" builtinId="8" hidden="1"/>
    <cellStyle name="Hipervínculo" xfId="4032" builtinId="8" hidden="1"/>
    <cellStyle name="Hipervínculo" xfId="4034" builtinId="8" hidden="1"/>
    <cellStyle name="Hipervínculo" xfId="4036" builtinId="8" hidden="1"/>
    <cellStyle name="Hipervínculo" xfId="4038" builtinId="8" hidden="1"/>
    <cellStyle name="Hipervínculo" xfId="4040" builtinId="8" hidden="1"/>
    <cellStyle name="Hipervínculo" xfId="4042" builtinId="8" hidden="1"/>
    <cellStyle name="Hipervínculo" xfId="4044" builtinId="8" hidden="1"/>
    <cellStyle name="Hipervínculo" xfId="4046" builtinId="8" hidden="1"/>
    <cellStyle name="Hipervínculo" xfId="4048" builtinId="8" hidden="1"/>
    <cellStyle name="Hipervínculo" xfId="4050" builtinId="8" hidden="1"/>
    <cellStyle name="Hipervínculo" xfId="4052" builtinId="8" hidden="1"/>
    <cellStyle name="Hipervínculo" xfId="4054" builtinId="8" hidden="1"/>
    <cellStyle name="Hipervínculo" xfId="4056" builtinId="8" hidden="1"/>
    <cellStyle name="Hipervínculo" xfId="4058" builtinId="8" hidden="1"/>
    <cellStyle name="Hipervínculo" xfId="4060" builtinId="8" hidden="1"/>
    <cellStyle name="Hipervínculo" xfId="4062" builtinId="8" hidden="1"/>
    <cellStyle name="Hipervínculo" xfId="4064" builtinId="8" hidden="1"/>
    <cellStyle name="Hipervínculo" xfId="4066" builtinId="8" hidden="1"/>
    <cellStyle name="Hipervínculo" xfId="4068" builtinId="8" hidden="1"/>
    <cellStyle name="Hipervínculo" xfId="4070" builtinId="8" hidden="1"/>
    <cellStyle name="Hipervínculo" xfId="4072" builtinId="8" hidden="1"/>
    <cellStyle name="Hipervínculo" xfId="4074" builtinId="8" hidden="1"/>
    <cellStyle name="Hipervínculo" xfId="4076" builtinId="8" hidden="1"/>
    <cellStyle name="Hipervínculo" xfId="4078" builtinId="8" hidden="1"/>
    <cellStyle name="Hipervínculo" xfId="4080" builtinId="8" hidden="1"/>
    <cellStyle name="Hipervínculo" xfId="4082" builtinId="8" hidden="1"/>
    <cellStyle name="Hipervínculo" xfId="4084" builtinId="8" hidden="1"/>
    <cellStyle name="Hipervínculo" xfId="4086" builtinId="8" hidden="1"/>
    <cellStyle name="Hipervínculo" xfId="4088" builtinId="8" hidden="1"/>
    <cellStyle name="Hipervínculo" xfId="4090" builtinId="8" hidden="1"/>
    <cellStyle name="Hipervínculo" xfId="4092" builtinId="8" hidden="1"/>
    <cellStyle name="Hipervínculo" xfId="4094" builtinId="8" hidden="1"/>
    <cellStyle name="Hipervínculo" xfId="4096" builtinId="8" hidden="1"/>
    <cellStyle name="Hipervínculo" xfId="4098" builtinId="8" hidden="1"/>
    <cellStyle name="Hipervínculo" xfId="4100" builtinId="8" hidden="1"/>
    <cellStyle name="Hipervínculo" xfId="4102" builtinId="8" hidden="1"/>
    <cellStyle name="Hipervínculo" xfId="4104" builtinId="8" hidden="1"/>
    <cellStyle name="Hipervínculo" xfId="4106" builtinId="8" hidden="1"/>
    <cellStyle name="Hipervínculo" xfId="4108" builtinId="8" hidden="1"/>
    <cellStyle name="Hipervínculo" xfId="4110" builtinId="8" hidden="1"/>
    <cellStyle name="Hipervínculo" xfId="4112" builtinId="8" hidden="1"/>
    <cellStyle name="Hipervínculo" xfId="4114" builtinId="8" hidden="1"/>
    <cellStyle name="Hipervínculo" xfId="4116" builtinId="8" hidden="1"/>
    <cellStyle name="Hipervínculo" xfId="4118" builtinId="8" hidden="1"/>
    <cellStyle name="Hipervínculo" xfId="4120" builtinId="8" hidden="1"/>
    <cellStyle name="Hipervínculo" xfId="4122" builtinId="8" hidden="1"/>
    <cellStyle name="Hipervínculo" xfId="4124" builtinId="8" hidden="1"/>
    <cellStyle name="Hipervínculo" xfId="4126" builtinId="8" hidden="1"/>
    <cellStyle name="Hipervínculo" xfId="4128" builtinId="8" hidden="1"/>
    <cellStyle name="Hipervínculo" xfId="4130" builtinId="8" hidden="1"/>
    <cellStyle name="Hipervínculo" xfId="4132" builtinId="8" hidden="1"/>
    <cellStyle name="Hipervínculo" xfId="4134" builtinId="8" hidden="1"/>
    <cellStyle name="Hipervínculo" xfId="4136" builtinId="8" hidden="1"/>
    <cellStyle name="Hipervínculo" xfId="4138" builtinId="8" hidden="1"/>
    <cellStyle name="Hipervínculo" xfId="4140" builtinId="8" hidden="1"/>
    <cellStyle name="Hipervínculo" xfId="4142" builtinId="8" hidden="1"/>
    <cellStyle name="Hipervínculo" xfId="4144" builtinId="8" hidden="1"/>
    <cellStyle name="Hipervínculo" xfId="4146" builtinId="8" hidden="1"/>
    <cellStyle name="Hipervínculo" xfId="4148" builtinId="8" hidden="1"/>
    <cellStyle name="Hipervínculo" xfId="4150" builtinId="8" hidden="1"/>
    <cellStyle name="Hipervínculo" xfId="4152" builtinId="8" hidden="1"/>
    <cellStyle name="Hipervínculo" xfId="4154" builtinId="8" hidden="1"/>
    <cellStyle name="Hipervínculo" xfId="4156" builtinId="8" hidden="1"/>
    <cellStyle name="Hipervínculo" xfId="4158" builtinId="8" hidden="1"/>
    <cellStyle name="Hipervínculo" xfId="4160" builtinId="8" hidden="1"/>
    <cellStyle name="Hipervínculo" xfId="4162" builtinId="8" hidden="1"/>
    <cellStyle name="Hipervínculo" xfId="4164" builtinId="8" hidden="1"/>
    <cellStyle name="Hipervínculo" xfId="4166" builtinId="8" hidden="1"/>
    <cellStyle name="Hipervínculo" xfId="4168" builtinId="8" hidden="1"/>
    <cellStyle name="Hipervínculo" xfId="4170" builtinId="8" hidden="1"/>
    <cellStyle name="Hipervínculo" xfId="4172" builtinId="8" hidden="1"/>
    <cellStyle name="Hipervínculo" xfId="4174" builtinId="8" hidden="1"/>
    <cellStyle name="Hipervínculo" xfId="4176" builtinId="8" hidden="1"/>
    <cellStyle name="Hipervínculo" xfId="4178" builtinId="8" hidden="1"/>
    <cellStyle name="Hipervínculo" xfId="4180" builtinId="8" hidden="1"/>
    <cellStyle name="Hipervínculo" xfId="4182" builtinId="8" hidden="1"/>
    <cellStyle name="Hipervínculo" xfId="4184" builtinId="8" hidden="1"/>
    <cellStyle name="Hipervínculo" xfId="4186" builtinId="8" hidden="1"/>
    <cellStyle name="Hipervínculo" xfId="4188" builtinId="8" hidden="1"/>
    <cellStyle name="Hipervínculo" xfId="4190" builtinId="8" hidden="1"/>
    <cellStyle name="Hipervínculo" xfId="4192" builtinId="8" hidden="1"/>
    <cellStyle name="Hipervínculo" xfId="4194" builtinId="8" hidden="1"/>
    <cellStyle name="Hipervínculo" xfId="4196" builtinId="8" hidden="1"/>
    <cellStyle name="Hipervínculo" xfId="4198" builtinId="8" hidden="1"/>
    <cellStyle name="Hipervínculo" xfId="4200" builtinId="8" hidden="1"/>
    <cellStyle name="Hipervínculo" xfId="4202" builtinId="8" hidden="1"/>
    <cellStyle name="Hipervínculo" xfId="4204" builtinId="8" hidden="1"/>
    <cellStyle name="Hipervínculo" xfId="4206" builtinId="8" hidden="1"/>
    <cellStyle name="Hipervínculo" xfId="4208" builtinId="8" hidden="1"/>
    <cellStyle name="Hipervínculo" xfId="4210" builtinId="8" hidden="1"/>
    <cellStyle name="Hipervínculo" xfId="4212" builtinId="8" hidden="1"/>
    <cellStyle name="Hipervínculo" xfId="4214" builtinId="8" hidden="1"/>
    <cellStyle name="Hipervínculo" xfId="4216" builtinId="8" hidden="1"/>
    <cellStyle name="Hipervínculo" xfId="4218" builtinId="8" hidden="1"/>
    <cellStyle name="Hipervínculo" xfId="4220" builtinId="8" hidden="1"/>
    <cellStyle name="Hipervínculo" xfId="4222" builtinId="8" hidden="1"/>
    <cellStyle name="Hipervínculo" xfId="4224" builtinId="8" hidden="1"/>
    <cellStyle name="Hipervínculo" xfId="4226" builtinId="8" hidden="1"/>
    <cellStyle name="Hipervínculo" xfId="4228" builtinId="8" hidden="1"/>
    <cellStyle name="Hipervínculo" xfId="4230" builtinId="8" hidden="1"/>
    <cellStyle name="Hipervínculo" xfId="4232" builtinId="8" hidden="1"/>
    <cellStyle name="Hipervínculo" xfId="4234" builtinId="8" hidden="1"/>
    <cellStyle name="Hipervínculo" xfId="4236" builtinId="8" hidden="1"/>
    <cellStyle name="Hipervínculo" xfId="4238" builtinId="8" hidden="1"/>
    <cellStyle name="Hipervínculo" xfId="4240" builtinId="8" hidden="1"/>
    <cellStyle name="Hipervínculo" xfId="4242" builtinId="8" hidden="1"/>
    <cellStyle name="Hipervínculo" xfId="4244" builtinId="8" hidden="1"/>
    <cellStyle name="Hipervínculo" xfId="4246" builtinId="8" hidden="1"/>
    <cellStyle name="Hipervínculo" xfId="4248" builtinId="8" hidden="1"/>
    <cellStyle name="Hipervínculo" xfId="4250" builtinId="8" hidden="1"/>
    <cellStyle name="Hipervínculo" xfId="4252" builtinId="8" hidden="1"/>
    <cellStyle name="Hipervínculo" xfId="4254" builtinId="8" hidden="1"/>
    <cellStyle name="Hipervínculo" xfId="4256" builtinId="8" hidden="1"/>
    <cellStyle name="Hipervínculo" xfId="4258" builtinId="8" hidden="1"/>
    <cellStyle name="Hipervínculo" xfId="4260" builtinId="8" hidden="1"/>
    <cellStyle name="Hipervínculo" xfId="4262" builtinId="8" hidden="1"/>
    <cellStyle name="Hipervínculo" xfId="4264" builtinId="8" hidden="1"/>
    <cellStyle name="Hipervínculo" xfId="4266" builtinId="8" hidden="1"/>
    <cellStyle name="Hipervínculo" xfId="4268" builtinId="8" hidden="1"/>
    <cellStyle name="Hipervínculo" xfId="4270" builtinId="8" hidden="1"/>
    <cellStyle name="Hipervínculo" xfId="4272" builtinId="8" hidden="1"/>
    <cellStyle name="Hipervínculo" xfId="4274" builtinId="8" hidden="1"/>
    <cellStyle name="Hipervínculo" xfId="4276" builtinId="8" hidden="1"/>
    <cellStyle name="Hipervínculo" xfId="4278" builtinId="8" hidden="1"/>
    <cellStyle name="Hipervínculo" xfId="4280" builtinId="8" hidden="1"/>
    <cellStyle name="Hipervínculo" xfId="4282" builtinId="8" hidden="1"/>
    <cellStyle name="Hipervínculo" xfId="4284" builtinId="8" hidden="1"/>
    <cellStyle name="Hipervínculo" xfId="4286" builtinId="8" hidden="1"/>
    <cellStyle name="Hipervínculo" xfId="4288" builtinId="8" hidden="1"/>
    <cellStyle name="Hipervínculo" xfId="4290" builtinId="8" hidden="1"/>
    <cellStyle name="Hipervínculo" xfId="4292" builtinId="8" hidden="1"/>
    <cellStyle name="Hipervínculo" xfId="4294" builtinId="8" hidden="1"/>
    <cellStyle name="Hipervínculo" xfId="4296" builtinId="8" hidden="1"/>
    <cellStyle name="Hipervínculo" xfId="4298" builtinId="8" hidden="1"/>
    <cellStyle name="Hipervínculo" xfId="4300" builtinId="8" hidden="1"/>
    <cellStyle name="Hipervínculo" xfId="4302" builtinId="8" hidden="1"/>
    <cellStyle name="Hipervínculo" xfId="4304" builtinId="8" hidden="1"/>
    <cellStyle name="Hipervínculo" xfId="4306" builtinId="8" hidden="1"/>
    <cellStyle name="Hipervínculo" xfId="4308" builtinId="8" hidden="1"/>
    <cellStyle name="Hipervínculo" xfId="4310" builtinId="8" hidden="1"/>
    <cellStyle name="Hipervínculo" xfId="4312" builtinId="8" hidden="1"/>
    <cellStyle name="Hipervínculo" xfId="4314" builtinId="8" hidden="1"/>
    <cellStyle name="Hipervínculo" xfId="4316" builtinId="8" hidden="1"/>
    <cellStyle name="Hipervínculo" xfId="4318" builtinId="8" hidden="1"/>
    <cellStyle name="Hipervínculo" xfId="4320" builtinId="8" hidden="1"/>
    <cellStyle name="Hipervínculo" xfId="4322" builtinId="8" hidden="1"/>
    <cellStyle name="Hipervínculo" xfId="4324" builtinId="8" hidden="1"/>
    <cellStyle name="Hipervínculo" xfId="4326" builtinId="8" hidden="1"/>
    <cellStyle name="Hipervínculo" xfId="4328" builtinId="8" hidden="1"/>
    <cellStyle name="Hipervínculo" xfId="4330" builtinId="8" hidden="1"/>
    <cellStyle name="Hipervínculo" xfId="4332" builtinId="8" hidden="1"/>
    <cellStyle name="Hipervínculo" xfId="4334" builtinId="8" hidden="1"/>
    <cellStyle name="Hipervínculo" xfId="4336" builtinId="8" hidden="1"/>
    <cellStyle name="Hipervínculo" xfId="4338" builtinId="8" hidden="1"/>
    <cellStyle name="Hipervínculo" xfId="4340" builtinId="8" hidden="1"/>
    <cellStyle name="Hipervínculo" xfId="4342" builtinId="8" hidden="1"/>
    <cellStyle name="Hipervínculo" xfId="4344" builtinId="8" hidden="1"/>
    <cellStyle name="Hipervínculo" xfId="4346" builtinId="8" hidden="1"/>
    <cellStyle name="Hipervínculo" xfId="4348" builtinId="8" hidden="1"/>
    <cellStyle name="Hipervínculo" xfId="4350" builtinId="8" hidden="1"/>
    <cellStyle name="Hipervínculo" xfId="4352" builtinId="8" hidden="1"/>
    <cellStyle name="Hipervínculo" xfId="4354" builtinId="8" hidden="1"/>
    <cellStyle name="Hipervínculo" xfId="4356" builtinId="8" hidden="1"/>
    <cellStyle name="Hipervínculo" xfId="4358" builtinId="8" hidden="1"/>
    <cellStyle name="Hipervínculo" xfId="4360" builtinId="8" hidden="1"/>
    <cellStyle name="Hipervínculo" xfId="4362" builtinId="8" hidden="1"/>
    <cellStyle name="Hipervínculo" xfId="4364" builtinId="8" hidden="1"/>
    <cellStyle name="Hipervínculo" xfId="4366" builtinId="8" hidden="1"/>
    <cellStyle name="Hipervínculo" xfId="4368" builtinId="8" hidden="1"/>
    <cellStyle name="Hipervínculo" xfId="4370" builtinId="8" hidden="1"/>
    <cellStyle name="Hipervínculo" xfId="4372" builtinId="8" hidden="1"/>
    <cellStyle name="Hipervínculo" xfId="4374" builtinId="8" hidden="1"/>
    <cellStyle name="Hipervínculo" xfId="4376" builtinId="8" hidden="1"/>
    <cellStyle name="Hipervínculo" xfId="4378" builtinId="8" hidden="1"/>
    <cellStyle name="Hipervínculo" xfId="4380" builtinId="8" hidden="1"/>
    <cellStyle name="Hipervínculo" xfId="4382" builtinId="8" hidden="1"/>
    <cellStyle name="Hipervínculo" xfId="4384" builtinId="8" hidden="1"/>
    <cellStyle name="Hipervínculo" xfId="4386" builtinId="8" hidden="1"/>
    <cellStyle name="Hipervínculo" xfId="4388" builtinId="8" hidden="1"/>
    <cellStyle name="Hipervínculo" xfId="4390" builtinId="8" hidden="1"/>
    <cellStyle name="Hipervínculo" xfId="4392" builtinId="8" hidden="1"/>
    <cellStyle name="Hipervínculo" xfId="4394" builtinId="8" hidden="1"/>
    <cellStyle name="Hipervínculo" xfId="4396" builtinId="8" hidden="1"/>
    <cellStyle name="Hipervínculo" xfId="4398" builtinId="8" hidden="1"/>
    <cellStyle name="Hipervínculo" xfId="4400" builtinId="8" hidden="1"/>
    <cellStyle name="Hipervínculo" xfId="4402" builtinId="8" hidden="1"/>
    <cellStyle name="Hipervínculo" xfId="4404" builtinId="8" hidden="1"/>
    <cellStyle name="Hipervínculo" xfId="4406" builtinId="8" hidden="1"/>
    <cellStyle name="Hipervínculo" xfId="4408" builtinId="8" hidden="1"/>
    <cellStyle name="Hipervínculo" xfId="4410" builtinId="8" hidden="1"/>
    <cellStyle name="Hipervínculo" xfId="4412" builtinId="8" hidden="1"/>
    <cellStyle name="Hipervínculo" xfId="4414" builtinId="8" hidden="1"/>
    <cellStyle name="Hipervínculo" xfId="4416" builtinId="8" hidden="1"/>
    <cellStyle name="Hipervínculo" xfId="4418" builtinId="8" hidden="1"/>
    <cellStyle name="Hipervínculo" xfId="4420" builtinId="8" hidden="1"/>
    <cellStyle name="Hipervínculo" xfId="4422" builtinId="8" hidden="1"/>
    <cellStyle name="Hipervínculo" xfId="4424" builtinId="8" hidden="1"/>
    <cellStyle name="Hipervínculo" xfId="4426" builtinId="8" hidden="1"/>
    <cellStyle name="Hipervínculo" xfId="4428" builtinId="8" hidden="1"/>
    <cellStyle name="Hipervínculo" xfId="4430" builtinId="8" hidden="1"/>
    <cellStyle name="Hipervínculo" xfId="4432" builtinId="8" hidden="1"/>
    <cellStyle name="Hipervínculo" xfId="4434" builtinId="8" hidden="1"/>
    <cellStyle name="Hipervínculo" xfId="4436" builtinId="8" hidden="1"/>
    <cellStyle name="Hipervínculo" xfId="4438" builtinId="8" hidden="1"/>
    <cellStyle name="Hipervínculo" xfId="4440" builtinId="8" hidden="1"/>
    <cellStyle name="Hipervínculo" xfId="4442" builtinId="8" hidden="1"/>
    <cellStyle name="Hipervínculo" xfId="4444" builtinId="8" hidden="1"/>
    <cellStyle name="Hipervínculo" xfId="4446" builtinId="8" hidden="1"/>
    <cellStyle name="Hipervínculo" xfId="4448" builtinId="8" hidden="1"/>
    <cellStyle name="Hipervínculo" xfId="4450" builtinId="8" hidden="1"/>
    <cellStyle name="Hipervínculo" xfId="4452" builtinId="8" hidden="1"/>
    <cellStyle name="Hipervínculo" xfId="4454" builtinId="8" hidden="1"/>
    <cellStyle name="Hipervínculo" xfId="4456" builtinId="8" hidden="1"/>
    <cellStyle name="Hipervínculo" xfId="4458" builtinId="8" hidden="1"/>
    <cellStyle name="Hipervínculo" xfId="4460" builtinId="8" hidden="1"/>
    <cellStyle name="Hipervínculo" xfId="4462" builtinId="8" hidden="1"/>
    <cellStyle name="Hipervínculo" xfId="4464" builtinId="8" hidden="1"/>
    <cellStyle name="Hipervínculo" xfId="4466" builtinId="8" hidden="1"/>
    <cellStyle name="Hipervínculo" xfId="4468" builtinId="8" hidden="1"/>
    <cellStyle name="Hipervínculo" xfId="4470" builtinId="8" hidden="1"/>
    <cellStyle name="Hipervínculo" xfId="4472" builtinId="8" hidden="1"/>
    <cellStyle name="Hipervínculo" xfId="4474" builtinId="8" hidden="1"/>
    <cellStyle name="Hipervínculo" xfId="4476" builtinId="8" hidden="1"/>
    <cellStyle name="Hipervínculo" xfId="4478" builtinId="8" hidden="1"/>
    <cellStyle name="Hipervínculo" xfId="4480" builtinId="8" hidden="1"/>
    <cellStyle name="Hipervínculo" xfId="4482" builtinId="8" hidden="1"/>
    <cellStyle name="Hipervínculo" xfId="4484" builtinId="8" hidden="1"/>
    <cellStyle name="Hipervínculo" xfId="4486" builtinId="8" hidden="1"/>
    <cellStyle name="Hipervínculo" xfId="4488" builtinId="8" hidden="1"/>
    <cellStyle name="Hipervínculo" xfId="4490" builtinId="8" hidden="1"/>
    <cellStyle name="Hipervínculo" xfId="4492" builtinId="8" hidden="1"/>
    <cellStyle name="Hipervínculo" xfId="4494" builtinId="8" hidden="1"/>
    <cellStyle name="Hipervínculo" xfId="4496" builtinId="8" hidden="1"/>
    <cellStyle name="Hipervínculo" xfId="4498" builtinId="8" hidden="1"/>
    <cellStyle name="Hipervínculo" xfId="4500" builtinId="8" hidden="1"/>
    <cellStyle name="Hipervínculo" xfId="4502" builtinId="8" hidden="1"/>
    <cellStyle name="Hipervínculo" xfId="4504" builtinId="8" hidden="1"/>
    <cellStyle name="Hipervínculo" xfId="4506" builtinId="8" hidden="1"/>
    <cellStyle name="Hipervínculo" xfId="4508" builtinId="8" hidden="1"/>
    <cellStyle name="Hipervínculo" xfId="4510" builtinId="8" hidden="1"/>
    <cellStyle name="Hipervínculo" xfId="4512" builtinId="8" hidden="1"/>
    <cellStyle name="Hipervínculo" xfId="4514" builtinId="8" hidden="1"/>
    <cellStyle name="Hipervínculo" xfId="4516" builtinId="8" hidden="1"/>
    <cellStyle name="Hipervínculo" xfId="4518" builtinId="8" hidden="1"/>
    <cellStyle name="Hipervínculo" xfId="4520" builtinId="8" hidden="1"/>
    <cellStyle name="Hipervínculo" xfId="4522" builtinId="8" hidden="1"/>
    <cellStyle name="Hipervínculo" xfId="4524" builtinId="8" hidden="1"/>
    <cellStyle name="Hipervínculo" xfId="4526" builtinId="8" hidden="1"/>
    <cellStyle name="Hipervínculo" xfId="4528" builtinId="8" hidden="1"/>
    <cellStyle name="Hipervínculo" xfId="4530" builtinId="8" hidden="1"/>
    <cellStyle name="Hipervínculo" xfId="4532" builtinId="8" hidden="1"/>
    <cellStyle name="Hipervínculo" xfId="4534" builtinId="8" hidden="1"/>
    <cellStyle name="Hipervínculo" xfId="4536" builtinId="8" hidden="1"/>
    <cellStyle name="Hipervínculo" xfId="4538" builtinId="8" hidden="1"/>
    <cellStyle name="Hipervínculo" xfId="4540" builtinId="8" hidden="1"/>
    <cellStyle name="Hipervínculo" xfId="4542" builtinId="8" hidden="1"/>
    <cellStyle name="Hipervínculo" xfId="4544" builtinId="8" hidden="1"/>
    <cellStyle name="Hipervínculo" xfId="4546" builtinId="8" hidden="1"/>
    <cellStyle name="Hipervínculo" xfId="4548" builtinId="8" hidden="1"/>
    <cellStyle name="Hipervínculo" xfId="4550" builtinId="8" hidden="1"/>
    <cellStyle name="Hipervínculo" xfId="4552" builtinId="8" hidden="1"/>
    <cellStyle name="Hipervínculo" xfId="4554" builtinId="8" hidden="1"/>
    <cellStyle name="Hipervínculo" xfId="4556" builtinId="8" hidden="1"/>
    <cellStyle name="Hipervínculo" xfId="4558" builtinId="8" hidden="1"/>
    <cellStyle name="Hipervínculo" xfId="4560" builtinId="8" hidden="1"/>
    <cellStyle name="Hipervínculo" xfId="4562" builtinId="8" hidden="1"/>
    <cellStyle name="Hipervínculo" xfId="4564" builtinId="8" hidden="1"/>
    <cellStyle name="Hipervínculo" xfId="4566" builtinId="8" hidden="1"/>
    <cellStyle name="Hipervínculo" xfId="4568" builtinId="8" hidden="1"/>
    <cellStyle name="Hipervínculo" xfId="4570" builtinId="8" hidden="1"/>
    <cellStyle name="Hipervínculo" xfId="4572" builtinId="8" hidden="1"/>
    <cellStyle name="Hipervínculo" xfId="4574" builtinId="8" hidden="1"/>
    <cellStyle name="Hipervínculo" xfId="4576" builtinId="8" hidden="1"/>
    <cellStyle name="Hipervínculo" xfId="4578" builtinId="8" hidden="1"/>
    <cellStyle name="Hipervínculo" xfId="4580" builtinId="8" hidden="1"/>
    <cellStyle name="Hipervínculo" xfId="4582" builtinId="8" hidden="1"/>
    <cellStyle name="Hipervínculo" xfId="4584" builtinId="8" hidden="1"/>
    <cellStyle name="Hipervínculo" xfId="4586" builtinId="8" hidden="1"/>
    <cellStyle name="Hipervínculo" xfId="4588" builtinId="8" hidden="1"/>
    <cellStyle name="Hipervínculo" xfId="4590" builtinId="8" hidden="1"/>
    <cellStyle name="Hipervínculo" xfId="4592" builtinId="8" hidden="1"/>
    <cellStyle name="Hipervínculo" xfId="4594" builtinId="8" hidden="1"/>
    <cellStyle name="Hipervínculo" xfId="4596" builtinId="8" hidden="1"/>
    <cellStyle name="Hipervínculo" xfId="4598" builtinId="8" hidden="1"/>
    <cellStyle name="Hipervínculo" xfId="4600" builtinId="8" hidden="1"/>
    <cellStyle name="Hipervínculo" xfId="4602" builtinId="8" hidden="1"/>
    <cellStyle name="Hipervínculo" xfId="4604" builtinId="8" hidden="1"/>
    <cellStyle name="Hipervínculo" xfId="4606" builtinId="8" hidden="1"/>
    <cellStyle name="Hipervínculo" xfId="4608" builtinId="8" hidden="1"/>
    <cellStyle name="Hipervínculo" xfId="4610" builtinId="8" hidden="1"/>
    <cellStyle name="Hipervínculo" xfId="4612" builtinId="8" hidden="1"/>
    <cellStyle name="Hipervínculo" xfId="4614" builtinId="8" hidden="1"/>
    <cellStyle name="Hipervínculo" xfId="4616" builtinId="8" hidden="1"/>
    <cellStyle name="Hipervínculo" xfId="4618" builtinId="8" hidden="1"/>
    <cellStyle name="Hipervínculo" xfId="4620" builtinId="8" hidden="1"/>
    <cellStyle name="Hipervínculo" xfId="4622" builtinId="8" hidden="1"/>
    <cellStyle name="Hipervínculo" xfId="4624" builtinId="8" hidden="1"/>
    <cellStyle name="Hipervínculo" xfId="4626" builtinId="8" hidden="1"/>
    <cellStyle name="Hipervínculo" xfId="4628" builtinId="8" hidden="1"/>
    <cellStyle name="Hipervínculo" xfId="4630" builtinId="8" hidden="1"/>
    <cellStyle name="Hipervínculo" xfId="4632" builtinId="8" hidden="1"/>
    <cellStyle name="Hipervínculo" xfId="4634" builtinId="8" hidden="1"/>
    <cellStyle name="Hipervínculo" xfId="4636" builtinId="8" hidden="1"/>
    <cellStyle name="Hipervínculo" xfId="4638" builtinId="8" hidden="1"/>
    <cellStyle name="Hipervínculo" xfId="4640" builtinId="8" hidden="1"/>
    <cellStyle name="Hipervínculo" xfId="4642" builtinId="8" hidden="1"/>
    <cellStyle name="Hipervínculo" xfId="4644" builtinId="8" hidden="1"/>
    <cellStyle name="Hipervínculo" xfId="4646" builtinId="8" hidden="1"/>
    <cellStyle name="Hipervínculo" xfId="4648" builtinId="8" hidden="1"/>
    <cellStyle name="Hipervínculo" xfId="4650" builtinId="8" hidden="1"/>
    <cellStyle name="Hipervínculo" xfId="4652" builtinId="8" hidden="1"/>
    <cellStyle name="Hipervínculo" xfId="4654" builtinId="8" hidden="1"/>
    <cellStyle name="Hipervínculo" xfId="4656" builtinId="8" hidden="1"/>
    <cellStyle name="Hipervínculo" xfId="4658" builtinId="8" hidden="1"/>
    <cellStyle name="Hipervínculo" xfId="4660" builtinId="8" hidden="1"/>
    <cellStyle name="Hipervínculo" xfId="4662" builtinId="8" hidden="1"/>
    <cellStyle name="Hipervínculo" xfId="4664" builtinId="8" hidden="1"/>
    <cellStyle name="Hipervínculo" xfId="4666" builtinId="8" hidden="1"/>
    <cellStyle name="Hipervínculo" xfId="4668" builtinId="8" hidden="1"/>
    <cellStyle name="Hipervínculo" xfId="4670" builtinId="8" hidden="1"/>
    <cellStyle name="Hipervínculo" xfId="4672" builtinId="8" hidden="1"/>
    <cellStyle name="Hipervínculo" xfId="4674" builtinId="8" hidden="1"/>
    <cellStyle name="Hipervínculo" xfId="4676" builtinId="8" hidden="1"/>
    <cellStyle name="Hipervínculo" xfId="4678" builtinId="8" hidden="1"/>
    <cellStyle name="Hipervínculo" xfId="4680" builtinId="8" hidden="1"/>
    <cellStyle name="Hipervínculo" xfId="4682" builtinId="8" hidden="1"/>
    <cellStyle name="Hipervínculo" xfId="4684" builtinId="8" hidden="1"/>
    <cellStyle name="Hipervínculo" xfId="4686" builtinId="8" hidden="1"/>
    <cellStyle name="Hipervínculo" xfId="4688" builtinId="8" hidden="1"/>
    <cellStyle name="Hipervínculo" xfId="4690" builtinId="8" hidden="1"/>
    <cellStyle name="Hipervínculo" xfId="4692" builtinId="8" hidden="1"/>
    <cellStyle name="Hipervínculo" xfId="4694" builtinId="8" hidden="1"/>
    <cellStyle name="Hipervínculo" xfId="4696" builtinId="8" hidden="1"/>
    <cellStyle name="Hipervínculo" xfId="4698" builtinId="8" hidden="1"/>
    <cellStyle name="Hipervínculo" xfId="4700" builtinId="8" hidden="1"/>
    <cellStyle name="Hipervínculo" xfId="4702" builtinId="8" hidden="1"/>
    <cellStyle name="Hipervínculo" xfId="4704" builtinId="8" hidden="1"/>
    <cellStyle name="Hipervínculo" xfId="4706" builtinId="8" hidden="1"/>
    <cellStyle name="Hipervínculo" xfId="4708" builtinId="8" hidden="1"/>
    <cellStyle name="Hipervínculo" xfId="4710" builtinId="8" hidden="1"/>
    <cellStyle name="Hipervínculo" xfId="4712" builtinId="8" hidden="1"/>
    <cellStyle name="Hipervínculo" xfId="4714" builtinId="8" hidden="1"/>
    <cellStyle name="Hipervínculo" xfId="4716" builtinId="8" hidden="1"/>
    <cellStyle name="Hipervínculo" xfId="4718" builtinId="8" hidden="1"/>
    <cellStyle name="Hipervínculo" xfId="4720" builtinId="8" hidden="1"/>
    <cellStyle name="Hipervínculo" xfId="4722" builtinId="8" hidden="1"/>
    <cellStyle name="Hipervínculo" xfId="4724" builtinId="8" hidden="1"/>
    <cellStyle name="Hipervínculo" xfId="4726" builtinId="8" hidden="1"/>
    <cellStyle name="Hipervínculo" xfId="4728" builtinId="8" hidden="1"/>
    <cellStyle name="Hipervínculo" xfId="4730" builtinId="8" hidden="1"/>
    <cellStyle name="Hipervínculo" xfId="4732" builtinId="8" hidden="1"/>
    <cellStyle name="Hipervínculo" xfId="4734" builtinId="8" hidden="1"/>
    <cellStyle name="Hipervínculo" xfId="4736" builtinId="8" hidden="1"/>
    <cellStyle name="Hipervínculo" xfId="4738" builtinId="8" hidden="1"/>
    <cellStyle name="Hipervínculo" xfId="4740" builtinId="8" hidden="1"/>
    <cellStyle name="Hipervínculo" xfId="4742" builtinId="8" hidden="1"/>
    <cellStyle name="Hipervínculo" xfId="4744" builtinId="8" hidden="1"/>
    <cellStyle name="Hipervínculo" xfId="4746" builtinId="8" hidden="1"/>
    <cellStyle name="Hipervínculo" xfId="4748" builtinId="8" hidden="1"/>
    <cellStyle name="Hipervínculo" xfId="4750" builtinId="8" hidden="1"/>
    <cellStyle name="Hipervínculo" xfId="4752" builtinId="8" hidden="1"/>
    <cellStyle name="Hipervínculo" xfId="4754" builtinId="8" hidden="1"/>
    <cellStyle name="Hipervínculo" xfId="4756" builtinId="8" hidden="1"/>
    <cellStyle name="Hipervínculo" xfId="4758" builtinId="8" hidden="1"/>
    <cellStyle name="Hipervínculo" xfId="4760" builtinId="8" hidden="1"/>
    <cellStyle name="Hipervínculo" xfId="4762" builtinId="8" hidden="1"/>
    <cellStyle name="Hipervínculo" xfId="4764" builtinId="8" hidden="1"/>
    <cellStyle name="Hipervínculo" xfId="4766" builtinId="8" hidden="1"/>
    <cellStyle name="Hipervínculo" xfId="4768" builtinId="8" hidden="1"/>
    <cellStyle name="Hipervínculo" xfId="4770" builtinId="8" hidden="1"/>
    <cellStyle name="Hipervínculo" xfId="4772" builtinId="8" hidden="1"/>
    <cellStyle name="Hipervínculo" xfId="4774" builtinId="8" hidden="1"/>
    <cellStyle name="Hipervínculo" xfId="4776" builtinId="8" hidden="1"/>
    <cellStyle name="Hipervínculo" xfId="4778" builtinId="8" hidden="1"/>
    <cellStyle name="Hipervínculo" xfId="4780" builtinId="8" hidden="1"/>
    <cellStyle name="Hipervínculo" xfId="4782" builtinId="8" hidden="1"/>
    <cellStyle name="Hipervínculo" xfId="4784" builtinId="8" hidden="1"/>
    <cellStyle name="Hipervínculo" xfId="4786" builtinId="8" hidden="1"/>
    <cellStyle name="Hipervínculo" xfId="4788" builtinId="8" hidden="1"/>
    <cellStyle name="Hipervínculo" xfId="4790" builtinId="8" hidden="1"/>
    <cellStyle name="Hipervínculo" xfId="4792" builtinId="8" hidden="1"/>
    <cellStyle name="Hipervínculo" xfId="4794" builtinId="8" hidden="1"/>
    <cellStyle name="Hipervínculo" xfId="4796" builtinId="8" hidden="1"/>
    <cellStyle name="Hipervínculo" xfId="4798" builtinId="8" hidden="1"/>
    <cellStyle name="Hipervínculo" xfId="4800" builtinId="8" hidden="1"/>
    <cellStyle name="Hipervínculo" xfId="4802" builtinId="8" hidden="1"/>
    <cellStyle name="Hipervínculo" xfId="4804" builtinId="8" hidden="1"/>
    <cellStyle name="Hipervínculo" xfId="4806" builtinId="8" hidden="1"/>
    <cellStyle name="Hipervínculo" xfId="4808" builtinId="8" hidden="1"/>
    <cellStyle name="Hipervínculo" xfId="4810" builtinId="8" hidden="1"/>
    <cellStyle name="Hipervínculo" xfId="4812" builtinId="8" hidden="1"/>
    <cellStyle name="Hipervínculo" xfId="4814" builtinId="8" hidden="1"/>
    <cellStyle name="Hipervínculo" xfId="4816" builtinId="8" hidden="1"/>
    <cellStyle name="Hipervínculo" xfId="4818" builtinId="8" hidden="1"/>
    <cellStyle name="Hipervínculo" xfId="4820" builtinId="8" hidden="1"/>
    <cellStyle name="Hipervínculo" xfId="4822" builtinId="8" hidden="1"/>
    <cellStyle name="Hipervínculo" xfId="4824" builtinId="8" hidden="1"/>
    <cellStyle name="Hipervínculo" xfId="4826" builtinId="8" hidden="1"/>
    <cellStyle name="Hipervínculo" xfId="4828" builtinId="8" hidden="1"/>
    <cellStyle name="Hipervínculo" xfId="4830" builtinId="8" hidden="1"/>
    <cellStyle name="Hipervínculo" xfId="4832" builtinId="8" hidden="1"/>
    <cellStyle name="Hipervínculo" xfId="4834" builtinId="8" hidden="1"/>
    <cellStyle name="Hipervínculo" xfId="4836" builtinId="8" hidden="1"/>
    <cellStyle name="Hipervínculo" xfId="4838" builtinId="8" hidden="1"/>
    <cellStyle name="Hipervínculo" xfId="4840" builtinId="8" hidden="1"/>
    <cellStyle name="Hipervínculo" xfId="4842" builtinId="8" hidden="1"/>
    <cellStyle name="Hipervínculo" xfId="4844" builtinId="8" hidden="1"/>
    <cellStyle name="Hipervínculo" xfId="4846" builtinId="8" hidden="1"/>
    <cellStyle name="Hipervínculo" xfId="4848" builtinId="8" hidden="1"/>
    <cellStyle name="Hipervínculo" xfId="4850" builtinId="8" hidden="1"/>
    <cellStyle name="Hipervínculo" xfId="4852" builtinId="8" hidden="1"/>
    <cellStyle name="Hipervínculo" xfId="4854" builtinId="8" hidden="1"/>
    <cellStyle name="Hipervínculo" xfId="4856" builtinId="8" hidden="1"/>
    <cellStyle name="Hipervínculo" xfId="4858" builtinId="8" hidden="1"/>
    <cellStyle name="Hipervínculo" xfId="4860" builtinId="8" hidden="1"/>
    <cellStyle name="Hipervínculo" xfId="4862" builtinId="8" hidden="1"/>
    <cellStyle name="Hipervínculo" xfId="4864" builtinId="8" hidden="1"/>
    <cellStyle name="Hipervínculo" xfId="4866" builtinId="8" hidden="1"/>
    <cellStyle name="Hipervínculo" xfId="4868" builtinId="8" hidden="1"/>
    <cellStyle name="Hipervínculo" xfId="4870" builtinId="8" hidden="1"/>
    <cellStyle name="Hipervínculo" xfId="4872" builtinId="8" hidden="1"/>
    <cellStyle name="Hipervínculo" xfId="4874" builtinId="8" hidden="1"/>
    <cellStyle name="Hipervínculo" xfId="4876" builtinId="8" hidden="1"/>
    <cellStyle name="Hipervínculo" xfId="4878" builtinId="8" hidden="1"/>
    <cellStyle name="Hipervínculo" xfId="4880" builtinId="8" hidden="1"/>
    <cellStyle name="Hipervínculo" xfId="4882" builtinId="8" hidden="1"/>
    <cellStyle name="Hipervínculo" xfId="4884" builtinId="8" hidden="1"/>
    <cellStyle name="Hipervínculo" xfId="4886" builtinId="8" hidden="1"/>
    <cellStyle name="Hipervínculo" xfId="4888" builtinId="8" hidden="1"/>
    <cellStyle name="Hipervínculo" xfId="4890" builtinId="8" hidden="1"/>
    <cellStyle name="Hipervínculo" xfId="4892" builtinId="8" hidden="1"/>
    <cellStyle name="Hipervínculo" xfId="4894" builtinId="8" hidden="1"/>
    <cellStyle name="Hipervínculo" xfId="4896" builtinId="8" hidden="1"/>
    <cellStyle name="Hipervínculo" xfId="4898" builtinId="8" hidden="1"/>
    <cellStyle name="Hipervínculo" xfId="4900" builtinId="8" hidden="1"/>
    <cellStyle name="Hipervínculo" xfId="4902" builtinId="8" hidden="1"/>
    <cellStyle name="Hipervínculo" xfId="4904" builtinId="8" hidden="1"/>
    <cellStyle name="Hipervínculo" xfId="4906" builtinId="8" hidden="1"/>
    <cellStyle name="Hipervínculo" xfId="4908" builtinId="8" hidden="1"/>
    <cellStyle name="Hipervínculo" xfId="4910" builtinId="8" hidden="1"/>
    <cellStyle name="Hipervínculo" xfId="4912" builtinId="8" hidden="1"/>
    <cellStyle name="Hipervínculo" xfId="4914" builtinId="8" hidden="1"/>
    <cellStyle name="Hipervínculo" xfId="4916" builtinId="8" hidden="1"/>
    <cellStyle name="Hipervínculo" xfId="4918" builtinId="8" hidden="1"/>
    <cellStyle name="Hipervínculo" xfId="4920" builtinId="8" hidden="1"/>
    <cellStyle name="Hipervínculo" xfId="4922" builtinId="8" hidden="1"/>
    <cellStyle name="Hipervínculo" xfId="4924" builtinId="8" hidden="1"/>
    <cellStyle name="Hipervínculo" xfId="4926" builtinId="8" hidden="1"/>
    <cellStyle name="Hipervínculo" xfId="4928" builtinId="8" hidden="1"/>
    <cellStyle name="Hipervínculo" xfId="4930" builtinId="8" hidden="1"/>
    <cellStyle name="Hipervínculo" xfId="4932" builtinId="8" hidden="1"/>
    <cellStyle name="Hipervínculo" xfId="4934" builtinId="8" hidden="1"/>
    <cellStyle name="Hipervínculo" xfId="4936" builtinId="8" hidden="1"/>
    <cellStyle name="Hipervínculo" xfId="4938" builtinId="8" hidden="1"/>
    <cellStyle name="Hipervínculo" xfId="4940" builtinId="8" hidden="1"/>
    <cellStyle name="Hipervínculo" xfId="4942" builtinId="8" hidden="1"/>
    <cellStyle name="Hipervínculo" xfId="4944" builtinId="8" hidden="1"/>
    <cellStyle name="Hipervínculo" xfId="4946" builtinId="8" hidden="1"/>
    <cellStyle name="Hipervínculo" xfId="4948" builtinId="8" hidden="1"/>
    <cellStyle name="Hipervínculo" xfId="4950" builtinId="8" hidden="1"/>
    <cellStyle name="Hipervínculo" xfId="4952" builtinId="8" hidden="1"/>
    <cellStyle name="Hipervínculo" xfId="4954" builtinId="8" hidden="1"/>
    <cellStyle name="Hipervínculo" xfId="4956" builtinId="8" hidden="1"/>
    <cellStyle name="Hipervínculo" xfId="4958" builtinId="8" hidden="1"/>
    <cellStyle name="Hipervínculo" xfId="4960" builtinId="8" hidden="1"/>
    <cellStyle name="Hipervínculo" xfId="4962" builtinId="8" hidden="1"/>
    <cellStyle name="Hipervínculo" xfId="4964" builtinId="8" hidden="1"/>
    <cellStyle name="Hipervínculo" xfId="4966" builtinId="8" hidden="1"/>
    <cellStyle name="Hipervínculo" xfId="4968" builtinId="8" hidden="1"/>
    <cellStyle name="Hipervínculo" xfId="4970" builtinId="8" hidden="1"/>
    <cellStyle name="Hipervínculo" xfId="4972" builtinId="8" hidden="1"/>
    <cellStyle name="Hipervínculo" xfId="4974" builtinId="8" hidden="1"/>
    <cellStyle name="Hipervínculo" xfId="4976" builtinId="8" hidden="1"/>
    <cellStyle name="Hipervínculo" xfId="4978" builtinId="8" hidden="1"/>
    <cellStyle name="Hipervínculo" xfId="4980" builtinId="8" hidden="1"/>
    <cellStyle name="Hipervínculo" xfId="4982" builtinId="8" hidden="1"/>
    <cellStyle name="Hipervínculo" xfId="4984" builtinId="8" hidden="1"/>
    <cellStyle name="Hipervínculo" xfId="4986" builtinId="8" hidden="1"/>
    <cellStyle name="Hipervínculo" xfId="4988" builtinId="8" hidden="1"/>
    <cellStyle name="Hipervínculo" xfId="4990" builtinId="8" hidden="1"/>
    <cellStyle name="Hipervínculo" xfId="4992" builtinId="8" hidden="1"/>
    <cellStyle name="Hipervínculo" xfId="4994" builtinId="8" hidden="1"/>
    <cellStyle name="Hipervínculo" xfId="4996" builtinId="8" hidden="1"/>
    <cellStyle name="Hipervínculo" xfId="4998" builtinId="8" hidden="1"/>
    <cellStyle name="Hipervínculo" xfId="5000" builtinId="8" hidden="1"/>
    <cellStyle name="Hipervínculo" xfId="5002" builtinId="8" hidden="1"/>
    <cellStyle name="Hipervínculo" xfId="5004" builtinId="8" hidden="1"/>
    <cellStyle name="Hipervínculo" xfId="5006" builtinId="8" hidden="1"/>
    <cellStyle name="Hipervínculo" xfId="5008" builtinId="8" hidden="1"/>
    <cellStyle name="Hipervínculo" xfId="5010" builtinId="8" hidden="1"/>
    <cellStyle name="Hipervínculo" xfId="5012" builtinId="8" hidden="1"/>
    <cellStyle name="Hipervínculo" xfId="5014" builtinId="8" hidden="1"/>
    <cellStyle name="Hipervínculo" xfId="5016" builtinId="8" hidden="1"/>
    <cellStyle name="Hipervínculo" xfId="5018" builtinId="8" hidden="1"/>
    <cellStyle name="Hipervínculo" xfId="5020" builtinId="8" hidden="1"/>
    <cellStyle name="Hipervínculo" xfId="5022" builtinId="8" hidden="1"/>
    <cellStyle name="Hipervínculo" xfId="5024" builtinId="8" hidden="1"/>
    <cellStyle name="Hipervínculo" xfId="5026" builtinId="8" hidden="1"/>
    <cellStyle name="Hipervínculo" xfId="5028" builtinId="8" hidden="1"/>
    <cellStyle name="Hipervínculo" xfId="5030" builtinId="8" hidden="1"/>
    <cellStyle name="Hipervínculo" xfId="5032" builtinId="8" hidden="1"/>
    <cellStyle name="Hipervínculo" xfId="5034" builtinId="8" hidden="1"/>
    <cellStyle name="Hipervínculo" xfId="5036" builtinId="8" hidden="1"/>
    <cellStyle name="Hipervínculo" xfId="5038" builtinId="8" hidden="1"/>
    <cellStyle name="Hipervínculo" xfId="5040" builtinId="8" hidden="1"/>
    <cellStyle name="Hipervínculo" xfId="5042" builtinId="8" hidden="1"/>
    <cellStyle name="Hipervínculo" xfId="5044" builtinId="8" hidden="1"/>
    <cellStyle name="Hipervínculo" xfId="5046" builtinId="8" hidden="1"/>
    <cellStyle name="Hipervínculo" xfId="5048" builtinId="8" hidden="1"/>
    <cellStyle name="Hipervínculo" xfId="5050" builtinId="8" hidden="1"/>
    <cellStyle name="Hipervínculo" xfId="5052" builtinId="8" hidden="1"/>
    <cellStyle name="Hipervínculo" xfId="5054" builtinId="8" hidden="1"/>
    <cellStyle name="Hipervínculo" xfId="5056" builtinId="8" hidden="1"/>
    <cellStyle name="Hipervínculo" xfId="5058" builtinId="8" hidden="1"/>
    <cellStyle name="Hipervínculo" xfId="5060" builtinId="8" hidden="1"/>
    <cellStyle name="Hipervínculo" xfId="5062" builtinId="8" hidden="1"/>
    <cellStyle name="Hipervínculo" xfId="5064" builtinId="8" hidden="1"/>
    <cellStyle name="Hipervínculo" xfId="5066" builtinId="8" hidden="1"/>
    <cellStyle name="Hipervínculo" xfId="5068" builtinId="8" hidden="1"/>
    <cellStyle name="Hipervínculo" xfId="5070" builtinId="8" hidden="1"/>
    <cellStyle name="Hipervínculo" xfId="5072" builtinId="8" hidden="1"/>
    <cellStyle name="Hipervínculo" xfId="5074" builtinId="8" hidden="1"/>
    <cellStyle name="Hipervínculo" xfId="5076" builtinId="8" hidden="1"/>
    <cellStyle name="Hipervínculo" xfId="5078" builtinId="8" hidden="1"/>
    <cellStyle name="Hipervínculo" xfId="5080" builtinId="8" hidden="1"/>
    <cellStyle name="Hipervínculo" xfId="5082" builtinId="8" hidden="1"/>
    <cellStyle name="Hipervínculo" xfId="5084" builtinId="8" hidden="1"/>
    <cellStyle name="Hipervínculo" xfId="5086" builtinId="8" hidden="1"/>
    <cellStyle name="Hipervínculo" xfId="5088" builtinId="8" hidden="1"/>
    <cellStyle name="Hipervínculo" xfId="5090" builtinId="8" hidden="1"/>
    <cellStyle name="Hipervínculo" xfId="5092" builtinId="8" hidden="1"/>
    <cellStyle name="Hipervínculo" xfId="5094" builtinId="8" hidden="1"/>
    <cellStyle name="Hipervínculo" xfId="5096" builtinId="8" hidden="1"/>
    <cellStyle name="Hipervínculo" xfId="5098" builtinId="8" hidden="1"/>
    <cellStyle name="Hipervínculo" xfId="5100" builtinId="8" hidden="1"/>
    <cellStyle name="Hipervínculo" xfId="5102" builtinId="8" hidden="1"/>
    <cellStyle name="Hipervínculo" xfId="5104" builtinId="8" hidden="1"/>
    <cellStyle name="Hipervínculo" xfId="5106" builtinId="8" hidden="1"/>
    <cellStyle name="Hipervínculo" xfId="5108" builtinId="8" hidden="1"/>
    <cellStyle name="Hipervínculo" xfId="5110" builtinId="8" hidden="1"/>
    <cellStyle name="Hipervínculo" xfId="5112" builtinId="8" hidden="1"/>
    <cellStyle name="Hipervínculo" xfId="5114" builtinId="8" hidden="1"/>
    <cellStyle name="Hipervínculo" xfId="5116" builtinId="8" hidden="1"/>
    <cellStyle name="Hipervínculo" xfId="5118" builtinId="8" hidden="1"/>
    <cellStyle name="Hipervínculo" xfId="5120" builtinId="8" hidden="1"/>
    <cellStyle name="Hipervínculo" xfId="5122" builtinId="8" hidden="1"/>
    <cellStyle name="Hipervínculo" xfId="5124" builtinId="8" hidden="1"/>
    <cellStyle name="Hipervínculo" xfId="5126" builtinId="8" hidden="1"/>
    <cellStyle name="Hipervínculo" xfId="5128" builtinId="8" hidden="1"/>
    <cellStyle name="Hipervínculo" xfId="5130" builtinId="8" hidden="1"/>
    <cellStyle name="Hipervínculo" xfId="5132" builtinId="8" hidden="1"/>
    <cellStyle name="Hipervínculo" xfId="5134" builtinId="8" hidden="1"/>
    <cellStyle name="Hipervínculo" xfId="5136" builtinId="8" hidden="1"/>
    <cellStyle name="Hipervínculo" xfId="5138" builtinId="8" hidden="1"/>
    <cellStyle name="Hipervínculo" xfId="5140" builtinId="8" hidden="1"/>
    <cellStyle name="Hipervínculo" xfId="5142" builtinId="8" hidden="1"/>
    <cellStyle name="Hipervínculo" xfId="5144" builtinId="8" hidden="1"/>
    <cellStyle name="Hipervínculo" xfId="5146" builtinId="8" hidden="1"/>
    <cellStyle name="Hipervínculo" xfId="5148" builtinId="8" hidden="1"/>
    <cellStyle name="Hipervínculo" xfId="5150" builtinId="8" hidden="1"/>
    <cellStyle name="Hipervínculo" xfId="5152" builtinId="8" hidden="1"/>
    <cellStyle name="Hipervínculo" xfId="5154" builtinId="8" hidden="1"/>
    <cellStyle name="Hipervínculo" xfId="5156" builtinId="8" hidden="1"/>
    <cellStyle name="Hipervínculo" xfId="5158" builtinId="8" hidden="1"/>
    <cellStyle name="Hipervínculo" xfId="5160" builtinId="8" hidden="1"/>
    <cellStyle name="Hipervínculo" xfId="5162" builtinId="8" hidden="1"/>
    <cellStyle name="Hipervínculo" xfId="5164" builtinId="8" hidden="1"/>
    <cellStyle name="Hipervínculo" xfId="5166" builtinId="8" hidden="1"/>
    <cellStyle name="Hipervínculo" xfId="5168" builtinId="8" hidden="1"/>
    <cellStyle name="Hipervínculo" xfId="5170" builtinId="8" hidden="1"/>
    <cellStyle name="Hipervínculo" xfId="5172" builtinId="8" hidden="1"/>
    <cellStyle name="Hipervínculo" xfId="5174" builtinId="8" hidden="1"/>
    <cellStyle name="Hipervínculo" xfId="5176" builtinId="8" hidden="1"/>
    <cellStyle name="Hipervínculo" xfId="5178" builtinId="8" hidden="1"/>
    <cellStyle name="Hipervínculo" xfId="5180" builtinId="8" hidden="1"/>
    <cellStyle name="Hipervínculo" xfId="5182" builtinId="8" hidden="1"/>
    <cellStyle name="Hipervínculo" xfId="5184" builtinId="8" hidden="1"/>
    <cellStyle name="Hipervínculo" xfId="5186" builtinId="8" hidden="1"/>
    <cellStyle name="Hipervínculo" xfId="5188" builtinId="8" hidden="1"/>
    <cellStyle name="Hipervínculo" xfId="5190" builtinId="8" hidden="1"/>
    <cellStyle name="Hipervínculo" xfId="5192" builtinId="8" hidden="1"/>
    <cellStyle name="Hipervínculo" xfId="5194" builtinId="8" hidden="1"/>
    <cellStyle name="Hipervínculo" xfId="5196" builtinId="8" hidden="1"/>
    <cellStyle name="Hipervínculo" xfId="5198" builtinId="8" hidden="1"/>
    <cellStyle name="Hipervínculo" xfId="5200" builtinId="8" hidden="1"/>
    <cellStyle name="Hipervínculo" xfId="5202" builtinId="8" hidden="1"/>
    <cellStyle name="Hipervínculo" xfId="5204" builtinId="8" hidden="1"/>
    <cellStyle name="Hipervínculo" xfId="5206" builtinId="8" hidden="1"/>
    <cellStyle name="Hipervínculo" xfId="5208" builtinId="8" hidden="1"/>
    <cellStyle name="Hipervínculo" xfId="5210" builtinId="8" hidden="1"/>
    <cellStyle name="Hipervínculo" xfId="5212" builtinId="8" hidden="1"/>
    <cellStyle name="Hipervínculo" xfId="5214" builtinId="8" hidden="1"/>
    <cellStyle name="Hipervínculo" xfId="5216" builtinId="8" hidden="1"/>
    <cellStyle name="Hipervínculo" xfId="5218" builtinId="8" hidden="1"/>
    <cellStyle name="Hipervínculo" xfId="5220" builtinId="8" hidden="1"/>
    <cellStyle name="Hipervínculo" xfId="5222" builtinId="8" hidden="1"/>
    <cellStyle name="Hipervínculo" xfId="5224" builtinId="8" hidden="1"/>
    <cellStyle name="Hipervínculo" xfId="5226" builtinId="8" hidden="1"/>
    <cellStyle name="Hipervínculo" xfId="5228" builtinId="8" hidden="1"/>
    <cellStyle name="Hipervínculo" xfId="5230" builtinId="8" hidden="1"/>
    <cellStyle name="Hipervínculo" xfId="5232" builtinId="8" hidden="1"/>
    <cellStyle name="Hipervínculo" xfId="5234" builtinId="8" hidden="1"/>
    <cellStyle name="Hipervínculo" xfId="5236" builtinId="8" hidden="1"/>
    <cellStyle name="Hipervínculo" xfId="5238" builtinId="8" hidden="1"/>
    <cellStyle name="Hipervínculo" xfId="5240" builtinId="8" hidden="1"/>
    <cellStyle name="Hipervínculo" xfId="5242" builtinId="8" hidden="1"/>
    <cellStyle name="Hipervínculo" xfId="5244" builtinId="8" hidden="1"/>
    <cellStyle name="Hipervínculo" xfId="5246" builtinId="8" hidden="1"/>
    <cellStyle name="Hipervínculo" xfId="5248" builtinId="8" hidden="1"/>
    <cellStyle name="Hipervínculo" xfId="5250" builtinId="8" hidden="1"/>
    <cellStyle name="Hipervínculo" xfId="5252" builtinId="8" hidden="1"/>
    <cellStyle name="Hipervínculo" xfId="5254" builtinId="8" hidden="1"/>
    <cellStyle name="Hipervínculo" xfId="5256" builtinId="8" hidden="1"/>
    <cellStyle name="Hipervínculo" xfId="5258" builtinId="8" hidden="1"/>
    <cellStyle name="Hipervínculo" xfId="5260" builtinId="8" hidden="1"/>
    <cellStyle name="Hipervínculo" xfId="5262" builtinId="8" hidden="1"/>
    <cellStyle name="Hipervínculo" xfId="5264" builtinId="8" hidden="1"/>
    <cellStyle name="Hipervínculo" xfId="5266" builtinId="8" hidden="1"/>
    <cellStyle name="Hipervínculo" xfId="5268" builtinId="8" hidden="1"/>
    <cellStyle name="Hipervínculo" xfId="5270" builtinId="8" hidden="1"/>
    <cellStyle name="Hipervínculo" xfId="5272" builtinId="8" hidden="1"/>
    <cellStyle name="Hipervínculo" xfId="5274" builtinId="8" hidden="1"/>
    <cellStyle name="Hipervínculo" xfId="5276" builtinId="8" hidden="1"/>
    <cellStyle name="Hipervínculo" xfId="5278" builtinId="8" hidden="1"/>
    <cellStyle name="Hipervínculo" xfId="5280" builtinId="8" hidden="1"/>
    <cellStyle name="Hipervínculo" xfId="5282" builtinId="8" hidden="1"/>
    <cellStyle name="Hipervínculo" xfId="5284" builtinId="8" hidden="1"/>
    <cellStyle name="Hipervínculo" xfId="5286" builtinId="8" hidden="1"/>
    <cellStyle name="Hipervínculo" xfId="5288" builtinId="8" hidden="1"/>
    <cellStyle name="Hipervínculo" xfId="5290" builtinId="8" hidden="1"/>
    <cellStyle name="Hipervínculo" xfId="5292" builtinId="8" hidden="1"/>
    <cellStyle name="Hipervínculo" xfId="5294" builtinId="8" hidden="1"/>
    <cellStyle name="Hipervínculo" xfId="5296" builtinId="8" hidden="1"/>
    <cellStyle name="Hipervínculo" xfId="5298" builtinId="8" hidden="1"/>
    <cellStyle name="Hipervínculo" xfId="5300" builtinId="8" hidden="1"/>
    <cellStyle name="Hipervínculo" xfId="5302" builtinId="8" hidden="1"/>
    <cellStyle name="Hipervínculo" xfId="5304" builtinId="8" hidden="1"/>
    <cellStyle name="Hipervínculo" xfId="5306" builtinId="8" hidden="1"/>
    <cellStyle name="Hipervínculo" xfId="5308" builtinId="8" hidden="1"/>
    <cellStyle name="Hipervínculo" xfId="5310" builtinId="8" hidden="1"/>
    <cellStyle name="Hipervínculo" xfId="5312" builtinId="8" hidden="1"/>
    <cellStyle name="Hipervínculo" xfId="5314" builtinId="8" hidden="1"/>
    <cellStyle name="Hipervínculo" xfId="5316" builtinId="8" hidden="1"/>
    <cellStyle name="Hipervínculo" xfId="5318" builtinId="8" hidden="1"/>
    <cellStyle name="Hipervínculo" xfId="5320" builtinId="8" hidden="1"/>
    <cellStyle name="Hipervínculo" xfId="5322" builtinId="8" hidden="1"/>
    <cellStyle name="Hipervínculo" xfId="5324" builtinId="8" hidden="1"/>
    <cellStyle name="Hipervínculo" xfId="5326" builtinId="8" hidden="1"/>
    <cellStyle name="Hipervínculo" xfId="5328" builtinId="8" hidden="1"/>
    <cellStyle name="Hipervínculo" xfId="5330" builtinId="8" hidden="1"/>
    <cellStyle name="Hipervínculo" xfId="5332" builtinId="8" hidden="1"/>
    <cellStyle name="Hipervínculo" xfId="5334" builtinId="8" hidden="1"/>
    <cellStyle name="Hipervínculo" xfId="5336" builtinId="8" hidden="1"/>
    <cellStyle name="Hipervínculo" xfId="5338" builtinId="8" hidden="1"/>
    <cellStyle name="Hipervínculo" xfId="5340" builtinId="8" hidden="1"/>
    <cellStyle name="Hipervínculo" xfId="5342" builtinId="8" hidden="1"/>
    <cellStyle name="Hipervínculo" xfId="5344" builtinId="8" hidden="1"/>
    <cellStyle name="Hipervínculo" xfId="5346" builtinId="8" hidden="1"/>
    <cellStyle name="Hipervínculo" xfId="5348" builtinId="8" hidden="1"/>
    <cellStyle name="Hipervínculo" xfId="5350" builtinId="8" hidden="1"/>
    <cellStyle name="Hipervínculo" xfId="5352" builtinId="8" hidden="1"/>
    <cellStyle name="Hipervínculo" xfId="5354" builtinId="8" hidden="1"/>
    <cellStyle name="Hipervínculo" xfId="5356" builtinId="8" hidden="1"/>
    <cellStyle name="Hipervínculo" xfId="5358" builtinId="8" hidden="1"/>
    <cellStyle name="Hipervínculo" xfId="5360" builtinId="8" hidden="1"/>
    <cellStyle name="Hipervínculo" xfId="5362" builtinId="8" hidden="1"/>
    <cellStyle name="Hipervínculo" xfId="5364" builtinId="8" hidden="1"/>
    <cellStyle name="Hipervínculo" xfId="5366" builtinId="8" hidden="1"/>
    <cellStyle name="Hipervínculo" xfId="5368" builtinId="8" hidden="1"/>
    <cellStyle name="Hipervínculo" xfId="5370" builtinId="8" hidden="1"/>
    <cellStyle name="Hipervínculo" xfId="5372" builtinId="8" hidden="1"/>
    <cellStyle name="Hipervínculo" xfId="5374" builtinId="8" hidden="1"/>
    <cellStyle name="Hipervínculo" xfId="5376" builtinId="8" hidden="1"/>
    <cellStyle name="Hipervínculo" xfId="5378" builtinId="8" hidden="1"/>
    <cellStyle name="Hipervínculo" xfId="5380" builtinId="8" hidden="1"/>
    <cellStyle name="Hipervínculo" xfId="5382" builtinId="8" hidden="1"/>
    <cellStyle name="Hipervínculo" xfId="5384" builtinId="8" hidden="1"/>
    <cellStyle name="Hipervínculo" xfId="5386" builtinId="8" hidden="1"/>
    <cellStyle name="Hipervínculo" xfId="5388" builtinId="8" hidden="1"/>
    <cellStyle name="Hipervínculo" xfId="5390" builtinId="8" hidden="1"/>
    <cellStyle name="Hipervínculo" xfId="5392" builtinId="8" hidden="1"/>
    <cellStyle name="Hipervínculo" xfId="5394" builtinId="8" hidden="1"/>
    <cellStyle name="Hipervínculo" xfId="5396" builtinId="8" hidden="1"/>
    <cellStyle name="Hipervínculo" xfId="5398" builtinId="8" hidden="1"/>
    <cellStyle name="Hipervínculo" xfId="5400" builtinId="8" hidden="1"/>
    <cellStyle name="Hipervínculo" xfId="5402" builtinId="8" hidden="1"/>
    <cellStyle name="Hipervínculo" xfId="5404" builtinId="8" hidden="1"/>
    <cellStyle name="Hipervínculo" xfId="5406" builtinId="8" hidden="1"/>
    <cellStyle name="Hipervínculo" xfId="5408" builtinId="8" hidden="1"/>
    <cellStyle name="Hipervínculo" xfId="5410" builtinId="8" hidden="1"/>
    <cellStyle name="Hipervínculo" xfId="5412" builtinId="8" hidden="1"/>
    <cellStyle name="Hipervínculo" xfId="5414" builtinId="8" hidden="1"/>
    <cellStyle name="Hipervínculo" xfId="5416" builtinId="8" hidden="1"/>
    <cellStyle name="Hipervínculo" xfId="5418" builtinId="8" hidden="1"/>
    <cellStyle name="Hipervínculo" xfId="5420" builtinId="8" hidden="1"/>
    <cellStyle name="Hipervínculo" xfId="5422" builtinId="8" hidden="1"/>
    <cellStyle name="Hipervínculo" xfId="5424" builtinId="8" hidden="1"/>
    <cellStyle name="Hipervínculo" xfId="5426" builtinId="8" hidden="1"/>
    <cellStyle name="Hipervínculo" xfId="5428" builtinId="8" hidden="1"/>
    <cellStyle name="Hipervínculo" xfId="5430" builtinId="8" hidden="1"/>
    <cellStyle name="Hipervínculo" xfId="5432" builtinId="8" hidden="1"/>
    <cellStyle name="Hipervínculo" xfId="5434" builtinId="8" hidden="1"/>
    <cellStyle name="Hipervínculo" xfId="5436" builtinId="8" hidden="1"/>
    <cellStyle name="Hipervínculo" xfId="5438" builtinId="8" hidden="1"/>
    <cellStyle name="Hipervínculo" xfId="5440" builtinId="8" hidden="1"/>
    <cellStyle name="Hipervínculo" xfId="5442" builtinId="8" hidden="1"/>
    <cellStyle name="Hipervínculo" xfId="5444" builtinId="8" hidden="1"/>
    <cellStyle name="Hipervínculo" xfId="5446" builtinId="8" hidden="1"/>
    <cellStyle name="Hipervínculo" xfId="5448" builtinId="8" hidden="1"/>
    <cellStyle name="Hipervínculo" xfId="5450" builtinId="8" hidden="1"/>
    <cellStyle name="Hipervínculo" xfId="5452" builtinId="8" hidden="1"/>
    <cellStyle name="Hipervínculo" xfId="5454" builtinId="8" hidden="1"/>
    <cellStyle name="Hipervínculo" xfId="5456" builtinId="8" hidden="1"/>
    <cellStyle name="Hipervínculo" xfId="5458" builtinId="8" hidden="1"/>
    <cellStyle name="Hipervínculo" xfId="5460" builtinId="8" hidden="1"/>
    <cellStyle name="Hipervínculo" xfId="5462" builtinId="8" hidden="1"/>
    <cellStyle name="Hipervínculo" xfId="5464" builtinId="8" hidden="1"/>
    <cellStyle name="Hipervínculo" xfId="5466" builtinId="8" hidden="1"/>
    <cellStyle name="Hipervínculo" xfId="5468" builtinId="8" hidden="1"/>
    <cellStyle name="Hipervínculo" xfId="5470" builtinId="8" hidden="1"/>
    <cellStyle name="Hipervínculo" xfId="5472" builtinId="8" hidden="1"/>
    <cellStyle name="Hipervínculo" xfId="5474" builtinId="8" hidden="1"/>
    <cellStyle name="Hipervínculo" xfId="5476" builtinId="8" hidden="1"/>
    <cellStyle name="Hipervínculo" xfId="5478" builtinId="8" hidden="1"/>
    <cellStyle name="Hipervínculo" xfId="5480" builtinId="8" hidden="1"/>
    <cellStyle name="Hipervínculo" xfId="5482" builtinId="8" hidden="1"/>
    <cellStyle name="Hipervínculo" xfId="5484" builtinId="8" hidden="1"/>
    <cellStyle name="Hipervínculo" xfId="5486" builtinId="8" hidden="1"/>
    <cellStyle name="Hipervínculo" xfId="5488" builtinId="8" hidden="1"/>
    <cellStyle name="Hipervínculo" xfId="5490" builtinId="8" hidden="1"/>
    <cellStyle name="Hipervínculo" xfId="5492" builtinId="8" hidden="1"/>
    <cellStyle name="Hipervínculo" xfId="5494" builtinId="8" hidden="1"/>
    <cellStyle name="Hipervínculo" xfId="5496" builtinId="8" hidden="1"/>
    <cellStyle name="Hipervínculo" xfId="5498" builtinId="8" hidden="1"/>
    <cellStyle name="Hipervínculo" xfId="5500" builtinId="8" hidden="1"/>
    <cellStyle name="Hipervínculo" xfId="5502" builtinId="8" hidden="1"/>
    <cellStyle name="Hipervínculo" xfId="5504" builtinId="8" hidden="1"/>
    <cellStyle name="Hipervínculo" xfId="5506" builtinId="8" hidden="1"/>
    <cellStyle name="Hipervínculo" xfId="5508" builtinId="8" hidden="1"/>
    <cellStyle name="Hipervínculo" xfId="5510" builtinId="8" hidden="1"/>
    <cellStyle name="Hipervínculo" xfId="5512" builtinId="8" hidden="1"/>
    <cellStyle name="Hipervínculo" xfId="5514" builtinId="8" hidden="1"/>
    <cellStyle name="Hipervínculo" xfId="5516" builtinId="8" hidden="1"/>
    <cellStyle name="Hipervínculo" xfId="5518" builtinId="8" hidden="1"/>
    <cellStyle name="Hipervínculo" xfId="5520" builtinId="8" hidden="1"/>
    <cellStyle name="Hipervínculo" xfId="5522" builtinId="8" hidden="1"/>
    <cellStyle name="Hipervínculo" xfId="5524" builtinId="8" hidden="1"/>
    <cellStyle name="Hipervínculo" xfId="5526" builtinId="8" hidden="1"/>
    <cellStyle name="Hipervínculo" xfId="5528" builtinId="8" hidden="1"/>
    <cellStyle name="Hipervínculo" xfId="5530" builtinId="8" hidden="1"/>
    <cellStyle name="Hipervínculo" xfId="5532" builtinId="8" hidden="1"/>
    <cellStyle name="Hipervínculo" xfId="5534" builtinId="8" hidden="1"/>
    <cellStyle name="Hipervínculo" xfId="5536" builtinId="8" hidden="1"/>
    <cellStyle name="Hipervínculo" xfId="5538" builtinId="8" hidden="1"/>
    <cellStyle name="Hipervínculo" xfId="5540" builtinId="8" hidden="1"/>
    <cellStyle name="Hipervínculo" xfId="5542" builtinId="8" hidden="1"/>
    <cellStyle name="Hipervínculo" xfId="5544" builtinId="8" hidden="1"/>
    <cellStyle name="Hipervínculo" xfId="5546" builtinId="8" hidden="1"/>
    <cellStyle name="Hipervínculo" xfId="5548" builtinId="8" hidden="1"/>
    <cellStyle name="Hipervínculo" xfId="5550" builtinId="8" hidden="1"/>
    <cellStyle name="Hipervínculo" xfId="5552" builtinId="8" hidden="1"/>
    <cellStyle name="Hipervínculo" xfId="5554" builtinId="8" hidden="1"/>
    <cellStyle name="Hipervínculo" xfId="5556" builtinId="8" hidden="1"/>
    <cellStyle name="Hipervínculo" xfId="5558" builtinId="8" hidden="1"/>
    <cellStyle name="Hipervínculo" xfId="5560" builtinId="8" hidden="1"/>
    <cellStyle name="Hipervínculo" xfId="5562" builtinId="8" hidden="1"/>
    <cellStyle name="Hipervínculo" xfId="5564" builtinId="8" hidden="1"/>
    <cellStyle name="Hipervínculo" xfId="5566" builtinId="8" hidden="1"/>
    <cellStyle name="Hipervínculo" xfId="5568" builtinId="8" hidden="1"/>
    <cellStyle name="Hipervínculo" xfId="5570" builtinId="8" hidden="1"/>
    <cellStyle name="Hipervínculo" xfId="5572" builtinId="8" hidden="1"/>
    <cellStyle name="Hipervínculo" xfId="5574" builtinId="8" hidden="1"/>
    <cellStyle name="Hipervínculo" xfId="5576" builtinId="8" hidden="1"/>
    <cellStyle name="Hipervínculo" xfId="5578" builtinId="8" hidden="1"/>
    <cellStyle name="Hipervínculo" xfId="5580" builtinId="8" hidden="1"/>
    <cellStyle name="Hipervínculo" xfId="5582" builtinId="8" hidden="1"/>
    <cellStyle name="Hipervínculo" xfId="5584" builtinId="8" hidden="1"/>
    <cellStyle name="Hipervínculo" xfId="5586" builtinId="8" hidden="1"/>
    <cellStyle name="Hipervínculo" xfId="5588" builtinId="8" hidden="1"/>
    <cellStyle name="Hipervínculo" xfId="5590" builtinId="8" hidden="1"/>
    <cellStyle name="Hipervínculo" xfId="5592" builtinId="8" hidden="1"/>
    <cellStyle name="Hipervínculo" xfId="5594" builtinId="8" hidden="1"/>
    <cellStyle name="Hipervínculo" xfId="5596" builtinId="8" hidden="1"/>
    <cellStyle name="Hipervínculo" xfId="5598" builtinId="8" hidden="1"/>
    <cellStyle name="Hipervínculo" xfId="5600" builtinId="8" hidden="1"/>
    <cellStyle name="Hipervínculo" xfId="5602" builtinId="8" hidden="1"/>
    <cellStyle name="Hipervínculo" xfId="5604" builtinId="8" hidden="1"/>
    <cellStyle name="Hipervínculo" xfId="5606" builtinId="8" hidden="1"/>
    <cellStyle name="Hipervínculo" xfId="5608" builtinId="8" hidden="1"/>
    <cellStyle name="Hipervínculo" xfId="5610" builtinId="8" hidden="1"/>
    <cellStyle name="Hipervínculo" xfId="5612" builtinId="8" hidden="1"/>
    <cellStyle name="Hipervínculo" xfId="5614" builtinId="8" hidden="1"/>
    <cellStyle name="Hipervínculo" xfId="5616" builtinId="8" hidden="1"/>
    <cellStyle name="Hipervínculo" xfId="5618" builtinId="8" hidden="1"/>
    <cellStyle name="Hipervínculo" xfId="5620" builtinId="8" hidden="1"/>
    <cellStyle name="Hipervínculo" xfId="5622" builtinId="8" hidden="1"/>
    <cellStyle name="Hipervínculo" xfId="5624" builtinId="8" hidden="1"/>
    <cellStyle name="Hipervínculo" xfId="5626" builtinId="8" hidden="1"/>
    <cellStyle name="Hipervínculo" xfId="5628" builtinId="8" hidden="1"/>
    <cellStyle name="Hipervínculo" xfId="5630" builtinId="8" hidden="1"/>
    <cellStyle name="Hipervínculo" xfId="5632" builtinId="8" hidden="1"/>
    <cellStyle name="Hipervínculo" xfId="5634" builtinId="8" hidden="1"/>
    <cellStyle name="Hipervínculo" xfId="5636" builtinId="8" hidden="1"/>
    <cellStyle name="Hipervínculo" xfId="5638" builtinId="8" hidden="1"/>
    <cellStyle name="Hipervínculo" xfId="5640" builtinId="8" hidden="1"/>
    <cellStyle name="Hipervínculo" xfId="5642" builtinId="8" hidden="1"/>
    <cellStyle name="Hipervínculo" xfId="5644" builtinId="8" hidden="1"/>
    <cellStyle name="Hipervínculo" xfId="5646" builtinId="8" hidden="1"/>
    <cellStyle name="Hipervínculo" xfId="5648" builtinId="8" hidden="1"/>
    <cellStyle name="Hipervínculo" xfId="5650" builtinId="8" hidden="1"/>
    <cellStyle name="Hipervínculo" xfId="5652" builtinId="8" hidden="1"/>
    <cellStyle name="Hipervínculo" xfId="5654" builtinId="8" hidden="1"/>
    <cellStyle name="Hipervínculo" xfId="5656" builtinId="8" hidden="1"/>
    <cellStyle name="Hipervínculo" xfId="5658" builtinId="8" hidden="1"/>
    <cellStyle name="Hipervínculo" xfId="5660" builtinId="8" hidden="1"/>
    <cellStyle name="Hipervínculo" xfId="5662" builtinId="8" hidden="1"/>
    <cellStyle name="Hipervínculo" xfId="5664" builtinId="8" hidden="1"/>
    <cellStyle name="Hipervínculo" xfId="5666" builtinId="8" hidden="1"/>
    <cellStyle name="Hipervínculo" xfId="5668" builtinId="8" hidden="1"/>
    <cellStyle name="Hipervínculo" xfId="5670" builtinId="8" hidden="1"/>
    <cellStyle name="Hipervínculo" xfId="5672" builtinId="8" hidden="1"/>
    <cellStyle name="Hipervínculo" xfId="5674" builtinId="8" hidden="1"/>
    <cellStyle name="Hipervínculo" xfId="5676" builtinId="8" hidden="1"/>
    <cellStyle name="Hipervínculo" xfId="5678" builtinId="8" hidden="1"/>
    <cellStyle name="Hipervínculo" xfId="5680" builtinId="8" hidden="1"/>
    <cellStyle name="Hipervínculo" xfId="5682" builtinId="8" hidden="1"/>
    <cellStyle name="Hipervínculo" xfId="5684" builtinId="8" hidden="1"/>
    <cellStyle name="Hipervínculo" xfId="5686" builtinId="8" hidden="1"/>
    <cellStyle name="Hipervínculo" xfId="5688" builtinId="8" hidden="1"/>
    <cellStyle name="Hipervínculo" xfId="5690" builtinId="8" hidden="1"/>
    <cellStyle name="Hipervínculo" xfId="5692" builtinId="8" hidden="1"/>
    <cellStyle name="Hipervínculo" xfId="5694" builtinId="8" hidden="1"/>
    <cellStyle name="Hipervínculo" xfId="5696" builtinId="8" hidden="1"/>
    <cellStyle name="Hipervínculo" xfId="5698" builtinId="8" hidden="1"/>
    <cellStyle name="Hipervínculo" xfId="5700" builtinId="8" hidden="1"/>
    <cellStyle name="Hipervínculo" xfId="5702" builtinId="8" hidden="1"/>
    <cellStyle name="Hipervínculo" xfId="5704" builtinId="8" hidden="1"/>
    <cellStyle name="Hipervínculo" xfId="5706" builtinId="8" hidden="1"/>
    <cellStyle name="Hipervínculo" xfId="5708" builtinId="8" hidden="1"/>
    <cellStyle name="Hipervínculo" xfId="5710" builtinId="8" hidden="1"/>
    <cellStyle name="Hipervínculo" xfId="5712" builtinId="8" hidden="1"/>
    <cellStyle name="Hipervínculo" xfId="5714" builtinId="8" hidden="1"/>
    <cellStyle name="Hipervínculo" xfId="5716" builtinId="8" hidden="1"/>
    <cellStyle name="Hipervínculo" xfId="5718" builtinId="8" hidden="1"/>
    <cellStyle name="Hipervínculo" xfId="5720" builtinId="8" hidden="1"/>
    <cellStyle name="Hipervínculo" xfId="5722" builtinId="8" hidden="1"/>
    <cellStyle name="Hipervínculo" xfId="5724" builtinId="8" hidden="1"/>
    <cellStyle name="Hipervínculo" xfId="5726" builtinId="8" hidden="1"/>
    <cellStyle name="Hipervínculo" xfId="5728" builtinId="8" hidden="1"/>
    <cellStyle name="Hipervínculo" xfId="5730" builtinId="8" hidden="1"/>
    <cellStyle name="Hipervínculo" xfId="5732" builtinId="8" hidden="1"/>
    <cellStyle name="Hipervínculo" xfId="5734" builtinId="8" hidden="1"/>
    <cellStyle name="Hipervínculo" xfId="5736" builtinId="8" hidden="1"/>
    <cellStyle name="Hipervínculo" xfId="5738" builtinId="8" hidden="1"/>
    <cellStyle name="Hipervínculo" xfId="5740" builtinId="8" hidden="1"/>
    <cellStyle name="Hipervínculo" xfId="5742" builtinId="8" hidden="1"/>
    <cellStyle name="Hipervínculo" xfId="5744" builtinId="8" hidden="1"/>
    <cellStyle name="Hipervínculo" xfId="5746" builtinId="8" hidden="1"/>
    <cellStyle name="Hipervínculo" xfId="5748" builtinId="8" hidden="1"/>
    <cellStyle name="Hipervínculo" xfId="5750" builtinId="8" hidden="1"/>
    <cellStyle name="Hipervínculo" xfId="5752" builtinId="8" hidden="1"/>
    <cellStyle name="Hipervínculo" xfId="5754" builtinId="8" hidden="1"/>
    <cellStyle name="Hipervínculo" xfId="5756" builtinId="8" hidden="1"/>
    <cellStyle name="Hipervínculo" xfId="5758" builtinId="8" hidden="1"/>
    <cellStyle name="Hipervínculo" xfId="5760" builtinId="8" hidden="1"/>
    <cellStyle name="Hipervínculo" xfId="5762" builtinId="8" hidden="1"/>
    <cellStyle name="Hipervínculo" xfId="5764" builtinId="8" hidden="1"/>
    <cellStyle name="Hipervínculo" xfId="5766" builtinId="8" hidden="1"/>
    <cellStyle name="Hipervínculo" xfId="5768" builtinId="8" hidden="1"/>
    <cellStyle name="Hipervínculo" xfId="5770" builtinId="8" hidden="1"/>
    <cellStyle name="Hipervínculo" xfId="5772" builtinId="8" hidden="1"/>
    <cellStyle name="Hipervínculo" xfId="5774" builtinId="8" hidden="1"/>
    <cellStyle name="Hipervínculo" xfId="5776" builtinId="8" hidden="1"/>
    <cellStyle name="Hipervínculo" xfId="5778" builtinId="8" hidden="1"/>
    <cellStyle name="Hipervínculo" xfId="5780" builtinId="8" hidden="1"/>
    <cellStyle name="Hipervínculo" xfId="5782" builtinId="8" hidden="1"/>
    <cellStyle name="Hipervínculo" xfId="5784" builtinId="8" hidden="1"/>
    <cellStyle name="Hipervínculo" xfId="5786" builtinId="8" hidden="1"/>
    <cellStyle name="Hipervínculo" xfId="5788" builtinId="8" hidden="1"/>
    <cellStyle name="Hipervínculo" xfId="5790" builtinId="8" hidden="1"/>
    <cellStyle name="Hipervínculo" xfId="5792" builtinId="8" hidden="1"/>
    <cellStyle name="Hipervínculo" xfId="5794" builtinId="8" hidden="1"/>
    <cellStyle name="Hipervínculo" xfId="5796" builtinId="8" hidden="1"/>
    <cellStyle name="Hipervínculo" xfId="5798" builtinId="8" hidden="1"/>
    <cellStyle name="Hipervínculo" xfId="5800" builtinId="8" hidden="1"/>
    <cellStyle name="Hipervínculo" xfId="5802" builtinId="8" hidden="1"/>
    <cellStyle name="Hipervínculo" xfId="5804" builtinId="8" hidden="1"/>
    <cellStyle name="Hipervínculo" xfId="5806" builtinId="8" hidden="1"/>
    <cellStyle name="Hipervínculo" xfId="5808" builtinId="8" hidden="1"/>
    <cellStyle name="Hipervínculo" xfId="5810" builtinId="8" hidden="1"/>
    <cellStyle name="Hipervínculo" xfId="5812" builtinId="8" hidden="1"/>
    <cellStyle name="Hipervínculo" xfId="5814" builtinId="8" hidden="1"/>
    <cellStyle name="Hipervínculo" xfId="5816" builtinId="8" hidden="1"/>
    <cellStyle name="Hipervínculo" xfId="5818" builtinId="8" hidden="1"/>
    <cellStyle name="Hipervínculo" xfId="5820" builtinId="8" hidden="1"/>
    <cellStyle name="Hipervínculo" xfId="5822" builtinId="8" hidden="1"/>
    <cellStyle name="Hipervínculo" xfId="5824" builtinId="8" hidden="1"/>
    <cellStyle name="Hipervínculo" xfId="5826" builtinId="8" hidden="1"/>
    <cellStyle name="Hipervínculo" xfId="5828" builtinId="8" hidden="1"/>
    <cellStyle name="Hipervínculo" xfId="5830" builtinId="8" hidden="1"/>
    <cellStyle name="Hipervínculo" xfId="5832" builtinId="8" hidden="1"/>
    <cellStyle name="Hipervínculo" xfId="5834" builtinId="8" hidden="1"/>
    <cellStyle name="Hipervínculo" xfId="5836" builtinId="8" hidden="1"/>
    <cellStyle name="Hipervínculo" xfId="5838" builtinId="8" hidden="1"/>
    <cellStyle name="Hipervínculo" xfId="5840" builtinId="8" hidden="1"/>
    <cellStyle name="Hipervínculo" xfId="5842" builtinId="8" hidden="1"/>
    <cellStyle name="Hipervínculo" xfId="5844" builtinId="8" hidden="1"/>
    <cellStyle name="Hipervínculo" xfId="5846" builtinId="8" hidden="1"/>
    <cellStyle name="Hipervínculo" xfId="5848" builtinId="8" hidden="1"/>
    <cellStyle name="Hipervínculo" xfId="5850" builtinId="8" hidden="1"/>
    <cellStyle name="Hipervínculo" xfId="5852" builtinId="8" hidden="1"/>
    <cellStyle name="Hipervínculo" xfId="5854" builtinId="8" hidden="1"/>
    <cellStyle name="Hipervínculo" xfId="5856" builtinId="8" hidden="1"/>
    <cellStyle name="Hipervínculo" xfId="5858" builtinId="8" hidden="1"/>
    <cellStyle name="Hipervínculo" xfId="5860" builtinId="8" hidden="1"/>
    <cellStyle name="Hipervínculo" xfId="5862" builtinId="8" hidden="1"/>
    <cellStyle name="Hipervínculo" xfId="5864" builtinId="8" hidden="1"/>
    <cellStyle name="Hipervínculo" xfId="5866" builtinId="8" hidden="1"/>
    <cellStyle name="Hipervínculo" xfId="5868" builtinId="8" hidden="1"/>
    <cellStyle name="Hipervínculo" xfId="5870" builtinId="8" hidden="1"/>
    <cellStyle name="Hipervínculo" xfId="5872" builtinId="8" hidden="1"/>
    <cellStyle name="Hipervínculo" xfId="5874" builtinId="8" hidden="1"/>
    <cellStyle name="Hipervínculo" xfId="5876" builtinId="8" hidden="1"/>
    <cellStyle name="Hipervínculo" xfId="5878" builtinId="8" hidden="1"/>
    <cellStyle name="Hipervínculo" xfId="5880" builtinId="8" hidden="1"/>
    <cellStyle name="Hipervínculo" xfId="5882" builtinId="8" hidden="1"/>
    <cellStyle name="Hipervínculo" xfId="5884" builtinId="8" hidden="1"/>
    <cellStyle name="Hipervínculo" xfId="5886" builtinId="8" hidden="1"/>
    <cellStyle name="Hipervínculo" xfId="5888" builtinId="8" hidden="1"/>
    <cellStyle name="Hipervínculo" xfId="5890" builtinId="8" hidden="1"/>
    <cellStyle name="Hipervínculo" xfId="5892" builtinId="8" hidden="1"/>
    <cellStyle name="Hipervínculo" xfId="5894" builtinId="8" hidden="1"/>
    <cellStyle name="Hipervínculo" xfId="5896" builtinId="8" hidden="1"/>
    <cellStyle name="Hipervínculo" xfId="5898" builtinId="8" hidden="1"/>
    <cellStyle name="Hipervínculo" xfId="5900" builtinId="8" hidden="1"/>
    <cellStyle name="Hipervínculo" xfId="5902" builtinId="8" hidden="1"/>
    <cellStyle name="Hipervínculo" xfId="5904" builtinId="8" hidden="1"/>
    <cellStyle name="Hipervínculo" xfId="5906" builtinId="8" hidden="1"/>
    <cellStyle name="Hipervínculo" xfId="5908" builtinId="8" hidden="1"/>
    <cellStyle name="Hipervínculo" xfId="5910" builtinId="8" hidden="1"/>
    <cellStyle name="Hipervínculo" xfId="5912" builtinId="8" hidden="1"/>
    <cellStyle name="Hipervínculo" xfId="5914" builtinId="8" hidden="1"/>
    <cellStyle name="Hipervínculo" xfId="5916" builtinId="8" hidden="1"/>
    <cellStyle name="Hipervínculo" xfId="5918" builtinId="8" hidden="1"/>
    <cellStyle name="Hipervínculo" xfId="5920" builtinId="8" hidden="1"/>
    <cellStyle name="Hipervínculo" xfId="5922" builtinId="8" hidden="1"/>
    <cellStyle name="Hipervínculo" xfId="5924" builtinId="8" hidden="1"/>
    <cellStyle name="Hipervínculo" xfId="5926" builtinId="8" hidden="1"/>
    <cellStyle name="Hipervínculo" xfId="5928" builtinId="8" hidden="1"/>
    <cellStyle name="Hipervínculo" xfId="5930" builtinId="8" hidden="1"/>
    <cellStyle name="Hipervínculo" xfId="5932" builtinId="8" hidden="1"/>
    <cellStyle name="Hipervínculo" xfId="5934" builtinId="8" hidden="1"/>
    <cellStyle name="Hipervínculo" xfId="5936" builtinId="8" hidden="1"/>
    <cellStyle name="Hipervínculo" xfId="5938" builtinId="8" hidden="1"/>
    <cellStyle name="Hipervínculo" xfId="5940" builtinId="8" hidden="1"/>
    <cellStyle name="Hipervínculo" xfId="5942" builtinId="8" hidden="1"/>
    <cellStyle name="Hipervínculo" xfId="5944" builtinId="8" hidden="1"/>
    <cellStyle name="Hipervínculo" xfId="5946" builtinId="8" hidden="1"/>
    <cellStyle name="Hipervínculo" xfId="5948" builtinId="8" hidden="1"/>
    <cellStyle name="Hipervínculo" xfId="5950" builtinId="8" hidden="1"/>
    <cellStyle name="Hipervínculo" xfId="5952" builtinId="8" hidden="1"/>
    <cellStyle name="Hipervínculo" xfId="5954" builtinId="8" hidden="1"/>
    <cellStyle name="Hipervínculo" xfId="5956" builtinId="8" hidden="1"/>
    <cellStyle name="Hipervínculo" xfId="5958" builtinId="8" hidden="1"/>
    <cellStyle name="Hipervínculo" xfId="5960" builtinId="8" hidden="1"/>
    <cellStyle name="Hipervínculo" xfId="5962" builtinId="8" hidden="1"/>
    <cellStyle name="Hipervínculo" xfId="5964" builtinId="8" hidden="1"/>
    <cellStyle name="Hipervínculo" xfId="5966" builtinId="8" hidden="1"/>
    <cellStyle name="Hipervínculo" xfId="5968" builtinId="8" hidden="1"/>
    <cellStyle name="Hipervínculo" xfId="5970" builtinId="8" hidden="1"/>
    <cellStyle name="Hipervínculo" xfId="5972" builtinId="8" hidden="1"/>
    <cellStyle name="Hipervínculo" xfId="5974" builtinId="8" hidden="1"/>
    <cellStyle name="Hipervínculo" xfId="5976" builtinId="8" hidden="1"/>
    <cellStyle name="Hipervínculo" xfId="5978" builtinId="8" hidden="1"/>
    <cellStyle name="Hipervínculo" xfId="5980" builtinId="8" hidden="1"/>
    <cellStyle name="Hipervínculo" xfId="5982" builtinId="8" hidden="1"/>
    <cellStyle name="Hipervínculo" xfId="5984" builtinId="8" hidden="1"/>
    <cellStyle name="Hipervínculo" xfId="5986" builtinId="8" hidden="1"/>
    <cellStyle name="Hipervínculo" xfId="5988" builtinId="8" hidden="1"/>
    <cellStyle name="Hipervínculo" xfId="5990" builtinId="8" hidden="1"/>
    <cellStyle name="Hipervínculo" xfId="5992" builtinId="8" hidden="1"/>
    <cellStyle name="Hipervínculo" xfId="5994" builtinId="8" hidden="1"/>
    <cellStyle name="Hipervínculo" xfId="5996" builtinId="8" hidden="1"/>
    <cellStyle name="Hipervínculo" xfId="5998" builtinId="8" hidden="1"/>
    <cellStyle name="Hipervínculo" xfId="6000" builtinId="8" hidden="1"/>
    <cellStyle name="Hipervínculo" xfId="6002" builtinId="8" hidden="1"/>
    <cellStyle name="Hipervínculo" xfId="6004" builtinId="8" hidden="1"/>
    <cellStyle name="Hipervínculo" xfId="6006" builtinId="8" hidden="1"/>
    <cellStyle name="Hipervínculo" xfId="6008" builtinId="8" hidden="1"/>
    <cellStyle name="Hipervínculo" xfId="6010" builtinId="8" hidden="1"/>
    <cellStyle name="Hipervínculo" xfId="6012" builtinId="8" hidden="1"/>
    <cellStyle name="Hipervínculo" xfId="6014" builtinId="8" hidden="1"/>
    <cellStyle name="Hipervínculo" xfId="6016" builtinId="8" hidden="1"/>
    <cellStyle name="Hipervínculo" xfId="6018" builtinId="8" hidden="1"/>
    <cellStyle name="Hipervínculo" xfId="6020" builtinId="8" hidden="1"/>
    <cellStyle name="Hipervínculo" xfId="6022" builtinId="8" hidden="1"/>
    <cellStyle name="Hipervínculo" xfId="6024" builtinId="8" hidden="1"/>
    <cellStyle name="Hipervínculo" xfId="6026" builtinId="8" hidden="1"/>
    <cellStyle name="Hipervínculo" xfId="6028" builtinId="8" hidden="1"/>
    <cellStyle name="Hipervínculo" xfId="6030" builtinId="8" hidden="1"/>
    <cellStyle name="Hipervínculo" xfId="6032" builtinId="8" hidden="1"/>
    <cellStyle name="Hipervínculo" xfId="6034" builtinId="8" hidden="1"/>
    <cellStyle name="Hipervínculo" xfId="6036" builtinId="8" hidden="1"/>
    <cellStyle name="Hipervínculo" xfId="6038" builtinId="8" hidden="1"/>
    <cellStyle name="Hipervínculo" xfId="6040" builtinId="8" hidden="1"/>
    <cellStyle name="Hipervínculo" xfId="6042" builtinId="8" hidden="1"/>
    <cellStyle name="Hipervínculo" xfId="6044" builtinId="8" hidden="1"/>
    <cellStyle name="Hipervínculo" xfId="6046" builtinId="8" hidden="1"/>
    <cellStyle name="Hipervínculo" xfId="6048" builtinId="8" hidden="1"/>
    <cellStyle name="Hipervínculo" xfId="6050" builtinId="8" hidden="1"/>
    <cellStyle name="Hipervínculo" xfId="6052" builtinId="8" hidden="1"/>
    <cellStyle name="Hipervínculo" xfId="6054" builtinId="8" hidden="1"/>
    <cellStyle name="Hipervínculo" xfId="6056" builtinId="8" hidden="1"/>
    <cellStyle name="Hipervínculo" xfId="6058" builtinId="8" hidden="1"/>
    <cellStyle name="Hipervínculo" xfId="6060" builtinId="8" hidden="1"/>
    <cellStyle name="Hipervínculo" xfId="6062" builtinId="8" hidden="1"/>
    <cellStyle name="Hipervínculo" xfId="6064" builtinId="8" hidden="1"/>
    <cellStyle name="Hipervínculo" xfId="6066" builtinId="8" hidden="1"/>
    <cellStyle name="Hipervínculo" xfId="6068" builtinId="8" hidden="1"/>
    <cellStyle name="Hipervínculo" xfId="6070" builtinId="8" hidden="1"/>
    <cellStyle name="Hipervínculo" xfId="6072" builtinId="8" hidden="1"/>
    <cellStyle name="Hipervínculo" xfId="6074" builtinId="8" hidden="1"/>
    <cellStyle name="Hipervínculo" xfId="6076" builtinId="8" hidden="1"/>
    <cellStyle name="Hipervínculo" xfId="6078" builtinId="8" hidden="1"/>
    <cellStyle name="Hipervínculo" xfId="6080" builtinId="8" hidden="1"/>
    <cellStyle name="Hipervínculo" xfId="6082" builtinId="8" hidden="1"/>
    <cellStyle name="Hipervínculo" xfId="6084" builtinId="8" hidden="1"/>
    <cellStyle name="Hipervínculo" xfId="6086" builtinId="8" hidden="1"/>
    <cellStyle name="Hipervínculo" xfId="6088" builtinId="8" hidden="1"/>
    <cellStyle name="Hipervínculo" xfId="6090" builtinId="8" hidden="1"/>
    <cellStyle name="Hipervínculo" xfId="6092" builtinId="8" hidden="1"/>
    <cellStyle name="Hipervínculo" xfId="6094" builtinId="8" hidden="1"/>
    <cellStyle name="Hipervínculo" xfId="6096" builtinId="8" hidden="1"/>
    <cellStyle name="Hipervínculo" xfId="6098" builtinId="8" hidden="1"/>
    <cellStyle name="Hipervínculo" xfId="6100" builtinId="8" hidden="1"/>
    <cellStyle name="Hipervínculo" xfId="6102" builtinId="8" hidden="1"/>
    <cellStyle name="Hipervínculo" xfId="6104" builtinId="8" hidden="1"/>
    <cellStyle name="Hipervínculo" xfId="6106" builtinId="8" hidden="1"/>
    <cellStyle name="Hipervínculo" xfId="6108" builtinId="8" hidden="1"/>
    <cellStyle name="Hipervínculo" xfId="6110" builtinId="8" hidden="1"/>
    <cellStyle name="Hipervínculo" xfId="6112" builtinId="8" hidden="1"/>
    <cellStyle name="Hipervínculo" xfId="6114" builtinId="8" hidden="1"/>
    <cellStyle name="Hipervínculo" xfId="6116" builtinId="8" hidden="1"/>
    <cellStyle name="Hipervínculo" xfId="6118" builtinId="8" hidden="1"/>
    <cellStyle name="Hipervínculo" xfId="6120" builtinId="8" hidden="1"/>
    <cellStyle name="Hipervínculo" xfId="6122" builtinId="8" hidden="1"/>
    <cellStyle name="Hipervínculo" xfId="6124" builtinId="8" hidden="1"/>
    <cellStyle name="Hipervínculo" xfId="6126" builtinId="8" hidden="1"/>
    <cellStyle name="Hipervínculo" xfId="6128" builtinId="8" hidden="1"/>
    <cellStyle name="Hipervínculo" xfId="6130" builtinId="8" hidden="1"/>
    <cellStyle name="Hipervínculo" xfId="6132" builtinId="8" hidden="1"/>
    <cellStyle name="Hipervínculo" xfId="6134" builtinId="8" hidden="1"/>
    <cellStyle name="Hipervínculo" xfId="6136" builtinId="8" hidden="1"/>
    <cellStyle name="Hipervínculo" xfId="6138" builtinId="8" hidden="1"/>
    <cellStyle name="Hipervínculo" xfId="6140" builtinId="8" hidden="1"/>
    <cellStyle name="Hipervínculo" xfId="6142" builtinId="8" hidden="1"/>
    <cellStyle name="Hipervínculo" xfId="6144" builtinId="8" hidden="1"/>
    <cellStyle name="Hipervínculo" xfId="6146" builtinId="8" hidden="1"/>
    <cellStyle name="Hipervínculo" xfId="6148" builtinId="8" hidden="1"/>
    <cellStyle name="Hipervínculo" xfId="6150" builtinId="8" hidden="1"/>
    <cellStyle name="Hipervínculo" xfId="6152" builtinId="8" hidden="1"/>
    <cellStyle name="Hipervínculo" xfId="6154" builtinId="8" hidden="1"/>
    <cellStyle name="Hipervínculo" xfId="6156" builtinId="8" hidden="1"/>
    <cellStyle name="Hipervínculo" xfId="6158" builtinId="8" hidden="1"/>
    <cellStyle name="Hipervínculo" xfId="6160" builtinId="8" hidden="1"/>
    <cellStyle name="Hipervínculo" xfId="6162" builtinId="8" hidden="1"/>
    <cellStyle name="Hipervínculo" xfId="6164" builtinId="8" hidden="1"/>
    <cellStyle name="Hipervínculo" xfId="6166" builtinId="8" hidden="1"/>
    <cellStyle name="Hipervínculo" xfId="6168" builtinId="8" hidden="1"/>
    <cellStyle name="Hipervínculo" xfId="6170" builtinId="8" hidden="1"/>
    <cellStyle name="Hipervínculo" xfId="6172" builtinId="8" hidden="1"/>
    <cellStyle name="Hipervínculo" xfId="6174" builtinId="8" hidden="1"/>
    <cellStyle name="Hipervínculo" xfId="6176" builtinId="8" hidden="1"/>
    <cellStyle name="Hipervínculo" xfId="6178" builtinId="8" hidden="1"/>
    <cellStyle name="Hipervínculo" xfId="6180" builtinId="8" hidden="1"/>
    <cellStyle name="Hipervínculo" xfId="6182" builtinId="8" hidden="1"/>
    <cellStyle name="Hipervínculo" xfId="6184" builtinId="8" hidden="1"/>
    <cellStyle name="Hipervínculo" xfId="6186" builtinId="8" hidden="1"/>
    <cellStyle name="Hipervínculo" xfId="6188" builtinId="8" hidden="1"/>
    <cellStyle name="Hipervínculo" xfId="6190" builtinId="8" hidden="1"/>
    <cellStyle name="Hipervínculo" xfId="6192" builtinId="8" hidden="1"/>
    <cellStyle name="Hipervínculo" xfId="6194" builtinId="8" hidden="1"/>
    <cellStyle name="Hipervínculo" xfId="6196" builtinId="8" hidden="1"/>
    <cellStyle name="Hipervínculo" xfId="6198" builtinId="8" hidden="1"/>
    <cellStyle name="Hipervínculo" xfId="6200" builtinId="8" hidden="1"/>
    <cellStyle name="Hipervínculo" xfId="6202" builtinId="8" hidden="1"/>
    <cellStyle name="Hipervínculo" xfId="6204" builtinId="8" hidden="1"/>
    <cellStyle name="Hipervínculo" xfId="6206" builtinId="8" hidden="1"/>
    <cellStyle name="Hipervínculo" xfId="6208" builtinId="8" hidden="1"/>
    <cellStyle name="Hipervínculo" xfId="6210" builtinId="8" hidden="1"/>
    <cellStyle name="Hipervínculo" xfId="6212" builtinId="8" hidden="1"/>
    <cellStyle name="Hipervínculo" xfId="6214" builtinId="8" hidden="1"/>
    <cellStyle name="Hipervínculo" xfId="6216" builtinId="8" hidden="1"/>
    <cellStyle name="Hipervínculo" xfId="6218" builtinId="8" hidden="1"/>
    <cellStyle name="Hipervínculo" xfId="6220" builtinId="8" hidden="1"/>
    <cellStyle name="Hipervínculo" xfId="6222" builtinId="8" hidden="1"/>
    <cellStyle name="Hipervínculo" xfId="6224" builtinId="8" hidden="1"/>
    <cellStyle name="Hipervínculo" xfId="6226" builtinId="8" hidden="1"/>
    <cellStyle name="Hipervínculo" xfId="6228" builtinId="8" hidden="1"/>
    <cellStyle name="Hipervínculo" xfId="6230" builtinId="8" hidden="1"/>
    <cellStyle name="Hipervínculo" xfId="6232" builtinId="8" hidden="1"/>
    <cellStyle name="Hipervínculo" xfId="6234" builtinId="8" hidden="1"/>
    <cellStyle name="Hipervínculo" xfId="6236" builtinId="8" hidden="1"/>
    <cellStyle name="Hipervínculo" xfId="6238" builtinId="8" hidden="1"/>
    <cellStyle name="Hipervínculo" xfId="6240" builtinId="8" hidden="1"/>
    <cellStyle name="Hipervínculo" xfId="6242" builtinId="8" hidden="1"/>
    <cellStyle name="Hipervínculo" xfId="6244" builtinId="8" hidden="1"/>
    <cellStyle name="Hipervínculo" xfId="6246" builtinId="8" hidden="1"/>
    <cellStyle name="Hipervínculo" xfId="6248" builtinId="8" hidden="1"/>
    <cellStyle name="Hipervínculo" xfId="6250" builtinId="8" hidden="1"/>
    <cellStyle name="Hipervínculo" xfId="6252" builtinId="8" hidden="1"/>
    <cellStyle name="Hipervínculo" xfId="6254" builtinId="8" hidden="1"/>
    <cellStyle name="Hipervínculo" xfId="6256" builtinId="8" hidden="1"/>
    <cellStyle name="Hipervínculo" xfId="6258" builtinId="8" hidden="1"/>
    <cellStyle name="Hipervínculo" xfId="6260" builtinId="8" hidden="1"/>
    <cellStyle name="Hipervínculo" xfId="6262" builtinId="8" hidden="1"/>
    <cellStyle name="Hipervínculo" xfId="6264" builtinId="8" hidden="1"/>
    <cellStyle name="Hipervínculo" xfId="6266" builtinId="8" hidden="1"/>
    <cellStyle name="Hipervínculo" xfId="6268" builtinId="8" hidden="1"/>
    <cellStyle name="Hipervínculo" xfId="6270" builtinId="8" hidden="1"/>
    <cellStyle name="Hipervínculo" xfId="6272" builtinId="8" hidden="1"/>
    <cellStyle name="Hipervínculo" xfId="6274" builtinId="8" hidden="1"/>
    <cellStyle name="Hipervínculo" xfId="6276" builtinId="8" hidden="1"/>
    <cellStyle name="Hipervínculo" xfId="6278" builtinId="8" hidden="1"/>
    <cellStyle name="Hipervínculo" xfId="6280" builtinId="8" hidden="1"/>
    <cellStyle name="Hipervínculo" xfId="6282" builtinId="8" hidden="1"/>
    <cellStyle name="Hipervínculo" xfId="6284" builtinId="8" hidden="1"/>
    <cellStyle name="Hipervínculo" xfId="6286" builtinId="8" hidden="1"/>
    <cellStyle name="Hipervínculo" xfId="6288" builtinId="8" hidden="1"/>
    <cellStyle name="Hipervínculo" xfId="6290" builtinId="8" hidden="1"/>
    <cellStyle name="Hipervínculo" xfId="6292" builtinId="8" hidden="1"/>
    <cellStyle name="Hipervínculo" xfId="6294" builtinId="8" hidden="1"/>
    <cellStyle name="Hipervínculo" xfId="6296" builtinId="8" hidden="1"/>
    <cellStyle name="Hipervínculo" xfId="6298" builtinId="8" hidden="1"/>
    <cellStyle name="Hipervínculo" xfId="6300" builtinId="8" hidden="1"/>
    <cellStyle name="Hipervínculo" xfId="6302" builtinId="8" hidden="1"/>
    <cellStyle name="Hipervínculo" xfId="6304" builtinId="8" hidden="1"/>
    <cellStyle name="Hipervínculo" xfId="6306" builtinId="8" hidden="1"/>
    <cellStyle name="Hipervínculo" xfId="6308" builtinId="8" hidden="1"/>
    <cellStyle name="Hipervínculo" xfId="6310" builtinId="8" hidden="1"/>
    <cellStyle name="Hipervínculo" xfId="6312" builtinId="8" hidden="1"/>
    <cellStyle name="Hipervínculo" xfId="6314" builtinId="8" hidden="1"/>
    <cellStyle name="Hipervínculo" xfId="6316" builtinId="8" hidden="1"/>
    <cellStyle name="Hipervínculo" xfId="6318" builtinId="8" hidden="1"/>
    <cellStyle name="Hipervínculo" xfId="6320" builtinId="8" hidden="1"/>
    <cellStyle name="Hipervínculo" xfId="6322" builtinId="8" hidden="1"/>
    <cellStyle name="Hipervínculo" xfId="6324" builtinId="8" hidden="1"/>
    <cellStyle name="Hipervínculo" xfId="6326" builtinId="8" hidden="1"/>
    <cellStyle name="Hipervínculo" xfId="6328" builtinId="8" hidden="1"/>
    <cellStyle name="Hipervínculo" xfId="6330" builtinId="8" hidden="1"/>
    <cellStyle name="Hipervínculo" xfId="6332" builtinId="8" hidden="1"/>
    <cellStyle name="Hipervínculo" xfId="6334" builtinId="8" hidden="1"/>
    <cellStyle name="Hipervínculo" xfId="6336" builtinId="8" hidden="1"/>
    <cellStyle name="Hipervínculo" xfId="6338" builtinId="8" hidden="1"/>
    <cellStyle name="Hipervínculo" xfId="6340" builtinId="8" hidden="1"/>
    <cellStyle name="Hipervínculo" xfId="6342" builtinId="8" hidden="1"/>
    <cellStyle name="Hipervínculo" xfId="6344" builtinId="8" hidden="1"/>
    <cellStyle name="Hipervínculo" xfId="6346" builtinId="8" hidden="1"/>
    <cellStyle name="Hipervínculo" xfId="6348" builtinId="8" hidden="1"/>
    <cellStyle name="Hipervínculo" xfId="6350" builtinId="8" hidden="1"/>
    <cellStyle name="Hipervínculo" xfId="6352" builtinId="8" hidden="1"/>
    <cellStyle name="Hipervínculo" xfId="6354" builtinId="8" hidden="1"/>
    <cellStyle name="Hipervínculo" xfId="6356" builtinId="8" hidden="1"/>
    <cellStyle name="Hipervínculo" xfId="6358" builtinId="8" hidden="1"/>
    <cellStyle name="Hipervínculo" xfId="6360" builtinId="8" hidden="1"/>
    <cellStyle name="Hipervínculo" xfId="6362" builtinId="8" hidden="1"/>
    <cellStyle name="Hipervínculo" xfId="6364" builtinId="8" hidden="1"/>
    <cellStyle name="Hipervínculo" xfId="6366" builtinId="8" hidden="1"/>
    <cellStyle name="Hipervínculo" xfId="6368" builtinId="8" hidden="1"/>
    <cellStyle name="Hipervínculo" xfId="6370" builtinId="8" hidden="1"/>
    <cellStyle name="Hipervínculo" xfId="6372" builtinId="8" hidden="1"/>
    <cellStyle name="Hipervínculo" xfId="6374" builtinId="8" hidden="1"/>
    <cellStyle name="Hipervínculo" xfId="6376" builtinId="8" hidden="1"/>
    <cellStyle name="Hipervínculo" xfId="6378" builtinId="8" hidden="1"/>
    <cellStyle name="Hipervínculo" xfId="6380" builtinId="8" hidden="1"/>
    <cellStyle name="Hipervínculo" xfId="6382" builtinId="8" hidden="1"/>
    <cellStyle name="Hipervínculo" xfId="6384" builtinId="8" hidden="1"/>
    <cellStyle name="Hipervínculo" xfId="6386" builtinId="8" hidden="1"/>
    <cellStyle name="Hipervínculo" xfId="6388" builtinId="8" hidden="1"/>
    <cellStyle name="Hipervínculo" xfId="6390" builtinId="8" hidden="1"/>
    <cellStyle name="Hipervínculo" xfId="6392" builtinId="8" hidden="1"/>
    <cellStyle name="Hipervínculo" xfId="6394" builtinId="8" hidden="1"/>
    <cellStyle name="Hipervínculo" xfId="6396" builtinId="8" hidden="1"/>
    <cellStyle name="Hipervínculo" xfId="6398" builtinId="8" hidden="1"/>
    <cellStyle name="Hipervínculo" xfId="6400" builtinId="8" hidden="1"/>
    <cellStyle name="Hipervínculo" xfId="6402" builtinId="8" hidden="1"/>
    <cellStyle name="Hipervínculo" xfId="6404" builtinId="8" hidden="1"/>
    <cellStyle name="Hipervínculo" xfId="6406" builtinId="8" hidden="1"/>
    <cellStyle name="Hipervínculo" xfId="6408" builtinId="8" hidden="1"/>
    <cellStyle name="Hipervínculo" xfId="6410" builtinId="8" hidden="1"/>
    <cellStyle name="Hipervínculo" xfId="6412" builtinId="8" hidden="1"/>
    <cellStyle name="Hipervínculo" xfId="6414" builtinId="8" hidden="1"/>
    <cellStyle name="Hipervínculo" xfId="6416" builtinId="8" hidden="1"/>
    <cellStyle name="Hipervínculo" xfId="6418" builtinId="8" hidden="1"/>
    <cellStyle name="Hipervínculo" xfId="6420" builtinId="8" hidden="1"/>
    <cellStyle name="Hipervínculo" xfId="6422" builtinId="8" hidden="1"/>
    <cellStyle name="Hipervínculo" xfId="6424" builtinId="8" hidden="1"/>
    <cellStyle name="Hipervínculo" xfId="6426" builtinId="8" hidden="1"/>
    <cellStyle name="Hipervínculo" xfId="6428" builtinId="8" hidden="1"/>
    <cellStyle name="Hipervínculo" xfId="6430" builtinId="8" hidden="1"/>
    <cellStyle name="Hipervínculo" xfId="6432" builtinId="8" hidden="1"/>
    <cellStyle name="Hipervínculo" xfId="6434" builtinId="8" hidden="1"/>
    <cellStyle name="Hipervínculo" xfId="6436" builtinId="8" hidden="1"/>
    <cellStyle name="Hipervínculo" xfId="6438" builtinId="8" hidden="1"/>
    <cellStyle name="Hipervínculo" xfId="6440" builtinId="8" hidden="1"/>
    <cellStyle name="Hipervínculo" xfId="6442" builtinId="8" hidden="1"/>
    <cellStyle name="Hipervínculo" xfId="6444" builtinId="8" hidden="1"/>
    <cellStyle name="Hipervínculo" xfId="6446" builtinId="8" hidden="1"/>
    <cellStyle name="Hipervínculo" xfId="6448" builtinId="8" hidden="1"/>
    <cellStyle name="Hipervínculo" xfId="6450" builtinId="8" hidden="1"/>
    <cellStyle name="Hipervínculo" xfId="6452" builtinId="8" hidden="1"/>
    <cellStyle name="Hipervínculo" xfId="6454" builtinId="8" hidden="1"/>
    <cellStyle name="Hipervínculo" xfId="6456" builtinId="8" hidden="1"/>
    <cellStyle name="Hipervínculo" xfId="6458" builtinId="8" hidden="1"/>
    <cellStyle name="Hipervínculo" xfId="6460" builtinId="8" hidden="1"/>
    <cellStyle name="Hipervínculo" xfId="6462" builtinId="8" hidden="1"/>
    <cellStyle name="Hipervínculo" xfId="6464" builtinId="8" hidden="1"/>
    <cellStyle name="Hipervínculo" xfId="6466" builtinId="8" hidden="1"/>
    <cellStyle name="Hipervínculo" xfId="6468" builtinId="8" hidden="1"/>
    <cellStyle name="Hipervínculo" xfId="6470" builtinId="8" hidden="1"/>
    <cellStyle name="Hipervínculo" xfId="6472" builtinId="8" hidden="1"/>
    <cellStyle name="Hipervínculo" xfId="6474" builtinId="8" hidden="1"/>
    <cellStyle name="Hipervínculo" xfId="6476" builtinId="8" hidden="1"/>
    <cellStyle name="Hipervínculo" xfId="6478" builtinId="8" hidden="1"/>
    <cellStyle name="Hipervínculo" xfId="6480" builtinId="8" hidden="1"/>
    <cellStyle name="Hipervínculo" xfId="6482" builtinId="8" hidden="1"/>
    <cellStyle name="Hipervínculo" xfId="6484" builtinId="8" hidden="1"/>
    <cellStyle name="Hipervínculo" xfId="6486" builtinId="8" hidden="1"/>
    <cellStyle name="Hipervínculo" xfId="6488" builtinId="8" hidden="1"/>
    <cellStyle name="Hipervínculo" xfId="6490" builtinId="8" hidden="1"/>
    <cellStyle name="Hipervínculo" xfId="6492" builtinId="8" hidden="1"/>
    <cellStyle name="Hipervínculo" xfId="6494" builtinId="8" hidden="1"/>
    <cellStyle name="Hipervínculo" xfId="6496" builtinId="8" hidden="1"/>
    <cellStyle name="Hipervínculo" xfId="6498" builtinId="8" hidden="1"/>
    <cellStyle name="Hipervínculo" xfId="6500" builtinId="8" hidden="1"/>
    <cellStyle name="Hipervínculo" xfId="6502" builtinId="8" hidden="1"/>
    <cellStyle name="Hipervínculo" xfId="6504" builtinId="8" hidden="1"/>
    <cellStyle name="Hipervínculo" xfId="6506" builtinId="8" hidden="1"/>
    <cellStyle name="Hipervínculo" xfId="6508" builtinId="8" hidden="1"/>
    <cellStyle name="Hipervínculo" xfId="6510" builtinId="8" hidden="1"/>
    <cellStyle name="Hipervínculo" xfId="6512" builtinId="8" hidden="1"/>
    <cellStyle name="Hipervínculo" xfId="6514" builtinId="8" hidden="1"/>
    <cellStyle name="Hipervínculo" xfId="6516" builtinId="8" hidden="1"/>
    <cellStyle name="Hipervínculo" xfId="6518" builtinId="8" hidden="1"/>
    <cellStyle name="Hipervínculo" xfId="6520" builtinId="8" hidden="1"/>
    <cellStyle name="Hipervínculo" xfId="6522" builtinId="8" hidden="1"/>
    <cellStyle name="Hipervínculo" xfId="6524" builtinId="8" hidden="1"/>
    <cellStyle name="Hipervínculo" xfId="6526" builtinId="8" hidden="1"/>
    <cellStyle name="Hipervínculo" xfId="6528" builtinId="8" hidden="1"/>
    <cellStyle name="Hipervínculo" xfId="6530" builtinId="8" hidden="1"/>
    <cellStyle name="Hipervínculo" xfId="6532" builtinId="8" hidden="1"/>
    <cellStyle name="Hipervínculo" xfId="6534" builtinId="8" hidden="1"/>
    <cellStyle name="Hipervínculo" xfId="6536" builtinId="8" hidden="1"/>
    <cellStyle name="Hipervínculo" xfId="6538" builtinId="8" hidden="1"/>
    <cellStyle name="Hipervínculo" xfId="6540" builtinId="8" hidden="1"/>
    <cellStyle name="Hipervínculo" xfId="6542" builtinId="8" hidden="1"/>
    <cellStyle name="Hipervínculo" xfId="6544" builtinId="8" hidden="1"/>
    <cellStyle name="Hipervínculo" xfId="6546" builtinId="8" hidden="1"/>
    <cellStyle name="Hipervínculo" xfId="6548" builtinId="8" hidden="1"/>
    <cellStyle name="Hipervínculo" xfId="6550" builtinId="8" hidden="1"/>
    <cellStyle name="Hipervínculo" xfId="6552" builtinId="8" hidden="1"/>
    <cellStyle name="Hipervínculo" xfId="6554" builtinId="8" hidden="1"/>
    <cellStyle name="Hipervínculo" xfId="6556" builtinId="8" hidden="1"/>
    <cellStyle name="Hipervínculo" xfId="6558" builtinId="8" hidden="1"/>
    <cellStyle name="Hipervínculo" xfId="6560" builtinId="8" hidden="1"/>
    <cellStyle name="Hipervínculo" xfId="6562" builtinId="8" hidden="1"/>
    <cellStyle name="Hipervínculo" xfId="6564" builtinId="8" hidden="1"/>
    <cellStyle name="Hipervínculo" xfId="6566" builtinId="8" hidden="1"/>
    <cellStyle name="Hipervínculo" xfId="6568" builtinId="8" hidden="1"/>
    <cellStyle name="Hipervínculo" xfId="6570" builtinId="8" hidden="1"/>
    <cellStyle name="Hipervínculo" xfId="6572" builtinId="8" hidden="1"/>
    <cellStyle name="Hipervínculo" xfId="6574" builtinId="8" hidden="1"/>
    <cellStyle name="Hipervínculo" xfId="6576" builtinId="8" hidden="1"/>
    <cellStyle name="Hipervínculo" xfId="6578" builtinId="8" hidden="1"/>
    <cellStyle name="Hipervínculo" xfId="6580" builtinId="8" hidden="1"/>
    <cellStyle name="Hipervínculo" xfId="6582" builtinId="8" hidden="1"/>
    <cellStyle name="Hipervínculo" xfId="6584" builtinId="8" hidden="1"/>
    <cellStyle name="Hipervínculo" xfId="6586" builtinId="8" hidden="1"/>
    <cellStyle name="Hipervínculo" xfId="6588" builtinId="8" hidden="1"/>
    <cellStyle name="Hipervínculo" xfId="6590" builtinId="8" hidden="1"/>
    <cellStyle name="Hipervínculo" xfId="6592" builtinId="8" hidden="1"/>
    <cellStyle name="Hipervínculo" xfId="6594" builtinId="8" hidden="1"/>
    <cellStyle name="Hipervínculo" xfId="6596" builtinId="8" hidden="1"/>
    <cellStyle name="Hipervínculo" xfId="6598" builtinId="8" hidden="1"/>
    <cellStyle name="Hipervínculo" xfId="6600" builtinId="8" hidden="1"/>
    <cellStyle name="Hipervínculo" xfId="6602" builtinId="8" hidden="1"/>
    <cellStyle name="Hipervínculo" xfId="6604" builtinId="8" hidden="1"/>
    <cellStyle name="Hipervínculo" xfId="6606" builtinId="8" hidden="1"/>
    <cellStyle name="Hipervínculo" xfId="6608" builtinId="8" hidden="1"/>
    <cellStyle name="Hipervínculo" xfId="6610" builtinId="8" hidden="1"/>
    <cellStyle name="Hipervínculo" xfId="6612" builtinId="8" hidden="1"/>
    <cellStyle name="Hipervínculo" xfId="6614" builtinId="8" hidden="1"/>
    <cellStyle name="Hipervínculo" xfId="6616" builtinId="8" hidden="1"/>
    <cellStyle name="Hipervínculo" xfId="6618" builtinId="8" hidden="1"/>
    <cellStyle name="Hipervínculo" xfId="6620" builtinId="8" hidden="1"/>
    <cellStyle name="Hipervínculo" xfId="6622" builtinId="8" hidden="1"/>
    <cellStyle name="Hipervínculo" xfId="6624" builtinId="8" hidden="1"/>
    <cellStyle name="Hipervínculo" xfId="6626" builtinId="8" hidden="1"/>
    <cellStyle name="Hipervínculo" xfId="6628" builtinId="8" hidden="1"/>
    <cellStyle name="Hipervínculo" xfId="6630" builtinId="8" hidden="1"/>
    <cellStyle name="Hipervínculo" xfId="6632" builtinId="8" hidden="1"/>
    <cellStyle name="Hipervínculo" xfId="6634" builtinId="8" hidden="1"/>
    <cellStyle name="Hipervínculo" xfId="6636" builtinId="8" hidden="1"/>
    <cellStyle name="Hipervínculo" xfId="6638" builtinId="8" hidden="1"/>
    <cellStyle name="Hipervínculo" xfId="6640" builtinId="8" hidden="1"/>
    <cellStyle name="Hipervínculo" xfId="6642" builtinId="8" hidden="1"/>
    <cellStyle name="Hipervínculo" xfId="6644" builtinId="8" hidden="1"/>
    <cellStyle name="Hipervínculo" xfId="6646" builtinId="8" hidden="1"/>
    <cellStyle name="Hipervínculo" xfId="6648" builtinId="8" hidden="1"/>
    <cellStyle name="Hipervínculo" xfId="6650" builtinId="8" hidden="1"/>
    <cellStyle name="Hipervínculo" xfId="6652" builtinId="8" hidden="1"/>
    <cellStyle name="Hipervínculo" xfId="6654" builtinId="8" hidden="1"/>
    <cellStyle name="Hipervínculo" xfId="6656" builtinId="8" hidden="1"/>
    <cellStyle name="Hipervínculo" xfId="6658" builtinId="8" hidden="1"/>
    <cellStyle name="Hipervínculo" xfId="6660" builtinId="8" hidden="1"/>
    <cellStyle name="Hipervínculo" xfId="6662" builtinId="8" hidden="1"/>
    <cellStyle name="Hipervínculo" xfId="6664" builtinId="8" hidden="1"/>
    <cellStyle name="Hipervínculo" xfId="6666" builtinId="8" hidden="1"/>
    <cellStyle name="Hipervínculo" xfId="6668" builtinId="8" hidden="1"/>
    <cellStyle name="Hipervínculo" xfId="6670" builtinId="8" hidden="1"/>
    <cellStyle name="Hipervínculo" xfId="6672" builtinId="8" hidden="1"/>
    <cellStyle name="Hipervínculo" xfId="6674" builtinId="8" hidden="1"/>
    <cellStyle name="Hipervínculo" xfId="6676" builtinId="8" hidden="1"/>
    <cellStyle name="Hipervínculo" xfId="6678" builtinId="8" hidden="1"/>
    <cellStyle name="Hipervínculo" xfId="6680" builtinId="8" hidden="1"/>
    <cellStyle name="Hipervínculo" xfId="6682" builtinId="8" hidden="1"/>
    <cellStyle name="Hipervínculo" xfId="6684" builtinId="8" hidden="1"/>
    <cellStyle name="Hipervínculo" xfId="6686" builtinId="8" hidden="1"/>
    <cellStyle name="Hipervínculo" xfId="6688" builtinId="8" hidden="1"/>
    <cellStyle name="Hipervínculo" xfId="6690" builtinId="8" hidden="1"/>
    <cellStyle name="Hipervínculo" xfId="6692" builtinId="8" hidden="1"/>
    <cellStyle name="Hipervínculo" xfId="6694" builtinId="8" hidden="1"/>
    <cellStyle name="Hipervínculo" xfId="6696" builtinId="8" hidden="1"/>
    <cellStyle name="Hipervínculo" xfId="6698" builtinId="8" hidden="1"/>
    <cellStyle name="Hipervínculo" xfId="6700" builtinId="8" hidden="1"/>
    <cellStyle name="Hipervínculo" xfId="6702" builtinId="8" hidden="1"/>
    <cellStyle name="Hipervínculo" xfId="6704" builtinId="8" hidden="1"/>
    <cellStyle name="Hipervínculo" xfId="6706" builtinId="8" hidden="1"/>
    <cellStyle name="Hipervínculo" xfId="6708" builtinId="8" hidden="1"/>
    <cellStyle name="Hipervínculo" xfId="6710" builtinId="8" hidden="1"/>
    <cellStyle name="Hipervínculo" xfId="6712" builtinId="8" hidden="1"/>
    <cellStyle name="Hipervínculo" xfId="6714" builtinId="8" hidden="1"/>
    <cellStyle name="Hipervínculo" xfId="6716" builtinId="8" hidden="1"/>
    <cellStyle name="Hipervínculo" xfId="6718" builtinId="8" hidden="1"/>
    <cellStyle name="Hipervínculo" xfId="6720" builtinId="8" hidden="1"/>
    <cellStyle name="Hipervínculo" xfId="6722" builtinId="8" hidden="1"/>
    <cellStyle name="Hipervínculo" xfId="6724" builtinId="8" hidden="1"/>
    <cellStyle name="Hipervínculo" xfId="6726" builtinId="8" hidden="1"/>
    <cellStyle name="Hipervínculo" xfId="6728" builtinId="8" hidden="1"/>
    <cellStyle name="Hipervínculo" xfId="6730" builtinId="8" hidden="1"/>
    <cellStyle name="Hipervínculo" xfId="6732" builtinId="8" hidden="1"/>
    <cellStyle name="Hipervínculo" xfId="6734" builtinId="8" hidden="1"/>
    <cellStyle name="Hipervínculo" xfId="6736" builtinId="8" hidden="1"/>
    <cellStyle name="Hipervínculo" xfId="6738" builtinId="8" hidden="1"/>
    <cellStyle name="Hipervínculo" xfId="6740" builtinId="8" hidden="1"/>
    <cellStyle name="Hipervínculo" xfId="6742" builtinId="8" hidden="1"/>
    <cellStyle name="Hipervínculo" xfId="6744" builtinId="8" hidden="1"/>
    <cellStyle name="Hipervínculo" xfId="6746" builtinId="8" hidden="1"/>
    <cellStyle name="Hipervínculo" xfId="6748" builtinId="8" hidden="1"/>
    <cellStyle name="Hipervínculo" xfId="6750" builtinId="8" hidden="1"/>
    <cellStyle name="Hipervínculo" xfId="6752" builtinId="8" hidden="1"/>
    <cellStyle name="Hipervínculo" xfId="6754" builtinId="8" hidden="1"/>
    <cellStyle name="Hipervínculo" xfId="6756" builtinId="8" hidden="1"/>
    <cellStyle name="Hipervínculo" xfId="6758" builtinId="8" hidden="1"/>
    <cellStyle name="Hipervínculo" xfId="6760" builtinId="8" hidden="1"/>
    <cellStyle name="Hipervínculo" xfId="6762" builtinId="8" hidden="1"/>
    <cellStyle name="Hipervínculo" xfId="6764" builtinId="8" hidden="1"/>
    <cellStyle name="Hipervínculo" xfId="6766" builtinId="8" hidden="1"/>
    <cellStyle name="Hipervínculo" xfId="6768" builtinId="8" hidden="1"/>
    <cellStyle name="Hipervínculo" xfId="6770" builtinId="8" hidden="1"/>
    <cellStyle name="Hipervínculo" xfId="6772" builtinId="8" hidden="1"/>
    <cellStyle name="Hipervínculo" xfId="6774" builtinId="8" hidden="1"/>
    <cellStyle name="Hipervínculo" xfId="6776" builtinId="8" hidden="1"/>
    <cellStyle name="Hipervínculo" xfId="6778" builtinId="8" hidden="1"/>
    <cellStyle name="Hipervínculo" xfId="6780" builtinId="8" hidden="1"/>
    <cellStyle name="Hipervínculo" xfId="6782" builtinId="8" hidden="1"/>
    <cellStyle name="Hipervínculo" xfId="6784" builtinId="8" hidden="1"/>
    <cellStyle name="Hipervínculo" xfId="6786" builtinId="8" hidden="1"/>
    <cellStyle name="Hipervínculo" xfId="6788" builtinId="8" hidden="1"/>
    <cellStyle name="Hipervínculo" xfId="6790" builtinId="8" hidden="1"/>
    <cellStyle name="Hipervínculo" xfId="6792" builtinId="8" hidden="1"/>
    <cellStyle name="Hipervínculo" xfId="6794" builtinId="8" hidden="1"/>
    <cellStyle name="Hipervínculo" xfId="6796" builtinId="8" hidden="1"/>
    <cellStyle name="Hipervínculo" xfId="6798" builtinId="8" hidden="1"/>
    <cellStyle name="Hipervínculo" xfId="6800" builtinId="8" hidden="1"/>
    <cellStyle name="Hipervínculo" xfId="6802" builtinId="8" hidden="1"/>
    <cellStyle name="Hipervínculo" xfId="6804" builtinId="8" hidden="1"/>
    <cellStyle name="Hipervínculo" xfId="6806" builtinId="8" hidden="1"/>
    <cellStyle name="Hipervínculo" xfId="6808" builtinId="8" hidden="1"/>
    <cellStyle name="Hipervínculo" xfId="6810" builtinId="8" hidden="1"/>
    <cellStyle name="Hipervínculo" xfId="6812" builtinId="8" hidden="1"/>
    <cellStyle name="Hipervínculo" xfId="6814" builtinId="8" hidden="1"/>
    <cellStyle name="Hipervínculo" xfId="6816" builtinId="8" hidden="1"/>
    <cellStyle name="Hipervínculo" xfId="6818" builtinId="8" hidden="1"/>
    <cellStyle name="Hipervínculo" xfId="6820" builtinId="8" hidden="1"/>
    <cellStyle name="Hipervínculo" xfId="6822" builtinId="8" hidden="1"/>
    <cellStyle name="Hipervínculo" xfId="6824" builtinId="8" hidden="1"/>
    <cellStyle name="Hipervínculo" xfId="6826" builtinId="8" hidden="1"/>
    <cellStyle name="Hipervínculo" xfId="6828" builtinId="8" hidden="1"/>
    <cellStyle name="Hipervínculo" xfId="6830" builtinId="8" hidden="1"/>
    <cellStyle name="Hipervínculo" xfId="6832" builtinId="8" hidden="1"/>
    <cellStyle name="Hipervínculo" xfId="6834" builtinId="8" hidden="1"/>
    <cellStyle name="Hipervínculo" xfId="6836" builtinId="8" hidden="1"/>
    <cellStyle name="Hipervínculo" xfId="6838" builtinId="8" hidden="1"/>
    <cellStyle name="Hipervínculo" xfId="6840" builtinId="8" hidden="1"/>
    <cellStyle name="Hipervínculo" xfId="6842" builtinId="8" hidden="1"/>
    <cellStyle name="Hipervínculo" xfId="6844" builtinId="8" hidden="1"/>
    <cellStyle name="Hipervínculo" xfId="6846" builtinId="8" hidden="1"/>
    <cellStyle name="Hipervínculo" xfId="6848" builtinId="8" hidden="1"/>
    <cellStyle name="Hipervínculo" xfId="6850" builtinId="8" hidden="1"/>
    <cellStyle name="Hipervínculo" xfId="6852" builtinId="8" hidden="1"/>
    <cellStyle name="Hipervínculo" xfId="6854" builtinId="8" hidden="1"/>
    <cellStyle name="Hipervínculo" xfId="6856" builtinId="8" hidden="1"/>
    <cellStyle name="Hipervínculo" xfId="6858" builtinId="8" hidden="1"/>
    <cellStyle name="Hipervínculo" xfId="6860" builtinId="8" hidden="1"/>
    <cellStyle name="Hipervínculo" xfId="6862" builtinId="8" hidden="1"/>
    <cellStyle name="Hipervínculo" xfId="6864" builtinId="8" hidden="1"/>
    <cellStyle name="Hipervínculo" xfId="6866" builtinId="8" hidden="1"/>
    <cellStyle name="Hipervínculo" xfId="6868" builtinId="8" hidden="1"/>
    <cellStyle name="Hipervínculo" xfId="6870" builtinId="8" hidden="1"/>
    <cellStyle name="Hipervínculo" xfId="6872" builtinId="8" hidden="1"/>
    <cellStyle name="Hipervínculo" xfId="6874" builtinId="8" hidden="1"/>
    <cellStyle name="Hipervínculo" xfId="6876" builtinId="8" hidden="1"/>
    <cellStyle name="Hipervínculo" xfId="6878" builtinId="8" hidden="1"/>
    <cellStyle name="Hipervínculo" xfId="6880" builtinId="8" hidden="1"/>
    <cellStyle name="Hipervínculo" xfId="6882" builtinId="8" hidden="1"/>
    <cellStyle name="Hipervínculo" xfId="6884" builtinId="8" hidden="1"/>
    <cellStyle name="Hipervínculo" xfId="6886" builtinId="8" hidden="1"/>
    <cellStyle name="Hipervínculo" xfId="6888" builtinId="8" hidden="1"/>
    <cellStyle name="Hipervínculo" xfId="6890" builtinId="8" hidden="1"/>
    <cellStyle name="Hipervínculo" xfId="6892" builtinId="8" hidden="1"/>
    <cellStyle name="Hipervínculo" xfId="6894" builtinId="8" hidden="1"/>
    <cellStyle name="Hipervínculo" xfId="6896" builtinId="8" hidden="1"/>
    <cellStyle name="Hipervínculo" xfId="6898" builtinId="8" hidden="1"/>
    <cellStyle name="Hipervínculo" xfId="6900" builtinId="8" hidden="1"/>
    <cellStyle name="Hipervínculo" xfId="6902" builtinId="8" hidden="1"/>
    <cellStyle name="Hipervínculo" xfId="6904" builtinId="8" hidden="1"/>
    <cellStyle name="Hipervínculo" xfId="6906" builtinId="8" hidden="1"/>
    <cellStyle name="Hipervínculo" xfId="6908" builtinId="8" hidden="1"/>
    <cellStyle name="Hipervínculo" xfId="6910" builtinId="8" hidden="1"/>
    <cellStyle name="Hipervínculo" xfId="6912" builtinId="8" hidden="1"/>
    <cellStyle name="Hipervínculo" xfId="6914" builtinId="8" hidden="1"/>
    <cellStyle name="Hipervínculo" xfId="6916" builtinId="8" hidden="1"/>
    <cellStyle name="Hipervínculo" xfId="6918" builtinId="8" hidden="1"/>
    <cellStyle name="Hipervínculo" xfId="6920" builtinId="8" hidden="1"/>
    <cellStyle name="Hipervínculo" xfId="6922" builtinId="8" hidden="1"/>
    <cellStyle name="Hipervínculo" xfId="6924" builtinId="8" hidden="1"/>
    <cellStyle name="Hipervínculo" xfId="6926" builtinId="8" hidden="1"/>
    <cellStyle name="Hipervínculo" xfId="6928" builtinId="8" hidden="1"/>
    <cellStyle name="Hipervínculo" xfId="6930" builtinId="8" hidden="1"/>
    <cellStyle name="Hipervínculo" xfId="6932" builtinId="8" hidden="1"/>
    <cellStyle name="Hipervínculo" xfId="6934" builtinId="8" hidden="1"/>
    <cellStyle name="Hipervínculo" xfId="6936" builtinId="8" hidden="1"/>
    <cellStyle name="Hipervínculo" xfId="6938" builtinId="8" hidden="1"/>
    <cellStyle name="Hipervínculo" xfId="6940" builtinId="8" hidden="1"/>
    <cellStyle name="Hipervínculo" xfId="6942" builtinId="8" hidden="1"/>
    <cellStyle name="Hipervínculo" xfId="6944" builtinId="8" hidden="1"/>
    <cellStyle name="Hipervínculo" xfId="6946" builtinId="8" hidden="1"/>
    <cellStyle name="Hipervínculo" xfId="6948" builtinId="8" hidden="1"/>
    <cellStyle name="Hipervínculo" xfId="6950" builtinId="8" hidden="1"/>
    <cellStyle name="Hipervínculo" xfId="6952" builtinId="8" hidden="1"/>
    <cellStyle name="Hipervínculo" xfId="6954" builtinId="8" hidden="1"/>
    <cellStyle name="Hipervínculo" xfId="6956" builtinId="8" hidden="1"/>
    <cellStyle name="Hipervínculo" xfId="6958" builtinId="8" hidden="1"/>
    <cellStyle name="Hipervínculo" xfId="6960" builtinId="8" hidden="1"/>
    <cellStyle name="Hipervínculo" xfId="6962" builtinId="8" hidden="1"/>
    <cellStyle name="Hipervínculo" xfId="6964" builtinId="8" hidden="1"/>
    <cellStyle name="Hipervínculo" xfId="6966" builtinId="8" hidden="1"/>
    <cellStyle name="Hipervínculo" xfId="6968" builtinId="8" hidden="1"/>
    <cellStyle name="Hipervínculo" xfId="6970" builtinId="8" hidden="1"/>
    <cellStyle name="Hipervínculo" xfId="6972" builtinId="8" hidden="1"/>
    <cellStyle name="Hipervínculo" xfId="6974" builtinId="8" hidden="1"/>
    <cellStyle name="Hipervínculo" xfId="6976" builtinId="8" hidden="1"/>
    <cellStyle name="Hipervínculo" xfId="6978" builtinId="8" hidden="1"/>
    <cellStyle name="Hipervínculo" xfId="6980" builtinId="8" hidden="1"/>
    <cellStyle name="Hipervínculo" xfId="6982" builtinId="8" hidden="1"/>
    <cellStyle name="Hipervínculo" xfId="6984" builtinId="8" hidden="1"/>
    <cellStyle name="Hipervínculo" xfId="6986" builtinId="8" hidden="1"/>
    <cellStyle name="Hipervínculo" xfId="6988" builtinId="8" hidden="1"/>
    <cellStyle name="Hipervínculo" xfId="6990" builtinId="8" hidden="1"/>
    <cellStyle name="Hipervínculo" xfId="6992" builtinId="8" hidden="1"/>
    <cellStyle name="Hipervínculo" xfId="6994" builtinId="8" hidden="1"/>
    <cellStyle name="Hipervínculo" xfId="6996" builtinId="8" hidden="1"/>
    <cellStyle name="Hipervínculo" xfId="6998" builtinId="8" hidden="1"/>
    <cellStyle name="Hipervínculo" xfId="7000" builtinId="8" hidden="1"/>
    <cellStyle name="Hipervínculo" xfId="7002" builtinId="8" hidden="1"/>
    <cellStyle name="Hipervínculo" xfId="7004" builtinId="8" hidden="1"/>
    <cellStyle name="Hipervínculo" xfId="7006" builtinId="8" hidden="1"/>
    <cellStyle name="Hipervínculo" xfId="7008" builtinId="8" hidden="1"/>
    <cellStyle name="Hipervínculo" xfId="7010" builtinId="8" hidden="1"/>
    <cellStyle name="Hipervínculo" xfId="7012" builtinId="8" hidden="1"/>
    <cellStyle name="Hipervínculo" xfId="7014" builtinId="8" hidden="1"/>
    <cellStyle name="Hipervínculo" xfId="7016" builtinId="8" hidden="1"/>
    <cellStyle name="Hipervínculo" xfId="7018" builtinId="8" hidden="1"/>
    <cellStyle name="Hipervínculo" xfId="7020" builtinId="8" hidden="1"/>
    <cellStyle name="Hipervínculo" xfId="7022" builtinId="8" hidden="1"/>
    <cellStyle name="Hipervínculo" xfId="7024" builtinId="8" hidden="1"/>
    <cellStyle name="Hipervínculo" xfId="7026" builtinId="8" hidden="1"/>
    <cellStyle name="Hipervínculo" xfId="7028" builtinId="8" hidden="1"/>
    <cellStyle name="Hipervínculo" xfId="7030" builtinId="8" hidden="1"/>
    <cellStyle name="Hipervínculo" xfId="7032" builtinId="8" hidden="1"/>
    <cellStyle name="Hipervínculo" xfId="7034" builtinId="8" hidden="1"/>
    <cellStyle name="Hipervínculo" xfId="7036" builtinId="8" hidden="1"/>
    <cellStyle name="Hipervínculo" xfId="7038" builtinId="8" hidden="1"/>
    <cellStyle name="Hipervínculo" xfId="7040" builtinId="8" hidden="1"/>
    <cellStyle name="Hipervínculo" xfId="7042" builtinId="8" hidden="1"/>
    <cellStyle name="Hipervínculo" xfId="7044" builtinId="8" hidden="1"/>
    <cellStyle name="Hipervínculo" xfId="7046" builtinId="8" hidden="1"/>
    <cellStyle name="Hipervínculo" xfId="7048" builtinId="8" hidden="1"/>
    <cellStyle name="Hipervínculo" xfId="7050" builtinId="8" hidden="1"/>
    <cellStyle name="Hipervínculo" xfId="7052" builtinId="8" hidden="1"/>
    <cellStyle name="Hipervínculo" xfId="7054" builtinId="8" hidden="1"/>
    <cellStyle name="Hipervínculo" xfId="7056" builtinId="8" hidden="1"/>
    <cellStyle name="Hipervínculo" xfId="7058" builtinId="8" hidden="1"/>
    <cellStyle name="Hipervínculo" xfId="7060" builtinId="8" hidden="1"/>
    <cellStyle name="Hipervínculo" xfId="7062" builtinId="8" hidden="1"/>
    <cellStyle name="Hipervínculo" xfId="7064" builtinId="8" hidden="1"/>
    <cellStyle name="Hipervínculo" xfId="7066" builtinId="8" hidden="1"/>
    <cellStyle name="Hipervínculo" xfId="7068" builtinId="8" hidden="1"/>
    <cellStyle name="Hipervínculo" xfId="7070" builtinId="8" hidden="1"/>
    <cellStyle name="Hipervínculo" xfId="7072" builtinId="8" hidden="1"/>
    <cellStyle name="Hipervínculo" xfId="7074" builtinId="8" hidden="1"/>
    <cellStyle name="Hipervínculo" xfId="7076" builtinId="8" hidden="1"/>
    <cellStyle name="Hipervínculo" xfId="7078" builtinId="8" hidden="1"/>
    <cellStyle name="Hipervínculo" xfId="7080" builtinId="8" hidden="1"/>
    <cellStyle name="Hipervínculo" xfId="7082" builtinId="8" hidden="1"/>
    <cellStyle name="Hipervínculo" xfId="7084" builtinId="8" hidden="1"/>
    <cellStyle name="Hipervínculo" xfId="7086" builtinId="8" hidden="1"/>
    <cellStyle name="Hipervínculo" xfId="7088" builtinId="8" hidden="1"/>
    <cellStyle name="Hipervínculo" xfId="7090" builtinId="8" hidden="1"/>
    <cellStyle name="Hipervínculo" xfId="7092" builtinId="8" hidden="1"/>
    <cellStyle name="Hipervínculo" xfId="7094" builtinId="8" hidden="1"/>
    <cellStyle name="Hipervínculo" xfId="7096" builtinId="8" hidden="1"/>
    <cellStyle name="Hipervínculo" xfId="7098" builtinId="8" hidden="1"/>
    <cellStyle name="Hipervínculo" xfId="7100" builtinId="8" hidden="1"/>
    <cellStyle name="Hipervínculo" xfId="7102" builtinId="8" hidden="1"/>
    <cellStyle name="Hipervínculo" xfId="7104" builtinId="8" hidden="1"/>
    <cellStyle name="Hipervínculo" xfId="7106" builtinId="8" hidden="1"/>
    <cellStyle name="Hipervínculo" xfId="7108" builtinId="8" hidden="1"/>
    <cellStyle name="Hipervínculo" xfId="7110" builtinId="8" hidden="1"/>
    <cellStyle name="Hipervínculo" xfId="7112" builtinId="8" hidden="1"/>
    <cellStyle name="Hipervínculo" xfId="7114" builtinId="8" hidden="1"/>
    <cellStyle name="Hipervínculo" xfId="7116" builtinId="8" hidden="1"/>
    <cellStyle name="Hipervínculo" xfId="7118" builtinId="8" hidden="1"/>
    <cellStyle name="Hipervínculo" xfId="7120" builtinId="8" hidden="1"/>
    <cellStyle name="Hipervínculo" xfId="7122" builtinId="8" hidden="1"/>
    <cellStyle name="Hipervínculo" xfId="7124" builtinId="8" hidden="1"/>
    <cellStyle name="Hipervínculo" xfId="7126" builtinId="8" hidden="1"/>
    <cellStyle name="Hipervínculo" xfId="7128" builtinId="8" hidden="1"/>
    <cellStyle name="Hipervínculo" xfId="7130" builtinId="8" hidden="1"/>
    <cellStyle name="Hipervínculo" xfId="7132" builtinId="8" hidden="1"/>
    <cellStyle name="Hipervínculo" xfId="7134" builtinId="8" hidden="1"/>
    <cellStyle name="Hipervínculo" xfId="7136" builtinId="8" hidden="1"/>
    <cellStyle name="Hipervínculo" xfId="7138" builtinId="8" hidden="1"/>
    <cellStyle name="Hipervínculo" xfId="7140" builtinId="8" hidden="1"/>
    <cellStyle name="Hipervínculo" xfId="7142" builtinId="8" hidden="1"/>
    <cellStyle name="Hipervínculo" xfId="7144" builtinId="8" hidden="1"/>
    <cellStyle name="Hipervínculo" xfId="7146" builtinId="8" hidden="1"/>
    <cellStyle name="Hipervínculo" xfId="7148" builtinId="8" hidden="1"/>
    <cellStyle name="Hipervínculo" xfId="7150" builtinId="8" hidden="1"/>
    <cellStyle name="Hipervínculo" xfId="7152" builtinId="8" hidden="1"/>
    <cellStyle name="Hipervínculo" xfId="7154" builtinId="8" hidden="1"/>
    <cellStyle name="Hipervínculo" xfId="7156" builtinId="8" hidden="1"/>
    <cellStyle name="Hipervínculo" xfId="7158" builtinId="8" hidden="1"/>
    <cellStyle name="Hipervínculo" xfId="7160" builtinId="8" hidden="1"/>
    <cellStyle name="Hipervínculo" xfId="7162" builtinId="8" hidden="1"/>
    <cellStyle name="Hipervínculo" xfId="7164" builtinId="8" hidden="1"/>
    <cellStyle name="Hipervínculo" xfId="7166" builtinId="8" hidden="1"/>
    <cellStyle name="Hipervínculo" xfId="7168" builtinId="8" hidden="1"/>
    <cellStyle name="Hipervínculo" xfId="7170" builtinId="8" hidden="1"/>
    <cellStyle name="Hipervínculo" xfId="7172" builtinId="8" hidden="1"/>
    <cellStyle name="Hipervínculo" xfId="7174" builtinId="8" hidden="1"/>
    <cellStyle name="Hipervínculo" xfId="7176" builtinId="8" hidden="1"/>
    <cellStyle name="Hipervínculo" xfId="7178" builtinId="8" hidden="1"/>
    <cellStyle name="Hipervínculo" xfId="7180" builtinId="8" hidden="1"/>
    <cellStyle name="Hipervínculo" xfId="7182" builtinId="8" hidden="1"/>
    <cellStyle name="Hipervínculo" xfId="7184" builtinId="8" hidden="1"/>
    <cellStyle name="Hipervínculo" xfId="7186" builtinId="8" hidden="1"/>
    <cellStyle name="Hipervínculo" xfId="7188" builtinId="8" hidden="1"/>
    <cellStyle name="Hipervínculo" xfId="7190" builtinId="8" hidden="1"/>
    <cellStyle name="Hipervínculo" xfId="7192" builtinId="8" hidden="1"/>
    <cellStyle name="Hipervínculo" xfId="7194" builtinId="8" hidden="1"/>
    <cellStyle name="Hipervínculo" xfId="7196" builtinId="8" hidden="1"/>
    <cellStyle name="Hipervínculo" xfId="7198" builtinId="8" hidden="1"/>
    <cellStyle name="Hipervínculo" xfId="7200" builtinId="8" hidden="1"/>
    <cellStyle name="Hipervínculo" xfId="7202" builtinId="8" hidden="1"/>
    <cellStyle name="Hipervínculo" xfId="7204" builtinId="8" hidden="1"/>
    <cellStyle name="Hipervínculo" xfId="7206" builtinId="8" hidden="1"/>
    <cellStyle name="Hipervínculo" xfId="7208" builtinId="8" hidden="1"/>
    <cellStyle name="Hipervínculo" xfId="7210" builtinId="8" hidden="1"/>
    <cellStyle name="Hipervínculo" xfId="7212" builtinId="8" hidden="1"/>
    <cellStyle name="Hipervínculo" xfId="7214" builtinId="8" hidden="1"/>
    <cellStyle name="Hipervínculo" xfId="7216" builtinId="8" hidden="1"/>
    <cellStyle name="Hipervínculo" xfId="7218" builtinId="8" hidden="1"/>
    <cellStyle name="Hipervínculo" xfId="7220" builtinId="8" hidden="1"/>
    <cellStyle name="Hipervínculo" xfId="7222" builtinId="8" hidden="1"/>
    <cellStyle name="Hipervínculo" xfId="7224" builtinId="8" hidden="1"/>
    <cellStyle name="Hipervínculo" xfId="7226" builtinId="8" hidden="1"/>
    <cellStyle name="Hipervínculo" xfId="7228" builtinId="8" hidden="1"/>
    <cellStyle name="Hipervínculo" xfId="7230" builtinId="8" hidden="1"/>
    <cellStyle name="Hipervínculo" xfId="7232" builtinId="8" hidden="1"/>
    <cellStyle name="Hipervínculo" xfId="7234" builtinId="8" hidden="1"/>
    <cellStyle name="Hipervínculo" xfId="7236" builtinId="8" hidden="1"/>
    <cellStyle name="Hipervínculo" xfId="7238" builtinId="8" hidden="1"/>
    <cellStyle name="Hipervínculo" xfId="7240" builtinId="8" hidden="1"/>
    <cellStyle name="Hipervínculo" xfId="7242" builtinId="8" hidden="1"/>
    <cellStyle name="Hipervínculo" xfId="7244" builtinId="8" hidden="1"/>
    <cellStyle name="Hipervínculo" xfId="7246" builtinId="8" hidden="1"/>
    <cellStyle name="Hipervínculo" xfId="7248" builtinId="8" hidden="1"/>
    <cellStyle name="Hipervínculo" xfId="7250" builtinId="8" hidden="1"/>
    <cellStyle name="Hipervínculo" xfId="7252" builtinId="8" hidden="1"/>
    <cellStyle name="Hipervínculo" xfId="7254" builtinId="8" hidden="1"/>
    <cellStyle name="Hipervínculo" xfId="7256" builtinId="8" hidden="1"/>
    <cellStyle name="Hipervínculo" xfId="7258" builtinId="8" hidden="1"/>
    <cellStyle name="Hipervínculo" xfId="7260" builtinId="8" hidden="1"/>
    <cellStyle name="Hipervínculo" xfId="7262" builtinId="8" hidden="1"/>
    <cellStyle name="Hipervínculo" xfId="7264" builtinId="8" hidden="1"/>
    <cellStyle name="Hipervínculo" xfId="7266" builtinId="8" hidden="1"/>
    <cellStyle name="Hipervínculo" xfId="7268" builtinId="8" hidden="1"/>
    <cellStyle name="Hipervínculo" xfId="7270" builtinId="8" hidden="1"/>
    <cellStyle name="Hipervínculo" xfId="7272" builtinId="8" hidden="1"/>
    <cellStyle name="Hipervínculo" xfId="7274" builtinId="8" hidden="1"/>
    <cellStyle name="Hipervínculo" xfId="7276" builtinId="8" hidden="1"/>
    <cellStyle name="Hipervínculo" xfId="7278" builtinId="8" hidden="1"/>
    <cellStyle name="Hipervínculo" xfId="7280" builtinId="8" hidden="1"/>
    <cellStyle name="Hipervínculo" xfId="7282" builtinId="8" hidden="1"/>
    <cellStyle name="Hipervínculo" xfId="7284" builtinId="8" hidden="1"/>
    <cellStyle name="Hipervínculo" xfId="7286" builtinId="8" hidden="1"/>
    <cellStyle name="Hipervínculo" xfId="7288" builtinId="8" hidden="1"/>
    <cellStyle name="Hipervínculo" xfId="7290" builtinId="8" hidden="1"/>
    <cellStyle name="Hipervínculo" xfId="7292" builtinId="8" hidden="1"/>
    <cellStyle name="Hipervínculo" xfId="7294" builtinId="8" hidden="1"/>
    <cellStyle name="Hipervínculo" xfId="7296" builtinId="8" hidden="1"/>
    <cellStyle name="Hipervínculo" xfId="7298" builtinId="8" hidden="1"/>
    <cellStyle name="Hipervínculo" xfId="7300" builtinId="8" hidden="1"/>
    <cellStyle name="Hipervínculo" xfId="7302" builtinId="8" hidden="1"/>
    <cellStyle name="Hipervínculo" xfId="7304" builtinId="8" hidden="1"/>
    <cellStyle name="Hipervínculo" xfId="7306" builtinId="8" hidden="1"/>
    <cellStyle name="Hipervínculo" xfId="7308" builtinId="8" hidden="1"/>
    <cellStyle name="Hipervínculo" xfId="7310" builtinId="8" hidden="1"/>
    <cellStyle name="Hipervínculo" xfId="7312" builtinId="8" hidden="1"/>
    <cellStyle name="Hipervínculo" xfId="7314" builtinId="8" hidden="1"/>
    <cellStyle name="Hipervínculo" xfId="7316" builtinId="8" hidden="1"/>
    <cellStyle name="Hipervínculo" xfId="7318" builtinId="8" hidden="1"/>
    <cellStyle name="Hipervínculo" xfId="7320" builtinId="8" hidden="1"/>
    <cellStyle name="Hipervínculo" xfId="7322" builtinId="8" hidden="1"/>
    <cellStyle name="Hipervínculo" xfId="7324" builtinId="8" hidden="1"/>
    <cellStyle name="Hipervínculo" xfId="7326" builtinId="8" hidden="1"/>
    <cellStyle name="Hipervínculo" xfId="7328" builtinId="8" hidden="1"/>
    <cellStyle name="Hipervínculo" xfId="7330" builtinId="8" hidden="1"/>
    <cellStyle name="Hipervínculo" xfId="7332" builtinId="8" hidden="1"/>
    <cellStyle name="Hipervínculo" xfId="7334" builtinId="8" hidden="1"/>
    <cellStyle name="Hipervínculo" xfId="7336" builtinId="8" hidden="1"/>
    <cellStyle name="Hipervínculo" xfId="7338" builtinId="8" hidden="1"/>
    <cellStyle name="Hipervínculo" xfId="7340" builtinId="8" hidden="1"/>
    <cellStyle name="Hipervínculo" xfId="7342" builtinId="8" hidden="1"/>
    <cellStyle name="Hipervínculo" xfId="7344" builtinId="8" hidden="1"/>
    <cellStyle name="Hipervínculo" xfId="7346" builtinId="8" hidden="1"/>
    <cellStyle name="Hipervínculo" xfId="7348" builtinId="8" hidden="1"/>
    <cellStyle name="Hipervínculo" xfId="7350" builtinId="8" hidden="1"/>
    <cellStyle name="Hipervínculo" xfId="7352" builtinId="8" hidden="1"/>
    <cellStyle name="Hipervínculo" xfId="7354" builtinId="8" hidden="1"/>
    <cellStyle name="Hipervínculo" xfId="7356" builtinId="8" hidden="1"/>
    <cellStyle name="Hipervínculo" xfId="7358" builtinId="8" hidden="1"/>
    <cellStyle name="Hipervínculo" xfId="7360" builtinId="8" hidden="1"/>
    <cellStyle name="Hipervínculo" xfId="7362" builtinId="8" hidden="1"/>
    <cellStyle name="Hipervínculo" xfId="7364" builtinId="8" hidden="1"/>
    <cellStyle name="Hipervínculo" xfId="7366" builtinId="8" hidden="1"/>
    <cellStyle name="Hipervínculo" xfId="7368" builtinId="8" hidden="1"/>
    <cellStyle name="Hipervínculo" xfId="7370" builtinId="8" hidden="1"/>
    <cellStyle name="Hipervínculo" xfId="7372" builtinId="8" hidden="1"/>
    <cellStyle name="Hipervínculo" xfId="7374" builtinId="8" hidden="1"/>
    <cellStyle name="Hipervínculo" xfId="7376" builtinId="8" hidden="1"/>
    <cellStyle name="Hipervínculo" xfId="7378" builtinId="8" hidden="1"/>
    <cellStyle name="Hipervínculo" xfId="7380" builtinId="8" hidden="1"/>
    <cellStyle name="Hipervínculo" xfId="7382" builtinId="8" hidden="1"/>
    <cellStyle name="Hipervínculo" xfId="7384" builtinId="8" hidden="1"/>
    <cellStyle name="Hipervínculo" xfId="7386" builtinId="8" hidden="1"/>
    <cellStyle name="Hipervínculo" xfId="7388" builtinId="8" hidden="1"/>
    <cellStyle name="Hipervínculo" xfId="7390" builtinId="8" hidden="1"/>
    <cellStyle name="Hipervínculo" xfId="7392" builtinId="8" hidden="1"/>
    <cellStyle name="Hipervínculo" xfId="7394" builtinId="8" hidden="1"/>
    <cellStyle name="Hipervínculo" xfId="7396" builtinId="8" hidden="1"/>
    <cellStyle name="Hipervínculo" xfId="7398" builtinId="8" hidden="1"/>
    <cellStyle name="Hipervínculo" xfId="7400" builtinId="8" hidden="1"/>
    <cellStyle name="Hipervínculo" xfId="7402" builtinId="8" hidden="1"/>
    <cellStyle name="Hipervínculo" xfId="7404" builtinId="8" hidden="1"/>
    <cellStyle name="Hipervínculo" xfId="7406" builtinId="8" hidden="1"/>
    <cellStyle name="Hipervínculo" xfId="7408" builtinId="8" hidden="1"/>
    <cellStyle name="Hipervínculo" xfId="7410" builtinId="8" hidden="1"/>
    <cellStyle name="Hipervínculo" xfId="7412" builtinId="8" hidden="1"/>
    <cellStyle name="Hipervínculo" xfId="7414" builtinId="8" hidden="1"/>
    <cellStyle name="Hipervínculo" xfId="7416" builtinId="8" hidden="1"/>
    <cellStyle name="Hipervínculo" xfId="7418" builtinId="8" hidden="1"/>
    <cellStyle name="Hipervínculo" xfId="7420" builtinId="8" hidden="1"/>
    <cellStyle name="Hipervínculo" xfId="7422" builtinId="8" hidden="1"/>
    <cellStyle name="Hipervínculo" xfId="7424" builtinId="8" hidden="1"/>
    <cellStyle name="Hipervínculo" xfId="7426" builtinId="8" hidden="1"/>
    <cellStyle name="Hipervínculo" xfId="7428" builtinId="8" hidden="1"/>
    <cellStyle name="Hipervínculo" xfId="7430" builtinId="8" hidden="1"/>
    <cellStyle name="Hipervínculo" xfId="7432" builtinId="8" hidden="1"/>
    <cellStyle name="Hipervínculo" xfId="7434" builtinId="8" hidden="1"/>
    <cellStyle name="Hipervínculo" xfId="7436" builtinId="8" hidden="1"/>
    <cellStyle name="Hipervínculo" xfId="7438" builtinId="8" hidden="1"/>
    <cellStyle name="Hipervínculo" xfId="7440" builtinId="8" hidden="1"/>
    <cellStyle name="Hipervínculo" xfId="7442" builtinId="8" hidden="1"/>
    <cellStyle name="Hipervínculo" xfId="7444" builtinId="8" hidden="1"/>
    <cellStyle name="Hipervínculo" xfId="7446" builtinId="8" hidden="1"/>
    <cellStyle name="Hipervínculo" xfId="7448" builtinId="8" hidden="1"/>
    <cellStyle name="Hipervínculo" xfId="7450" builtinId="8" hidden="1"/>
    <cellStyle name="Hipervínculo" xfId="7452" builtinId="8" hidden="1"/>
    <cellStyle name="Hipervínculo" xfId="7454" builtinId="8" hidden="1"/>
    <cellStyle name="Hipervínculo" xfId="7456" builtinId="8" hidden="1"/>
    <cellStyle name="Hipervínculo" xfId="7458" builtinId="8" hidden="1"/>
    <cellStyle name="Hipervínculo" xfId="7460" builtinId="8" hidden="1"/>
    <cellStyle name="Hipervínculo" xfId="7462" builtinId="8" hidden="1"/>
    <cellStyle name="Hipervínculo" xfId="7464" builtinId="8" hidden="1"/>
    <cellStyle name="Hipervínculo" xfId="7466" builtinId="8" hidden="1"/>
    <cellStyle name="Hipervínculo" xfId="7468" builtinId="8" hidden="1"/>
    <cellStyle name="Hipervínculo" xfId="7470" builtinId="8" hidden="1"/>
    <cellStyle name="Hipervínculo" xfId="7472" builtinId="8" hidden="1"/>
    <cellStyle name="Hipervínculo" xfId="7474" builtinId="8" hidden="1"/>
    <cellStyle name="Hipervínculo" xfId="7476" builtinId="8" hidden="1"/>
    <cellStyle name="Hipervínculo" xfId="7478" builtinId="8" hidden="1"/>
    <cellStyle name="Hipervínculo" xfId="7480" builtinId="8" hidden="1"/>
    <cellStyle name="Hipervínculo" xfId="7482" builtinId="8" hidden="1"/>
    <cellStyle name="Hipervínculo" xfId="7484" builtinId="8" hidden="1"/>
    <cellStyle name="Hipervínculo" xfId="7486" builtinId="8" hidden="1"/>
    <cellStyle name="Hipervínculo" xfId="7488" builtinId="8" hidden="1"/>
    <cellStyle name="Hipervínculo" xfId="7490" builtinId="8" hidden="1"/>
    <cellStyle name="Hipervínculo" xfId="7492" builtinId="8" hidden="1"/>
    <cellStyle name="Hipervínculo" xfId="7494" builtinId="8" hidden="1"/>
    <cellStyle name="Hipervínculo" xfId="7496" builtinId="8" hidden="1"/>
    <cellStyle name="Hipervínculo" xfId="7498" builtinId="8" hidden="1"/>
    <cellStyle name="Hipervínculo" xfId="7500" builtinId="8" hidden="1"/>
    <cellStyle name="Hipervínculo" xfId="7502" builtinId="8" hidden="1"/>
    <cellStyle name="Hipervínculo" xfId="7504" builtinId="8" hidden="1"/>
    <cellStyle name="Hipervínculo" xfId="7506" builtinId="8" hidden="1"/>
    <cellStyle name="Hipervínculo" xfId="7508" builtinId="8" hidden="1"/>
    <cellStyle name="Hipervínculo" xfId="7510" builtinId="8" hidden="1"/>
    <cellStyle name="Hipervínculo" xfId="7512" builtinId="8" hidden="1"/>
    <cellStyle name="Hipervínculo" xfId="7514" builtinId="8" hidden="1"/>
    <cellStyle name="Hipervínculo" xfId="7516" builtinId="8" hidden="1"/>
    <cellStyle name="Hipervínculo" xfId="7518" builtinId="8" hidden="1"/>
    <cellStyle name="Hipervínculo" xfId="7520" builtinId="8" hidden="1"/>
    <cellStyle name="Hipervínculo" xfId="7522" builtinId="8" hidden="1"/>
    <cellStyle name="Hipervínculo" xfId="7524" builtinId="8" hidden="1"/>
    <cellStyle name="Hipervínculo" xfId="7526" builtinId="8" hidden="1"/>
    <cellStyle name="Hipervínculo" xfId="7528" builtinId="8" hidden="1"/>
    <cellStyle name="Hipervínculo" xfId="7530" builtinId="8" hidden="1"/>
    <cellStyle name="Hipervínculo" xfId="7532" builtinId="8" hidden="1"/>
    <cellStyle name="Hipervínculo" xfId="7534" builtinId="8" hidden="1"/>
    <cellStyle name="Hipervínculo" xfId="7536" builtinId="8" hidden="1"/>
    <cellStyle name="Hipervínculo" xfId="7538" builtinId="8" hidden="1"/>
    <cellStyle name="Hipervínculo" xfId="7540" builtinId="8" hidden="1"/>
    <cellStyle name="Hipervínculo" xfId="7542" builtinId="8" hidden="1"/>
    <cellStyle name="Hipervínculo" xfId="7544" builtinId="8" hidden="1"/>
    <cellStyle name="Hipervínculo" xfId="7546" builtinId="8" hidden="1"/>
    <cellStyle name="Hipervínculo" xfId="7548" builtinId="8" hidden="1"/>
    <cellStyle name="Hipervínculo" xfId="7550" builtinId="8" hidden="1"/>
    <cellStyle name="Hipervínculo" xfId="7552" builtinId="8" hidden="1"/>
    <cellStyle name="Hipervínculo" xfId="7554" builtinId="8" hidden="1"/>
    <cellStyle name="Hipervínculo" xfId="7556" builtinId="8" hidden="1"/>
    <cellStyle name="Hipervínculo" xfId="7558" builtinId="8" hidden="1"/>
    <cellStyle name="Hipervínculo" xfId="7560" builtinId="8" hidden="1"/>
    <cellStyle name="Hipervínculo" xfId="7562" builtinId="8" hidden="1"/>
    <cellStyle name="Hipervínculo" xfId="7564" builtinId="8" hidden="1"/>
    <cellStyle name="Hipervínculo" xfId="7566" builtinId="8" hidden="1"/>
    <cellStyle name="Hipervínculo" xfId="7568" builtinId="8" hidden="1"/>
    <cellStyle name="Hipervínculo" xfId="7570" builtinId="8" hidden="1"/>
    <cellStyle name="Hipervínculo" xfId="7572" builtinId="8" hidden="1"/>
    <cellStyle name="Hipervínculo" xfId="7574" builtinId="8" hidden="1"/>
    <cellStyle name="Hipervínculo" xfId="7576" builtinId="8" hidden="1"/>
    <cellStyle name="Hipervínculo" xfId="7578" builtinId="8" hidden="1"/>
    <cellStyle name="Hipervínculo" xfId="7580" builtinId="8" hidden="1"/>
    <cellStyle name="Hipervínculo" xfId="7582" builtinId="8" hidden="1"/>
    <cellStyle name="Hipervínculo" xfId="7584" builtinId="8" hidden="1"/>
    <cellStyle name="Hipervínculo" xfId="7586" builtinId="8" hidden="1"/>
    <cellStyle name="Hipervínculo" xfId="7588" builtinId="8" hidden="1"/>
    <cellStyle name="Hipervínculo" xfId="7590" builtinId="8" hidden="1"/>
    <cellStyle name="Hipervínculo" xfId="7592" builtinId="8" hidden="1"/>
    <cellStyle name="Hipervínculo" xfId="7594" builtinId="8" hidden="1"/>
    <cellStyle name="Hipervínculo" xfId="7596" builtinId="8" hidden="1"/>
    <cellStyle name="Hipervínculo" xfId="7598" builtinId="8" hidden="1"/>
    <cellStyle name="Hipervínculo" xfId="7600" builtinId="8" hidden="1"/>
    <cellStyle name="Hipervínculo" xfId="7602" builtinId="8" hidden="1"/>
    <cellStyle name="Hipervínculo" xfId="7604" builtinId="8" hidden="1"/>
    <cellStyle name="Hipervínculo" xfId="7606" builtinId="8" hidden="1"/>
    <cellStyle name="Hipervínculo" xfId="7608" builtinId="8" hidden="1"/>
    <cellStyle name="Hipervínculo" xfId="7610" builtinId="8" hidden="1"/>
    <cellStyle name="Hipervínculo" xfId="7612" builtinId="8" hidden="1"/>
    <cellStyle name="Hipervínculo" xfId="7614" builtinId="8" hidden="1"/>
    <cellStyle name="Hipervínculo" xfId="7616" builtinId="8" hidden="1"/>
    <cellStyle name="Hipervínculo" xfId="7618" builtinId="8" hidden="1"/>
    <cellStyle name="Hipervínculo" xfId="7620" builtinId="8" hidden="1"/>
    <cellStyle name="Hipervínculo" xfId="7622" builtinId="8" hidden="1"/>
    <cellStyle name="Hipervínculo" xfId="7624" builtinId="8" hidden="1"/>
    <cellStyle name="Hipervínculo" xfId="7626" builtinId="8" hidden="1"/>
    <cellStyle name="Hipervínculo" xfId="7628" builtinId="8" hidden="1"/>
    <cellStyle name="Hipervínculo" xfId="7630" builtinId="8" hidden="1"/>
    <cellStyle name="Hipervínculo" xfId="7632" builtinId="8" hidden="1"/>
    <cellStyle name="Hipervínculo" xfId="7634" builtinId="8" hidden="1"/>
    <cellStyle name="Hipervínculo" xfId="7636" builtinId="8" hidden="1"/>
    <cellStyle name="Hipervínculo" xfId="7638" builtinId="8" hidden="1"/>
    <cellStyle name="Hipervínculo" xfId="7640" builtinId="8" hidden="1"/>
    <cellStyle name="Hipervínculo" xfId="7642" builtinId="8" hidden="1"/>
    <cellStyle name="Hipervínculo" xfId="7644" builtinId="8" hidden="1"/>
    <cellStyle name="Hipervínculo" xfId="7646" builtinId="8" hidden="1"/>
    <cellStyle name="Hipervínculo" xfId="7648" builtinId="8" hidden="1"/>
    <cellStyle name="Hipervínculo" xfId="7650" builtinId="8" hidden="1"/>
    <cellStyle name="Hipervínculo" xfId="7652" builtinId="8" hidden="1"/>
    <cellStyle name="Hipervínculo" xfId="7654" builtinId="8" hidden="1"/>
    <cellStyle name="Hipervínculo" xfId="7656" builtinId="8" hidden="1"/>
    <cellStyle name="Hipervínculo" xfId="7658" builtinId="8" hidden="1"/>
    <cellStyle name="Hipervínculo" xfId="7660" builtinId="8" hidden="1"/>
    <cellStyle name="Hipervínculo" xfId="7662" builtinId="8" hidden="1"/>
    <cellStyle name="Hipervínculo" xfId="7664" builtinId="8" hidden="1"/>
    <cellStyle name="Hipervínculo" xfId="7666" builtinId="8" hidden="1"/>
    <cellStyle name="Hipervínculo" xfId="7668" builtinId="8" hidden="1"/>
    <cellStyle name="Hipervínculo" xfId="7670" builtinId="8" hidden="1"/>
    <cellStyle name="Hipervínculo" xfId="7672" builtinId="8" hidden="1"/>
    <cellStyle name="Hipervínculo" xfId="7674" builtinId="8" hidden="1"/>
    <cellStyle name="Hipervínculo" xfId="7676" builtinId="8" hidden="1"/>
    <cellStyle name="Hipervínculo" xfId="7678" builtinId="8" hidden="1"/>
    <cellStyle name="Hipervínculo" xfId="7680" builtinId="8" hidden="1"/>
    <cellStyle name="Hipervínculo" xfId="7682" builtinId="8" hidden="1"/>
    <cellStyle name="Hipervínculo" xfId="7684" builtinId="8" hidden="1"/>
    <cellStyle name="Hipervínculo" xfId="7686" builtinId="8" hidden="1"/>
    <cellStyle name="Hipervínculo" xfId="7688" builtinId="8" hidden="1"/>
    <cellStyle name="Hipervínculo" xfId="7690" builtinId="8" hidden="1"/>
    <cellStyle name="Hipervínculo" xfId="7692" builtinId="8" hidden="1"/>
    <cellStyle name="Hipervínculo" xfId="7694" builtinId="8" hidden="1"/>
    <cellStyle name="Hipervínculo" xfId="7696" builtinId="8" hidden="1"/>
    <cellStyle name="Hipervínculo" xfId="7698" builtinId="8" hidden="1"/>
    <cellStyle name="Hipervínculo" xfId="7700" builtinId="8" hidden="1"/>
    <cellStyle name="Hipervínculo" xfId="7702" builtinId="8" hidden="1"/>
    <cellStyle name="Hipervínculo" xfId="7704" builtinId="8" hidden="1"/>
    <cellStyle name="Hipervínculo" xfId="7706" builtinId="8" hidden="1"/>
    <cellStyle name="Hipervínculo" xfId="7708" builtinId="8" hidden="1"/>
    <cellStyle name="Hipervínculo" xfId="7710" builtinId="8" hidden="1"/>
    <cellStyle name="Hipervínculo" xfId="7712" builtinId="8" hidden="1"/>
    <cellStyle name="Hipervínculo" xfId="7714" builtinId="8" hidden="1"/>
    <cellStyle name="Hipervínculo" xfId="7716" builtinId="8" hidden="1"/>
    <cellStyle name="Hipervínculo" xfId="7718" builtinId="8" hidden="1"/>
    <cellStyle name="Hipervínculo" xfId="7720" builtinId="8" hidden="1"/>
    <cellStyle name="Hipervínculo" xfId="7722" builtinId="8" hidden="1"/>
    <cellStyle name="Hipervínculo" xfId="7724" builtinId="8" hidden="1"/>
    <cellStyle name="Hipervínculo" xfId="7726" builtinId="8" hidden="1"/>
    <cellStyle name="Hipervínculo" xfId="7728" builtinId="8" hidden="1"/>
    <cellStyle name="Hipervínculo" xfId="7730" builtinId="8" hidden="1"/>
    <cellStyle name="Hipervínculo" xfId="7732" builtinId="8" hidden="1"/>
    <cellStyle name="Hipervínculo" xfId="7734" builtinId="8" hidden="1"/>
    <cellStyle name="Hipervínculo" xfId="7736" builtinId="8" hidden="1"/>
    <cellStyle name="Hipervínculo" xfId="7738" builtinId="8" hidden="1"/>
    <cellStyle name="Hipervínculo" xfId="7740" builtinId="8" hidden="1"/>
    <cellStyle name="Hipervínculo" xfId="7742" builtinId="8" hidden="1"/>
    <cellStyle name="Hipervínculo" xfId="7744" builtinId="8" hidden="1"/>
    <cellStyle name="Hipervínculo" xfId="7746" builtinId="8" hidden="1"/>
    <cellStyle name="Hipervínculo" xfId="7748" builtinId="8" hidden="1"/>
    <cellStyle name="Hipervínculo" xfId="7750" builtinId="8" hidden="1"/>
    <cellStyle name="Hipervínculo" xfId="7752" builtinId="8" hidden="1"/>
    <cellStyle name="Hipervínculo" xfId="7754" builtinId="8" hidden="1"/>
    <cellStyle name="Hipervínculo" xfId="7756" builtinId="8" hidden="1"/>
    <cellStyle name="Hipervínculo" xfId="7758" builtinId="8" hidden="1"/>
    <cellStyle name="Hipervínculo" xfId="7760" builtinId="8" hidden="1"/>
    <cellStyle name="Hipervínculo" xfId="7762" builtinId="8" hidden="1"/>
    <cellStyle name="Hipervínculo" xfId="7764" builtinId="8" hidden="1"/>
    <cellStyle name="Hipervínculo" xfId="7766" builtinId="8" hidden="1"/>
    <cellStyle name="Hipervínculo" xfId="7768" builtinId="8" hidden="1"/>
    <cellStyle name="Hipervínculo" xfId="7770" builtinId="8" hidden="1"/>
    <cellStyle name="Hipervínculo" xfId="7772" builtinId="8" hidden="1"/>
    <cellStyle name="Hipervínculo" xfId="7774" builtinId="8" hidden="1"/>
    <cellStyle name="Hipervínculo" xfId="7776" builtinId="8" hidden="1"/>
    <cellStyle name="Hipervínculo" xfId="7778" builtinId="8" hidden="1"/>
    <cellStyle name="Hipervínculo" xfId="7780" builtinId="8" hidden="1"/>
    <cellStyle name="Hipervínculo" xfId="7782" builtinId="8" hidden="1"/>
    <cellStyle name="Hipervínculo" xfId="7784" builtinId="8" hidden="1"/>
    <cellStyle name="Hipervínculo" xfId="7786" builtinId="8" hidden="1"/>
    <cellStyle name="Hipervínculo" xfId="7788" builtinId="8" hidden="1"/>
    <cellStyle name="Hipervínculo" xfId="7790" builtinId="8" hidden="1"/>
    <cellStyle name="Hipervínculo" xfId="7792" builtinId="8" hidden="1"/>
    <cellStyle name="Hipervínculo" xfId="7794" builtinId="8" hidden="1"/>
    <cellStyle name="Hipervínculo" xfId="7796" builtinId="8" hidden="1"/>
    <cellStyle name="Hipervínculo" xfId="7798" builtinId="8" hidden="1"/>
    <cellStyle name="Hipervínculo" xfId="7800" builtinId="8" hidden="1"/>
    <cellStyle name="Hipervínculo" xfId="7802" builtinId="8" hidden="1"/>
    <cellStyle name="Hipervínculo" xfId="7804" builtinId="8" hidden="1"/>
    <cellStyle name="Hipervínculo" xfId="7806" builtinId="8" hidden="1"/>
    <cellStyle name="Hipervínculo" xfId="7808" builtinId="8" hidden="1"/>
    <cellStyle name="Hipervínculo" xfId="7810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39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7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5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71" builtinId="9" hidden="1"/>
    <cellStyle name="Hipervínculo visitado" xfId="73" builtinId="9" hidden="1"/>
    <cellStyle name="Hipervínculo visitado" xfId="75" builtinId="9" hidden="1"/>
    <cellStyle name="Hipervínculo visitado" xfId="77" builtinId="9" hidden="1"/>
    <cellStyle name="Hipervínculo visitado" xfId="79" builtinId="9" hidden="1"/>
    <cellStyle name="Hipervínculo visitado" xfId="81" builtinId="9" hidden="1"/>
    <cellStyle name="Hipervínculo visitado" xfId="83" builtinId="9" hidden="1"/>
    <cellStyle name="Hipervínculo visitado" xfId="85" builtinId="9" hidden="1"/>
    <cellStyle name="Hipervínculo visitado" xfId="87" builtinId="9" hidden="1"/>
    <cellStyle name="Hipervínculo visitado" xfId="89" builtinId="9" hidden="1"/>
    <cellStyle name="Hipervínculo visitado" xfId="91" builtinId="9" hidden="1"/>
    <cellStyle name="Hipervínculo visitado" xfId="93" builtinId="9" hidden="1"/>
    <cellStyle name="Hipervínculo visitado" xfId="95" builtinId="9" hidden="1"/>
    <cellStyle name="Hipervínculo visitado" xfId="97" builtinId="9" hidden="1"/>
    <cellStyle name="Hipervínculo visitado" xfId="99" builtinId="9" hidden="1"/>
    <cellStyle name="Hipervínculo visitado" xfId="101" builtinId="9" hidden="1"/>
    <cellStyle name="Hipervínculo visitado" xfId="103" builtinId="9" hidden="1"/>
    <cellStyle name="Hipervínculo visitado" xfId="105" builtinId="9" hidden="1"/>
    <cellStyle name="Hipervínculo visitado" xfId="107" builtinId="9" hidden="1"/>
    <cellStyle name="Hipervínculo visitado" xfId="109" builtinId="9" hidden="1"/>
    <cellStyle name="Hipervínculo visitado" xfId="111" builtinId="9" hidden="1"/>
    <cellStyle name="Hipervínculo visitado" xfId="113" builtinId="9" hidden="1"/>
    <cellStyle name="Hipervínculo visitado" xfId="115" builtinId="9" hidden="1"/>
    <cellStyle name="Hipervínculo visitado" xfId="117" builtinId="9" hidden="1"/>
    <cellStyle name="Hipervínculo visitado" xfId="119" builtinId="9" hidden="1"/>
    <cellStyle name="Hipervínculo visitado" xfId="121" builtinId="9" hidden="1"/>
    <cellStyle name="Hipervínculo visitado" xfId="123" builtinId="9" hidden="1"/>
    <cellStyle name="Hipervínculo visitado" xfId="125" builtinId="9" hidden="1"/>
    <cellStyle name="Hipervínculo visitado" xfId="127" builtinId="9" hidden="1"/>
    <cellStyle name="Hipervínculo visitado" xfId="129" builtinId="9" hidden="1"/>
    <cellStyle name="Hipervínculo visitado" xfId="131" builtinId="9" hidden="1"/>
    <cellStyle name="Hipervínculo visitado" xfId="133" builtinId="9" hidden="1"/>
    <cellStyle name="Hipervínculo visitado" xfId="135" builtinId="9" hidden="1"/>
    <cellStyle name="Hipervínculo visitado" xfId="137" builtinId="9" hidden="1"/>
    <cellStyle name="Hipervínculo visitado" xfId="139" builtinId="9" hidden="1"/>
    <cellStyle name="Hipervínculo visitado" xfId="141" builtinId="9" hidden="1"/>
    <cellStyle name="Hipervínculo visitado" xfId="143" builtinId="9" hidden="1"/>
    <cellStyle name="Hipervínculo visitado" xfId="145" builtinId="9" hidden="1"/>
    <cellStyle name="Hipervínculo visitado" xfId="147" builtinId="9" hidden="1"/>
    <cellStyle name="Hipervínculo visitado" xfId="149" builtinId="9" hidden="1"/>
    <cellStyle name="Hipervínculo visitado" xfId="151" builtinId="9" hidden="1"/>
    <cellStyle name="Hipervínculo visitado" xfId="153" builtinId="9" hidden="1"/>
    <cellStyle name="Hipervínculo visitado" xfId="155" builtinId="9" hidden="1"/>
    <cellStyle name="Hipervínculo visitado" xfId="157" builtinId="9" hidden="1"/>
    <cellStyle name="Hipervínculo visitado" xfId="159" builtinId="9" hidden="1"/>
    <cellStyle name="Hipervínculo visitado" xfId="161" builtinId="9" hidden="1"/>
    <cellStyle name="Hipervínculo visitado" xfId="163" builtinId="9" hidden="1"/>
    <cellStyle name="Hipervínculo visitado" xfId="165" builtinId="9" hidden="1"/>
    <cellStyle name="Hipervínculo visitado" xfId="167" builtinId="9" hidden="1"/>
    <cellStyle name="Hipervínculo visitado" xfId="169" builtinId="9" hidden="1"/>
    <cellStyle name="Hipervínculo visitado" xfId="171" builtinId="9" hidden="1"/>
    <cellStyle name="Hipervínculo visitado" xfId="173" builtinId="9" hidden="1"/>
    <cellStyle name="Hipervínculo visitado" xfId="175" builtinId="9" hidden="1"/>
    <cellStyle name="Hipervínculo visitado" xfId="177" builtinId="9" hidden="1"/>
    <cellStyle name="Hipervínculo visitado" xfId="179" builtinId="9" hidden="1"/>
    <cellStyle name="Hipervínculo visitado" xfId="181" builtinId="9" hidden="1"/>
    <cellStyle name="Hipervínculo visitado" xfId="183" builtinId="9" hidden="1"/>
    <cellStyle name="Hipervínculo visitado" xfId="185" builtinId="9" hidden="1"/>
    <cellStyle name="Hipervínculo visitado" xfId="187" builtinId="9" hidden="1"/>
    <cellStyle name="Hipervínculo visitado" xfId="189" builtinId="9" hidden="1"/>
    <cellStyle name="Hipervínculo visitado" xfId="191" builtinId="9" hidden="1"/>
    <cellStyle name="Hipervínculo visitado" xfId="193" builtinId="9" hidden="1"/>
    <cellStyle name="Hipervínculo visitado" xfId="195" builtinId="9" hidden="1"/>
    <cellStyle name="Hipervínculo visitado" xfId="197" builtinId="9" hidden="1"/>
    <cellStyle name="Hipervínculo visitado" xfId="199" builtinId="9" hidden="1"/>
    <cellStyle name="Hipervínculo visitado" xfId="201" builtinId="9" hidden="1"/>
    <cellStyle name="Hipervínculo visitado" xfId="203" builtinId="9" hidden="1"/>
    <cellStyle name="Hipervínculo visitado" xfId="205" builtinId="9" hidden="1"/>
    <cellStyle name="Hipervínculo visitado" xfId="207" builtinId="9" hidden="1"/>
    <cellStyle name="Hipervínculo visitado" xfId="209" builtinId="9" hidden="1"/>
    <cellStyle name="Hipervínculo visitado" xfId="211" builtinId="9" hidden="1"/>
    <cellStyle name="Hipervínculo visitado" xfId="213" builtinId="9" hidden="1"/>
    <cellStyle name="Hipervínculo visitado" xfId="215" builtinId="9" hidden="1"/>
    <cellStyle name="Hipervínculo visitado" xfId="217" builtinId="9" hidden="1"/>
    <cellStyle name="Hipervínculo visitado" xfId="219" builtinId="9" hidden="1"/>
    <cellStyle name="Hipervínculo visitado" xfId="221" builtinId="9" hidden="1"/>
    <cellStyle name="Hipervínculo visitado" xfId="223" builtinId="9" hidden="1"/>
    <cellStyle name="Hipervínculo visitado" xfId="225" builtinId="9" hidden="1"/>
    <cellStyle name="Hipervínculo visitado" xfId="227" builtinId="9" hidden="1"/>
    <cellStyle name="Hipervínculo visitado" xfId="229" builtinId="9" hidden="1"/>
    <cellStyle name="Hipervínculo visitado" xfId="231" builtinId="9" hidden="1"/>
    <cellStyle name="Hipervínculo visitado" xfId="233" builtinId="9" hidden="1"/>
    <cellStyle name="Hipervínculo visitado" xfId="235" builtinId="9" hidden="1"/>
    <cellStyle name="Hipervínculo visitado" xfId="237" builtinId="9" hidden="1"/>
    <cellStyle name="Hipervínculo visitado" xfId="239" builtinId="9" hidden="1"/>
    <cellStyle name="Hipervínculo visitado" xfId="241" builtinId="9" hidden="1"/>
    <cellStyle name="Hipervínculo visitado" xfId="243" builtinId="9" hidden="1"/>
    <cellStyle name="Hipervínculo visitado" xfId="245" builtinId="9" hidden="1"/>
    <cellStyle name="Hipervínculo visitado" xfId="247" builtinId="9" hidden="1"/>
    <cellStyle name="Hipervínculo visitado" xfId="249" builtinId="9" hidden="1"/>
    <cellStyle name="Hipervínculo visitado" xfId="251" builtinId="9" hidden="1"/>
    <cellStyle name="Hipervínculo visitado" xfId="253" builtinId="9" hidden="1"/>
    <cellStyle name="Hipervínculo visitado" xfId="255" builtinId="9" hidden="1"/>
    <cellStyle name="Hipervínculo visitado" xfId="257" builtinId="9" hidden="1"/>
    <cellStyle name="Hipervínculo visitado" xfId="259" builtinId="9" hidden="1"/>
    <cellStyle name="Hipervínculo visitado" xfId="261" builtinId="9" hidden="1"/>
    <cellStyle name="Hipervínculo visitado" xfId="263" builtinId="9" hidden="1"/>
    <cellStyle name="Hipervínculo visitado" xfId="265" builtinId="9" hidden="1"/>
    <cellStyle name="Hipervínculo visitado" xfId="267" builtinId="9" hidden="1"/>
    <cellStyle name="Hipervínculo visitado" xfId="269" builtinId="9" hidden="1"/>
    <cellStyle name="Hipervínculo visitado" xfId="272" builtinId="9" hidden="1"/>
    <cellStyle name="Hipervínculo visitado" xfId="274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2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0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298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6" builtinId="9" hidden="1"/>
    <cellStyle name="Hipervínculo visitado" xfId="308" builtinId="9" hidden="1"/>
    <cellStyle name="Hipervínculo visitado" xfId="310" builtinId="9" hidden="1"/>
    <cellStyle name="Hipervínculo visitado" xfId="312" builtinId="9" hidden="1"/>
    <cellStyle name="Hipervínculo visitado" xfId="314" builtinId="9" hidden="1"/>
    <cellStyle name="Hipervínculo visitado" xfId="316" builtinId="9" hidden="1"/>
    <cellStyle name="Hipervínculo visitado" xfId="318" builtinId="9" hidden="1"/>
    <cellStyle name="Hipervínculo visitado" xfId="320" builtinId="9" hidden="1"/>
    <cellStyle name="Hipervínculo visitado" xfId="322" builtinId="9" hidden="1"/>
    <cellStyle name="Hipervínculo visitado" xfId="324" builtinId="9" hidden="1"/>
    <cellStyle name="Hipervínculo visitado" xfId="326" builtinId="9" hidden="1"/>
    <cellStyle name="Hipervínculo visitado" xfId="328" builtinId="9" hidden="1"/>
    <cellStyle name="Hipervínculo visitado" xfId="330" builtinId="9" hidden="1"/>
    <cellStyle name="Hipervínculo visitado" xfId="332" builtinId="9" hidden="1"/>
    <cellStyle name="Hipervínculo visitado" xfId="334" builtinId="9" hidden="1"/>
    <cellStyle name="Hipervínculo visitado" xfId="336" builtinId="9" hidden="1"/>
    <cellStyle name="Hipervínculo visitado" xfId="338" builtinId="9" hidden="1"/>
    <cellStyle name="Hipervínculo visitado" xfId="340" builtinId="9" hidden="1"/>
    <cellStyle name="Hipervínculo visitado" xfId="342" builtinId="9" hidden="1"/>
    <cellStyle name="Hipervínculo visitado" xfId="344" builtinId="9" hidden="1"/>
    <cellStyle name="Hipervínculo visitado" xfId="346" builtinId="9" hidden="1"/>
    <cellStyle name="Hipervínculo visitado" xfId="348" builtinId="9" hidden="1"/>
    <cellStyle name="Hipervínculo visitado" xfId="350" builtinId="9" hidden="1"/>
    <cellStyle name="Hipervínculo visitado" xfId="352" builtinId="9" hidden="1"/>
    <cellStyle name="Hipervínculo visitado" xfId="354" builtinId="9" hidden="1"/>
    <cellStyle name="Hipervínculo visitado" xfId="356" builtinId="9" hidden="1"/>
    <cellStyle name="Hipervínculo visitado" xfId="358" builtinId="9" hidden="1"/>
    <cellStyle name="Hipervínculo visitado" xfId="360" builtinId="9" hidden="1"/>
    <cellStyle name="Hipervínculo visitado" xfId="362" builtinId="9" hidden="1"/>
    <cellStyle name="Hipervínculo visitado" xfId="364" builtinId="9" hidden="1"/>
    <cellStyle name="Hipervínculo visitado" xfId="366" builtinId="9" hidden="1"/>
    <cellStyle name="Hipervínculo visitado" xfId="368" builtinId="9" hidden="1"/>
    <cellStyle name="Hipervínculo visitado" xfId="370" builtinId="9" hidden="1"/>
    <cellStyle name="Hipervínculo visitado" xfId="372" builtinId="9" hidden="1"/>
    <cellStyle name="Hipervínculo visitado" xfId="374" builtinId="9" hidden="1"/>
    <cellStyle name="Hipervínculo visitado" xfId="376" builtinId="9" hidden="1"/>
    <cellStyle name="Hipervínculo visitado" xfId="378" builtinId="9" hidden="1"/>
    <cellStyle name="Hipervínculo visitado" xfId="380" builtinId="9" hidden="1"/>
    <cellStyle name="Hipervínculo visitado" xfId="382" builtinId="9" hidden="1"/>
    <cellStyle name="Hipervínculo visitado" xfId="384" builtinId="9" hidden="1"/>
    <cellStyle name="Hipervínculo visitado" xfId="386" builtinId="9" hidden="1"/>
    <cellStyle name="Hipervínculo visitado" xfId="388" builtinId="9" hidden="1"/>
    <cellStyle name="Hipervínculo visitado" xfId="390" builtinId="9" hidden="1"/>
    <cellStyle name="Hipervínculo visitado" xfId="392" builtinId="9" hidden="1"/>
    <cellStyle name="Hipervínculo visitado" xfId="394" builtinId="9" hidden="1"/>
    <cellStyle name="Hipervínculo visitado" xfId="396" builtinId="9" hidden="1"/>
    <cellStyle name="Hipervínculo visitado" xfId="398" builtinId="9" hidden="1"/>
    <cellStyle name="Hipervínculo visitado" xfId="400" builtinId="9" hidden="1"/>
    <cellStyle name="Hipervínculo visitado" xfId="402" builtinId="9" hidden="1"/>
    <cellStyle name="Hipervínculo visitado" xfId="404" builtinId="9" hidden="1"/>
    <cellStyle name="Hipervínculo visitado" xfId="406" builtinId="9" hidden="1"/>
    <cellStyle name="Hipervínculo visitado" xfId="408" builtinId="9" hidden="1"/>
    <cellStyle name="Hipervínculo visitado" xfId="410" builtinId="9" hidden="1"/>
    <cellStyle name="Hipervínculo visitado" xfId="412" builtinId="9" hidden="1"/>
    <cellStyle name="Hipervínculo visitado" xfId="414" builtinId="9" hidden="1"/>
    <cellStyle name="Hipervínculo visitado" xfId="416" builtinId="9" hidden="1"/>
    <cellStyle name="Hipervínculo visitado" xfId="418" builtinId="9" hidden="1"/>
    <cellStyle name="Hipervínculo visitado" xfId="420" builtinId="9" hidden="1"/>
    <cellStyle name="Hipervínculo visitado" xfId="422" builtinId="9" hidden="1"/>
    <cellStyle name="Hipervínculo visitado" xfId="424" builtinId="9" hidden="1"/>
    <cellStyle name="Hipervínculo visitado" xfId="426" builtinId="9" hidden="1"/>
    <cellStyle name="Hipervínculo visitado" xfId="428" builtinId="9" hidden="1"/>
    <cellStyle name="Hipervínculo visitado" xfId="430" builtinId="9" hidden="1"/>
    <cellStyle name="Hipervínculo visitado" xfId="432" builtinId="9" hidden="1"/>
    <cellStyle name="Hipervínculo visitado" xfId="434" builtinId="9" hidden="1"/>
    <cellStyle name="Hipervínculo visitado" xfId="436" builtinId="9" hidden="1"/>
    <cellStyle name="Hipervínculo visitado" xfId="438" builtinId="9" hidden="1"/>
    <cellStyle name="Hipervínculo visitado" xfId="440" builtinId="9" hidden="1"/>
    <cellStyle name="Hipervínculo visitado" xfId="442" builtinId="9" hidden="1"/>
    <cellStyle name="Hipervínculo visitado" xfId="444" builtinId="9" hidden="1"/>
    <cellStyle name="Hipervínculo visitado" xfId="446" builtinId="9" hidden="1"/>
    <cellStyle name="Hipervínculo visitado" xfId="448" builtinId="9" hidden="1"/>
    <cellStyle name="Hipervínculo visitado" xfId="450" builtinId="9" hidden="1"/>
    <cellStyle name="Hipervínculo visitado" xfId="452" builtinId="9" hidden="1"/>
    <cellStyle name="Hipervínculo visitado" xfId="454" builtinId="9" hidden="1"/>
    <cellStyle name="Hipervínculo visitado" xfId="456" builtinId="9" hidden="1"/>
    <cellStyle name="Hipervínculo visitado" xfId="458" builtinId="9" hidden="1"/>
    <cellStyle name="Hipervínculo visitado" xfId="460" builtinId="9" hidden="1"/>
    <cellStyle name="Hipervínculo visitado" xfId="462" builtinId="9" hidden="1"/>
    <cellStyle name="Hipervínculo visitado" xfId="464" builtinId="9" hidden="1"/>
    <cellStyle name="Hipervínculo visitado" xfId="466" builtinId="9" hidden="1"/>
    <cellStyle name="Hipervínculo visitado" xfId="468" builtinId="9" hidden="1"/>
    <cellStyle name="Hipervínculo visitado" xfId="470" builtinId="9" hidden="1"/>
    <cellStyle name="Hipervínculo visitado" xfId="472" builtinId="9" hidden="1"/>
    <cellStyle name="Hipervínculo visitado" xfId="474" builtinId="9" hidden="1"/>
    <cellStyle name="Hipervínculo visitado" xfId="476" builtinId="9" hidden="1"/>
    <cellStyle name="Hipervínculo visitado" xfId="478" builtinId="9" hidden="1"/>
    <cellStyle name="Hipervínculo visitado" xfId="480" builtinId="9" hidden="1"/>
    <cellStyle name="Hipervínculo visitado" xfId="482" builtinId="9" hidden="1"/>
    <cellStyle name="Hipervínculo visitado" xfId="484" builtinId="9" hidden="1"/>
    <cellStyle name="Hipervínculo visitado" xfId="486" builtinId="9" hidden="1"/>
    <cellStyle name="Hipervínculo visitado" xfId="488" builtinId="9" hidden="1"/>
    <cellStyle name="Hipervínculo visitado" xfId="490" builtinId="9" hidden="1"/>
    <cellStyle name="Hipervínculo visitado" xfId="492" builtinId="9" hidden="1"/>
    <cellStyle name="Hipervínculo visitado" xfId="494" builtinId="9" hidden="1"/>
    <cellStyle name="Hipervínculo visitado" xfId="496" builtinId="9" hidden="1"/>
    <cellStyle name="Hipervínculo visitado" xfId="498" builtinId="9" hidden="1"/>
    <cellStyle name="Hipervínculo visitado" xfId="500" builtinId="9" hidden="1"/>
    <cellStyle name="Hipervínculo visitado" xfId="502" builtinId="9" hidden="1"/>
    <cellStyle name="Hipervínculo visitado" xfId="504" builtinId="9" hidden="1"/>
    <cellStyle name="Hipervínculo visitado" xfId="506" builtinId="9" hidden="1"/>
    <cellStyle name="Hipervínculo visitado" xfId="508" builtinId="9" hidden="1"/>
    <cellStyle name="Hipervínculo visitado" xfId="510" builtinId="9" hidden="1"/>
    <cellStyle name="Hipervínculo visitado" xfId="512" builtinId="9" hidden="1"/>
    <cellStyle name="Hipervínculo visitado" xfId="514" builtinId="9" hidden="1"/>
    <cellStyle name="Hipervínculo visitado" xfId="516" builtinId="9" hidden="1"/>
    <cellStyle name="Hipervínculo visitado" xfId="518" builtinId="9" hidden="1"/>
    <cellStyle name="Hipervínculo visitado" xfId="520" builtinId="9" hidden="1"/>
    <cellStyle name="Hipervínculo visitado" xfId="522" builtinId="9" hidden="1"/>
    <cellStyle name="Hipervínculo visitado" xfId="524" builtinId="9" hidden="1"/>
    <cellStyle name="Hipervínculo visitado" xfId="526" builtinId="9" hidden="1"/>
    <cellStyle name="Hipervínculo visitado" xfId="528" builtinId="9" hidden="1"/>
    <cellStyle name="Hipervínculo visitado" xfId="530" builtinId="9" hidden="1"/>
    <cellStyle name="Hipervínculo visitado" xfId="532" builtinId="9" hidden="1"/>
    <cellStyle name="Hipervínculo visitado" xfId="534" builtinId="9" hidden="1"/>
    <cellStyle name="Hipervínculo visitado" xfId="536" builtinId="9" hidden="1"/>
    <cellStyle name="Hipervínculo visitado" xfId="538" builtinId="9" hidden="1"/>
    <cellStyle name="Hipervínculo visitado" xfId="539" builtinId="9" hidden="1"/>
    <cellStyle name="Hipervínculo visitado" xfId="541" builtinId="9" hidden="1"/>
    <cellStyle name="Hipervínculo visitado" xfId="543" builtinId="9" hidden="1"/>
    <cellStyle name="Hipervínculo visitado" xfId="545" builtinId="9" hidden="1"/>
    <cellStyle name="Hipervínculo visitado" xfId="547" builtinId="9" hidden="1"/>
    <cellStyle name="Hipervínculo visitado" xfId="549" builtinId="9" hidden="1"/>
    <cellStyle name="Hipervínculo visitado" xfId="551" builtinId="9" hidden="1"/>
    <cellStyle name="Hipervínculo visitado" xfId="553" builtinId="9" hidden="1"/>
    <cellStyle name="Hipervínculo visitado" xfId="555" builtinId="9" hidden="1"/>
    <cellStyle name="Hipervínculo visitado" xfId="557" builtinId="9" hidden="1"/>
    <cellStyle name="Hipervínculo visitado" xfId="559" builtinId="9" hidden="1"/>
    <cellStyle name="Hipervínculo visitado" xfId="561" builtinId="9" hidden="1"/>
    <cellStyle name="Hipervínculo visitado" xfId="563" builtinId="9" hidden="1"/>
    <cellStyle name="Hipervínculo visitado" xfId="565" builtinId="9" hidden="1"/>
    <cellStyle name="Hipervínculo visitado" xfId="567" builtinId="9" hidden="1"/>
    <cellStyle name="Hipervínculo visitado" xfId="569" builtinId="9" hidden="1"/>
    <cellStyle name="Hipervínculo visitado" xfId="571" builtinId="9" hidden="1"/>
    <cellStyle name="Hipervínculo visitado" xfId="573" builtinId="9" hidden="1"/>
    <cellStyle name="Hipervínculo visitado" xfId="575" builtinId="9" hidden="1"/>
    <cellStyle name="Hipervínculo visitado" xfId="577" builtinId="9" hidden="1"/>
    <cellStyle name="Hipervínculo visitado" xfId="579" builtinId="9" hidden="1"/>
    <cellStyle name="Hipervínculo visitado" xfId="581" builtinId="9" hidden="1"/>
    <cellStyle name="Hipervínculo visitado" xfId="583" builtinId="9" hidden="1"/>
    <cellStyle name="Hipervínculo visitado" xfId="585" builtinId="9" hidden="1"/>
    <cellStyle name="Hipervínculo visitado" xfId="587" builtinId="9" hidden="1"/>
    <cellStyle name="Hipervínculo visitado" xfId="589" builtinId="9" hidden="1"/>
    <cellStyle name="Hipervínculo visitado" xfId="591" builtinId="9" hidden="1"/>
    <cellStyle name="Hipervínculo visitado" xfId="593" builtinId="9" hidden="1"/>
    <cellStyle name="Hipervínculo visitado" xfId="595" builtinId="9" hidden="1"/>
    <cellStyle name="Hipervínculo visitado" xfId="597" builtinId="9" hidden="1"/>
    <cellStyle name="Hipervínculo visitado" xfId="599" builtinId="9" hidden="1"/>
    <cellStyle name="Hipervínculo visitado" xfId="601" builtinId="9" hidden="1"/>
    <cellStyle name="Hipervínculo visitado" xfId="603" builtinId="9" hidden="1"/>
    <cellStyle name="Hipervínculo visitado" xfId="605" builtinId="9" hidden="1"/>
    <cellStyle name="Hipervínculo visitado" xfId="607" builtinId="9" hidden="1"/>
    <cellStyle name="Hipervínculo visitado" xfId="609" builtinId="9" hidden="1"/>
    <cellStyle name="Hipervínculo visitado" xfId="611" builtinId="9" hidden="1"/>
    <cellStyle name="Hipervínculo visitado" xfId="613" builtinId="9" hidden="1"/>
    <cellStyle name="Hipervínculo visitado" xfId="615" builtinId="9" hidden="1"/>
    <cellStyle name="Hipervínculo visitado" xfId="617" builtinId="9" hidden="1"/>
    <cellStyle name="Hipervínculo visitado" xfId="619" builtinId="9" hidden="1"/>
    <cellStyle name="Hipervínculo visitado" xfId="621" builtinId="9" hidden="1"/>
    <cellStyle name="Hipervínculo visitado" xfId="623" builtinId="9" hidden="1"/>
    <cellStyle name="Hipervínculo visitado" xfId="625" builtinId="9" hidden="1"/>
    <cellStyle name="Hipervínculo visitado" xfId="627" builtinId="9" hidden="1"/>
    <cellStyle name="Hipervínculo visitado" xfId="629" builtinId="9" hidden="1"/>
    <cellStyle name="Hipervínculo visitado" xfId="631" builtinId="9" hidden="1"/>
    <cellStyle name="Hipervínculo visitado" xfId="633" builtinId="9" hidden="1"/>
    <cellStyle name="Hipervínculo visitado" xfId="635" builtinId="9" hidden="1"/>
    <cellStyle name="Hipervínculo visitado" xfId="637" builtinId="9" hidden="1"/>
    <cellStyle name="Hipervínculo visitado" xfId="639" builtinId="9" hidden="1"/>
    <cellStyle name="Hipervínculo visitado" xfId="641" builtinId="9" hidden="1"/>
    <cellStyle name="Hipervínculo visitado" xfId="643" builtinId="9" hidden="1"/>
    <cellStyle name="Hipervínculo visitado" xfId="645" builtinId="9" hidden="1"/>
    <cellStyle name="Hipervínculo visitado" xfId="647" builtinId="9" hidden="1"/>
    <cellStyle name="Hipervínculo visitado" xfId="649" builtinId="9" hidden="1"/>
    <cellStyle name="Hipervínculo visitado" xfId="651" builtinId="9" hidden="1"/>
    <cellStyle name="Hipervínculo visitado" xfId="653" builtinId="9" hidden="1"/>
    <cellStyle name="Hipervínculo visitado" xfId="655" builtinId="9" hidden="1"/>
    <cellStyle name="Hipervínculo visitado" xfId="657" builtinId="9" hidden="1"/>
    <cellStyle name="Hipervínculo visitado" xfId="659" builtinId="9" hidden="1"/>
    <cellStyle name="Hipervínculo visitado" xfId="661" builtinId="9" hidden="1"/>
    <cellStyle name="Hipervínculo visitado" xfId="663" builtinId="9" hidden="1"/>
    <cellStyle name="Hipervínculo visitado" xfId="665" builtinId="9" hidden="1"/>
    <cellStyle name="Hipervínculo visitado" xfId="667" builtinId="9" hidden="1"/>
    <cellStyle name="Hipervínculo visitado" xfId="669" builtinId="9" hidden="1"/>
    <cellStyle name="Hipervínculo visitado" xfId="671" builtinId="9" hidden="1"/>
    <cellStyle name="Hipervínculo visitado" xfId="673" builtinId="9" hidden="1"/>
    <cellStyle name="Hipervínculo visitado" xfId="675" builtinId="9" hidden="1"/>
    <cellStyle name="Hipervínculo visitado" xfId="677" builtinId="9" hidden="1"/>
    <cellStyle name="Hipervínculo visitado" xfId="679" builtinId="9" hidden="1"/>
    <cellStyle name="Hipervínculo visitado" xfId="681" builtinId="9" hidden="1"/>
    <cellStyle name="Hipervínculo visitado" xfId="683" builtinId="9" hidden="1"/>
    <cellStyle name="Hipervínculo visitado" xfId="685" builtinId="9" hidden="1"/>
    <cellStyle name="Hipervínculo visitado" xfId="687" builtinId="9" hidden="1"/>
    <cellStyle name="Hipervínculo visitado" xfId="689" builtinId="9" hidden="1"/>
    <cellStyle name="Hipervínculo visitado" xfId="691" builtinId="9" hidden="1"/>
    <cellStyle name="Hipervínculo visitado" xfId="693" builtinId="9" hidden="1"/>
    <cellStyle name="Hipervínculo visitado" xfId="695" builtinId="9" hidden="1"/>
    <cellStyle name="Hipervínculo visitado" xfId="697" builtinId="9" hidden="1"/>
    <cellStyle name="Hipervínculo visitado" xfId="699" builtinId="9" hidden="1"/>
    <cellStyle name="Hipervínculo visitado" xfId="701" builtinId="9" hidden="1"/>
    <cellStyle name="Hipervínculo visitado" xfId="703" builtinId="9" hidden="1"/>
    <cellStyle name="Hipervínculo visitado" xfId="705" builtinId="9" hidden="1"/>
    <cellStyle name="Hipervínculo visitado" xfId="707" builtinId="9" hidden="1"/>
    <cellStyle name="Hipervínculo visitado" xfId="709" builtinId="9" hidden="1"/>
    <cellStyle name="Hipervínculo visitado" xfId="711" builtinId="9" hidden="1"/>
    <cellStyle name="Hipervínculo visitado" xfId="713" builtinId="9" hidden="1"/>
    <cellStyle name="Hipervínculo visitado" xfId="715" builtinId="9" hidden="1"/>
    <cellStyle name="Hipervínculo visitado" xfId="717" builtinId="9" hidden="1"/>
    <cellStyle name="Hipervínculo visitado" xfId="719" builtinId="9" hidden="1"/>
    <cellStyle name="Hipervínculo visitado" xfId="721" builtinId="9" hidden="1"/>
    <cellStyle name="Hipervínculo visitado" xfId="723" builtinId="9" hidden="1"/>
    <cellStyle name="Hipervínculo visitado" xfId="725" builtinId="9" hidden="1"/>
    <cellStyle name="Hipervínculo visitado" xfId="727" builtinId="9" hidden="1"/>
    <cellStyle name="Hipervínculo visitado" xfId="729" builtinId="9" hidden="1"/>
    <cellStyle name="Hipervínculo visitado" xfId="731" builtinId="9" hidden="1"/>
    <cellStyle name="Hipervínculo visitado" xfId="733" builtinId="9" hidden="1"/>
    <cellStyle name="Hipervínculo visitado" xfId="735" builtinId="9" hidden="1"/>
    <cellStyle name="Hipervínculo visitado" xfId="737" builtinId="9" hidden="1"/>
    <cellStyle name="Hipervínculo visitado" xfId="739" builtinId="9" hidden="1"/>
    <cellStyle name="Hipervínculo visitado" xfId="741" builtinId="9" hidden="1"/>
    <cellStyle name="Hipervínculo visitado" xfId="743" builtinId="9" hidden="1"/>
    <cellStyle name="Hipervínculo visitado" xfId="745" builtinId="9" hidden="1"/>
    <cellStyle name="Hipervínculo visitado" xfId="747" builtinId="9" hidden="1"/>
    <cellStyle name="Hipervínculo visitado" xfId="749" builtinId="9" hidden="1"/>
    <cellStyle name="Hipervínculo visitado" xfId="751" builtinId="9" hidden="1"/>
    <cellStyle name="Hipervínculo visitado" xfId="753" builtinId="9" hidden="1"/>
    <cellStyle name="Hipervínculo visitado" xfId="755" builtinId="9" hidden="1"/>
    <cellStyle name="Hipervínculo visitado" xfId="757" builtinId="9" hidden="1"/>
    <cellStyle name="Hipervínculo visitado" xfId="759" builtinId="9" hidden="1"/>
    <cellStyle name="Hipervínculo visitado" xfId="761" builtinId="9" hidden="1"/>
    <cellStyle name="Hipervínculo visitado" xfId="763" builtinId="9" hidden="1"/>
    <cellStyle name="Hipervínculo visitado" xfId="765" builtinId="9" hidden="1"/>
    <cellStyle name="Hipervínculo visitado" xfId="767" builtinId="9" hidden="1"/>
    <cellStyle name="Hipervínculo visitado" xfId="769" builtinId="9" hidden="1"/>
    <cellStyle name="Hipervínculo visitado" xfId="771" builtinId="9" hidden="1"/>
    <cellStyle name="Hipervínculo visitado" xfId="773" builtinId="9" hidden="1"/>
    <cellStyle name="Hipervínculo visitado" xfId="775" builtinId="9" hidden="1"/>
    <cellStyle name="Hipervínculo visitado" xfId="777" builtinId="9" hidden="1"/>
    <cellStyle name="Hipervínculo visitado" xfId="779" builtinId="9" hidden="1"/>
    <cellStyle name="Hipervínculo visitado" xfId="781" builtinId="9" hidden="1"/>
    <cellStyle name="Hipervínculo visitado" xfId="783" builtinId="9" hidden="1"/>
    <cellStyle name="Hipervínculo visitado" xfId="785" builtinId="9" hidden="1"/>
    <cellStyle name="Hipervínculo visitado" xfId="787" builtinId="9" hidden="1"/>
    <cellStyle name="Hipervínculo visitado" xfId="789" builtinId="9" hidden="1"/>
    <cellStyle name="Hipervínculo visitado" xfId="791" builtinId="9" hidden="1"/>
    <cellStyle name="Hipervínculo visitado" xfId="793" builtinId="9" hidden="1"/>
    <cellStyle name="Hipervínculo visitado" xfId="795" builtinId="9" hidden="1"/>
    <cellStyle name="Hipervínculo visitado" xfId="797" builtinId="9" hidden="1"/>
    <cellStyle name="Hipervínculo visitado" xfId="799" builtinId="9" hidden="1"/>
    <cellStyle name="Hipervínculo visitado" xfId="801" builtinId="9" hidden="1"/>
    <cellStyle name="Hipervínculo visitado" xfId="803" builtinId="9" hidden="1"/>
    <cellStyle name="Hipervínculo visitado" xfId="805" builtinId="9" hidden="1"/>
    <cellStyle name="Hipervínculo visitado" xfId="807" builtinId="9" hidden="1"/>
    <cellStyle name="Hipervínculo visitado" xfId="809" builtinId="9" hidden="1"/>
    <cellStyle name="Hipervínculo visitado" xfId="811" builtinId="9" hidden="1"/>
    <cellStyle name="Hipervínculo visitado" xfId="813" builtinId="9" hidden="1"/>
    <cellStyle name="Hipervínculo visitado" xfId="815" builtinId="9" hidden="1"/>
    <cellStyle name="Hipervínculo visitado" xfId="817" builtinId="9" hidden="1"/>
    <cellStyle name="Hipervínculo visitado" xfId="819" builtinId="9" hidden="1"/>
    <cellStyle name="Hipervínculo visitado" xfId="821" builtinId="9" hidden="1"/>
    <cellStyle name="Hipervínculo visitado" xfId="823" builtinId="9" hidden="1"/>
    <cellStyle name="Hipervínculo visitado" xfId="825" builtinId="9" hidden="1"/>
    <cellStyle name="Hipervínculo visitado" xfId="827" builtinId="9" hidden="1"/>
    <cellStyle name="Hipervínculo visitado" xfId="829" builtinId="9" hidden="1"/>
    <cellStyle name="Hipervínculo visitado" xfId="831" builtinId="9" hidden="1"/>
    <cellStyle name="Hipervínculo visitado" xfId="833" builtinId="9" hidden="1"/>
    <cellStyle name="Hipervínculo visitado" xfId="835" builtinId="9" hidden="1"/>
    <cellStyle name="Hipervínculo visitado" xfId="837" builtinId="9" hidden="1"/>
    <cellStyle name="Hipervínculo visitado" xfId="839" builtinId="9" hidden="1"/>
    <cellStyle name="Hipervínculo visitado" xfId="841" builtinId="9" hidden="1"/>
    <cellStyle name="Hipervínculo visitado" xfId="843" builtinId="9" hidden="1"/>
    <cellStyle name="Hipervínculo visitado" xfId="845" builtinId="9" hidden="1"/>
    <cellStyle name="Hipervínculo visitado" xfId="847" builtinId="9" hidden="1"/>
    <cellStyle name="Hipervínculo visitado" xfId="849" builtinId="9" hidden="1"/>
    <cellStyle name="Hipervínculo visitado" xfId="851" builtinId="9" hidden="1"/>
    <cellStyle name="Hipervínculo visitado" xfId="853" builtinId="9" hidden="1"/>
    <cellStyle name="Hipervínculo visitado" xfId="855" builtinId="9" hidden="1"/>
    <cellStyle name="Hipervínculo visitado" xfId="857" builtinId="9" hidden="1"/>
    <cellStyle name="Hipervínculo visitado" xfId="859" builtinId="9" hidden="1"/>
    <cellStyle name="Hipervínculo visitado" xfId="861" builtinId="9" hidden="1"/>
    <cellStyle name="Hipervínculo visitado" xfId="863" builtinId="9" hidden="1"/>
    <cellStyle name="Hipervínculo visitado" xfId="865" builtinId="9" hidden="1"/>
    <cellStyle name="Hipervínculo visitado" xfId="867" builtinId="9" hidden="1"/>
    <cellStyle name="Hipervínculo visitado" xfId="869" builtinId="9" hidden="1"/>
    <cellStyle name="Hipervínculo visitado" xfId="871" builtinId="9" hidden="1"/>
    <cellStyle name="Hipervínculo visitado" xfId="873" builtinId="9" hidden="1"/>
    <cellStyle name="Hipervínculo visitado" xfId="875" builtinId="9" hidden="1"/>
    <cellStyle name="Hipervínculo visitado" xfId="877" builtinId="9" hidden="1"/>
    <cellStyle name="Hipervínculo visitado" xfId="879" builtinId="9" hidden="1"/>
    <cellStyle name="Hipervínculo visitado" xfId="881" builtinId="9" hidden="1"/>
    <cellStyle name="Hipervínculo visitado" xfId="883" builtinId="9" hidden="1"/>
    <cellStyle name="Hipervínculo visitado" xfId="885" builtinId="9" hidden="1"/>
    <cellStyle name="Hipervínculo visitado" xfId="887" builtinId="9" hidden="1"/>
    <cellStyle name="Hipervínculo visitado" xfId="889" builtinId="9" hidden="1"/>
    <cellStyle name="Hipervínculo visitado" xfId="891" builtinId="9" hidden="1"/>
    <cellStyle name="Hipervínculo visitado" xfId="893" builtinId="9" hidden="1"/>
    <cellStyle name="Hipervínculo visitado" xfId="895" builtinId="9" hidden="1"/>
    <cellStyle name="Hipervínculo visitado" xfId="897" builtinId="9" hidden="1"/>
    <cellStyle name="Hipervínculo visitado" xfId="899" builtinId="9" hidden="1"/>
    <cellStyle name="Hipervínculo visitado" xfId="901" builtinId="9" hidden="1"/>
    <cellStyle name="Hipervínculo visitado" xfId="903" builtinId="9" hidden="1"/>
    <cellStyle name="Hipervínculo visitado" xfId="905" builtinId="9" hidden="1"/>
    <cellStyle name="Hipervínculo visitado" xfId="907" builtinId="9" hidden="1"/>
    <cellStyle name="Hipervínculo visitado" xfId="909" builtinId="9" hidden="1"/>
    <cellStyle name="Hipervínculo visitado" xfId="911" builtinId="9" hidden="1"/>
    <cellStyle name="Hipervínculo visitado" xfId="913" builtinId="9" hidden="1"/>
    <cellStyle name="Hipervínculo visitado" xfId="915" builtinId="9" hidden="1"/>
    <cellStyle name="Hipervínculo visitado" xfId="917" builtinId="9" hidden="1"/>
    <cellStyle name="Hipervínculo visitado" xfId="919" builtinId="9" hidden="1"/>
    <cellStyle name="Hipervínculo visitado" xfId="921" builtinId="9" hidden="1"/>
    <cellStyle name="Hipervínculo visitado" xfId="923" builtinId="9" hidden="1"/>
    <cellStyle name="Hipervínculo visitado" xfId="925" builtinId="9" hidden="1"/>
    <cellStyle name="Hipervínculo visitado" xfId="927" builtinId="9" hidden="1"/>
    <cellStyle name="Hipervínculo visitado" xfId="929" builtinId="9" hidden="1"/>
    <cellStyle name="Hipervínculo visitado" xfId="931" builtinId="9" hidden="1"/>
    <cellStyle name="Hipervínculo visitado" xfId="933" builtinId="9" hidden="1"/>
    <cellStyle name="Hipervínculo visitado" xfId="935" builtinId="9" hidden="1"/>
    <cellStyle name="Hipervínculo visitado" xfId="937" builtinId="9" hidden="1"/>
    <cellStyle name="Hipervínculo visitado" xfId="939" builtinId="9" hidden="1"/>
    <cellStyle name="Hipervínculo visitado" xfId="941" builtinId="9" hidden="1"/>
    <cellStyle name="Hipervínculo visitado" xfId="943" builtinId="9" hidden="1"/>
    <cellStyle name="Hipervínculo visitado" xfId="945" builtinId="9" hidden="1"/>
    <cellStyle name="Hipervínculo visitado" xfId="947" builtinId="9" hidden="1"/>
    <cellStyle name="Hipervínculo visitado" xfId="949" builtinId="9" hidden="1"/>
    <cellStyle name="Hipervínculo visitado" xfId="951" builtinId="9" hidden="1"/>
    <cellStyle name="Hipervínculo visitado" xfId="953" builtinId="9" hidden="1"/>
    <cellStyle name="Hipervínculo visitado" xfId="955" builtinId="9" hidden="1"/>
    <cellStyle name="Hipervínculo visitado" xfId="957" builtinId="9" hidden="1"/>
    <cellStyle name="Hipervínculo visitado" xfId="959" builtinId="9" hidden="1"/>
    <cellStyle name="Hipervínculo visitado" xfId="961" builtinId="9" hidden="1"/>
    <cellStyle name="Hipervínculo visitado" xfId="963" builtinId="9" hidden="1"/>
    <cellStyle name="Hipervínculo visitado" xfId="965" builtinId="9" hidden="1"/>
    <cellStyle name="Hipervínculo visitado" xfId="967" builtinId="9" hidden="1"/>
    <cellStyle name="Hipervínculo visitado" xfId="969" builtinId="9" hidden="1"/>
    <cellStyle name="Hipervínculo visitado" xfId="971" builtinId="9" hidden="1"/>
    <cellStyle name="Hipervínculo visitado" xfId="973" builtinId="9" hidden="1"/>
    <cellStyle name="Hipervínculo visitado" xfId="975" builtinId="9" hidden="1"/>
    <cellStyle name="Hipervínculo visitado" xfId="977" builtinId="9" hidden="1"/>
    <cellStyle name="Hipervínculo visitado" xfId="979" builtinId="9" hidden="1"/>
    <cellStyle name="Hipervínculo visitado" xfId="981" builtinId="9" hidden="1"/>
    <cellStyle name="Hipervínculo visitado" xfId="983" builtinId="9" hidden="1"/>
    <cellStyle name="Hipervínculo visitado" xfId="985" builtinId="9" hidden="1"/>
    <cellStyle name="Hipervínculo visitado" xfId="987" builtinId="9" hidden="1"/>
    <cellStyle name="Hipervínculo visitado" xfId="989" builtinId="9" hidden="1"/>
    <cellStyle name="Hipervínculo visitado" xfId="991" builtinId="9" hidden="1"/>
    <cellStyle name="Hipervínculo visitado" xfId="993" builtinId="9" hidden="1"/>
    <cellStyle name="Hipervínculo visitado" xfId="995" builtinId="9" hidden="1"/>
    <cellStyle name="Hipervínculo visitado" xfId="997" builtinId="9" hidden="1"/>
    <cellStyle name="Hipervínculo visitado" xfId="999" builtinId="9" hidden="1"/>
    <cellStyle name="Hipervínculo visitado" xfId="1001" builtinId="9" hidden="1"/>
    <cellStyle name="Hipervínculo visitado" xfId="1003" builtinId="9" hidden="1"/>
    <cellStyle name="Hipervínculo visitado" xfId="1005" builtinId="9" hidden="1"/>
    <cellStyle name="Hipervínculo visitado" xfId="1007" builtinId="9" hidden="1"/>
    <cellStyle name="Hipervínculo visitado" xfId="1009" builtinId="9" hidden="1"/>
    <cellStyle name="Hipervínculo visitado" xfId="1011" builtinId="9" hidden="1"/>
    <cellStyle name="Hipervínculo visitado" xfId="1013" builtinId="9" hidden="1"/>
    <cellStyle name="Hipervínculo visitado" xfId="1015" builtinId="9" hidden="1"/>
    <cellStyle name="Hipervínculo visitado" xfId="1017" builtinId="9" hidden="1"/>
    <cellStyle name="Hipervínculo visitado" xfId="1019" builtinId="9" hidden="1"/>
    <cellStyle name="Hipervínculo visitado" xfId="1021" builtinId="9" hidden="1"/>
    <cellStyle name="Hipervínculo visitado" xfId="1023" builtinId="9" hidden="1"/>
    <cellStyle name="Hipervínculo visitado" xfId="1025" builtinId="9" hidden="1"/>
    <cellStyle name="Hipervínculo visitado" xfId="1027" builtinId="9" hidden="1"/>
    <cellStyle name="Hipervínculo visitado" xfId="1029" builtinId="9" hidden="1"/>
    <cellStyle name="Hipervínculo visitado" xfId="1031" builtinId="9" hidden="1"/>
    <cellStyle name="Hipervínculo visitado" xfId="1033" builtinId="9" hidden="1"/>
    <cellStyle name="Hipervínculo visitado" xfId="1035" builtinId="9" hidden="1"/>
    <cellStyle name="Hipervínculo visitado" xfId="1037" builtinId="9" hidden="1"/>
    <cellStyle name="Hipervínculo visitado" xfId="1039" builtinId="9" hidden="1"/>
    <cellStyle name="Hipervínculo visitado" xfId="1041" builtinId="9" hidden="1"/>
    <cellStyle name="Hipervínculo visitado" xfId="1043" builtinId="9" hidden="1"/>
    <cellStyle name="Hipervínculo visitado" xfId="1045" builtinId="9" hidden="1"/>
    <cellStyle name="Hipervínculo visitado" xfId="1047" builtinId="9" hidden="1"/>
    <cellStyle name="Hipervínculo visitado" xfId="1049" builtinId="9" hidden="1"/>
    <cellStyle name="Hipervínculo visitado" xfId="1051" builtinId="9" hidden="1"/>
    <cellStyle name="Hipervínculo visitado" xfId="1053" builtinId="9" hidden="1"/>
    <cellStyle name="Hipervínculo visitado" xfId="1055" builtinId="9" hidden="1"/>
    <cellStyle name="Hipervínculo visitado" xfId="1057" builtinId="9" hidden="1"/>
    <cellStyle name="Hipervínculo visitado" xfId="1059" builtinId="9" hidden="1"/>
    <cellStyle name="Hipervínculo visitado" xfId="1061" builtinId="9" hidden="1"/>
    <cellStyle name="Hipervínculo visitado" xfId="1063" builtinId="9" hidden="1"/>
    <cellStyle name="Hipervínculo visitado" xfId="1065" builtinId="9" hidden="1"/>
    <cellStyle name="Hipervínculo visitado" xfId="1067" builtinId="9" hidden="1"/>
    <cellStyle name="Hipervínculo visitado" xfId="1069" builtinId="9" hidden="1"/>
    <cellStyle name="Hipervínculo visitado" xfId="1071" builtinId="9" hidden="1"/>
    <cellStyle name="Hipervínculo visitado" xfId="1073" builtinId="9" hidden="1"/>
    <cellStyle name="Hipervínculo visitado" xfId="1075" builtinId="9" hidden="1"/>
    <cellStyle name="Hipervínculo visitado" xfId="1077" builtinId="9" hidden="1"/>
    <cellStyle name="Hipervínculo visitado" xfId="1079" builtinId="9" hidden="1"/>
    <cellStyle name="Hipervínculo visitado" xfId="1081" builtinId="9" hidden="1"/>
    <cellStyle name="Hipervínculo visitado" xfId="1083" builtinId="9" hidden="1"/>
    <cellStyle name="Hipervínculo visitado" xfId="1085" builtinId="9" hidden="1"/>
    <cellStyle name="Hipervínculo visitado" xfId="1087" builtinId="9" hidden="1"/>
    <cellStyle name="Hipervínculo visitado" xfId="1089" builtinId="9" hidden="1"/>
    <cellStyle name="Hipervínculo visitado" xfId="1091" builtinId="9" hidden="1"/>
    <cellStyle name="Hipervínculo visitado" xfId="1093" builtinId="9" hidden="1"/>
    <cellStyle name="Hipervínculo visitado" xfId="1095" builtinId="9" hidden="1"/>
    <cellStyle name="Hipervínculo visitado" xfId="1097" builtinId="9" hidden="1"/>
    <cellStyle name="Hipervínculo visitado" xfId="1099" builtinId="9" hidden="1"/>
    <cellStyle name="Hipervínculo visitado" xfId="1101" builtinId="9" hidden="1"/>
    <cellStyle name="Hipervínculo visitado" xfId="1103" builtinId="9" hidden="1"/>
    <cellStyle name="Hipervínculo visitado" xfId="1105" builtinId="9" hidden="1"/>
    <cellStyle name="Hipervínculo visitado" xfId="1107" builtinId="9" hidden="1"/>
    <cellStyle name="Hipervínculo visitado" xfId="1109" builtinId="9" hidden="1"/>
    <cellStyle name="Hipervínculo visitado" xfId="1111" builtinId="9" hidden="1"/>
    <cellStyle name="Hipervínculo visitado" xfId="1113" builtinId="9" hidden="1"/>
    <cellStyle name="Hipervínculo visitado" xfId="1115" builtinId="9" hidden="1"/>
    <cellStyle name="Hipervínculo visitado" xfId="1117" builtinId="9" hidden="1"/>
    <cellStyle name="Hipervínculo visitado" xfId="1119" builtinId="9" hidden="1"/>
    <cellStyle name="Hipervínculo visitado" xfId="1121" builtinId="9" hidden="1"/>
    <cellStyle name="Hipervínculo visitado" xfId="1123" builtinId="9" hidden="1"/>
    <cellStyle name="Hipervínculo visitado" xfId="1125" builtinId="9" hidden="1"/>
    <cellStyle name="Hipervínculo visitado" xfId="1127" builtinId="9" hidden="1"/>
    <cellStyle name="Hipervínculo visitado" xfId="1129" builtinId="9" hidden="1"/>
    <cellStyle name="Hipervínculo visitado" xfId="1131" builtinId="9" hidden="1"/>
    <cellStyle name="Hipervínculo visitado" xfId="1133" builtinId="9" hidden="1"/>
    <cellStyle name="Hipervínculo visitado" xfId="1135" builtinId="9" hidden="1"/>
    <cellStyle name="Hipervínculo visitado" xfId="1137" builtinId="9" hidden="1"/>
    <cellStyle name="Hipervínculo visitado" xfId="1139" builtinId="9" hidden="1"/>
    <cellStyle name="Hipervínculo visitado" xfId="1141" builtinId="9" hidden="1"/>
    <cellStyle name="Hipervínculo visitado" xfId="1143" builtinId="9" hidden="1"/>
    <cellStyle name="Hipervínculo visitado" xfId="1145" builtinId="9" hidden="1"/>
    <cellStyle name="Hipervínculo visitado" xfId="1147" builtinId="9" hidden="1"/>
    <cellStyle name="Hipervínculo visitado" xfId="1149" builtinId="9" hidden="1"/>
    <cellStyle name="Hipervínculo visitado" xfId="1151" builtinId="9" hidden="1"/>
    <cellStyle name="Hipervínculo visitado" xfId="1153" builtinId="9" hidden="1"/>
    <cellStyle name="Hipervínculo visitado" xfId="1155" builtinId="9" hidden="1"/>
    <cellStyle name="Hipervínculo visitado" xfId="1157" builtinId="9" hidden="1"/>
    <cellStyle name="Hipervínculo visitado" xfId="1159" builtinId="9" hidden="1"/>
    <cellStyle name="Hipervínculo visitado" xfId="1161" builtinId="9" hidden="1"/>
    <cellStyle name="Hipervínculo visitado" xfId="1163" builtinId="9" hidden="1"/>
    <cellStyle name="Hipervínculo visitado" xfId="1165" builtinId="9" hidden="1"/>
    <cellStyle name="Hipervínculo visitado" xfId="1167" builtinId="9" hidden="1"/>
    <cellStyle name="Hipervínculo visitado" xfId="1169" builtinId="9" hidden="1"/>
    <cellStyle name="Hipervínculo visitado" xfId="1171" builtinId="9" hidden="1"/>
    <cellStyle name="Hipervínculo visitado" xfId="1173" builtinId="9" hidden="1"/>
    <cellStyle name="Hipervínculo visitado" xfId="1175" builtinId="9" hidden="1"/>
    <cellStyle name="Hipervínculo visitado" xfId="1177" builtinId="9" hidden="1"/>
    <cellStyle name="Hipervínculo visitado" xfId="1179" builtinId="9" hidden="1"/>
    <cellStyle name="Hipervínculo visitado" xfId="1181" builtinId="9" hidden="1"/>
    <cellStyle name="Hipervínculo visitado" xfId="1183" builtinId="9" hidden="1"/>
    <cellStyle name="Hipervínculo visitado" xfId="1185" builtinId="9" hidden="1"/>
    <cellStyle name="Hipervínculo visitado" xfId="1187" builtinId="9" hidden="1"/>
    <cellStyle name="Hipervínculo visitado" xfId="1189" builtinId="9" hidden="1"/>
    <cellStyle name="Hipervínculo visitado" xfId="1191" builtinId="9" hidden="1"/>
    <cellStyle name="Hipervínculo visitado" xfId="1193" builtinId="9" hidden="1"/>
    <cellStyle name="Hipervínculo visitado" xfId="1195" builtinId="9" hidden="1"/>
    <cellStyle name="Hipervínculo visitado" xfId="1197" builtinId="9" hidden="1"/>
    <cellStyle name="Hipervínculo visitado" xfId="1199" builtinId="9" hidden="1"/>
    <cellStyle name="Hipervínculo visitado" xfId="1201" builtinId="9" hidden="1"/>
    <cellStyle name="Hipervínculo visitado" xfId="1203" builtinId="9" hidden="1"/>
    <cellStyle name="Hipervínculo visitado" xfId="1205" builtinId="9" hidden="1"/>
    <cellStyle name="Hipervínculo visitado" xfId="1207" builtinId="9" hidden="1"/>
    <cellStyle name="Hipervínculo visitado" xfId="1209" builtinId="9" hidden="1"/>
    <cellStyle name="Hipervínculo visitado" xfId="1211" builtinId="9" hidden="1"/>
    <cellStyle name="Hipervínculo visitado" xfId="1213" builtinId="9" hidden="1"/>
    <cellStyle name="Hipervínculo visitado" xfId="1215" builtinId="9" hidden="1"/>
    <cellStyle name="Hipervínculo visitado" xfId="1217" builtinId="9" hidden="1"/>
    <cellStyle name="Hipervínculo visitado" xfId="1219" builtinId="9" hidden="1"/>
    <cellStyle name="Hipervínculo visitado" xfId="1221" builtinId="9" hidden="1"/>
    <cellStyle name="Hipervínculo visitado" xfId="1223" builtinId="9" hidden="1"/>
    <cellStyle name="Hipervínculo visitado" xfId="1225" builtinId="9" hidden="1"/>
    <cellStyle name="Hipervínculo visitado" xfId="1227" builtinId="9" hidden="1"/>
    <cellStyle name="Hipervínculo visitado" xfId="1229" builtinId="9" hidden="1"/>
    <cellStyle name="Hipervínculo visitado" xfId="1231" builtinId="9" hidden="1"/>
    <cellStyle name="Hipervínculo visitado" xfId="1233" builtinId="9" hidden="1"/>
    <cellStyle name="Hipervínculo visitado" xfId="1235" builtinId="9" hidden="1"/>
    <cellStyle name="Hipervínculo visitado" xfId="1237" builtinId="9" hidden="1"/>
    <cellStyle name="Hipervínculo visitado" xfId="1239" builtinId="9" hidden="1"/>
    <cellStyle name="Hipervínculo visitado" xfId="1241" builtinId="9" hidden="1"/>
    <cellStyle name="Hipervínculo visitado" xfId="1243" builtinId="9" hidden="1"/>
    <cellStyle name="Hipervínculo visitado" xfId="1245" builtinId="9" hidden="1"/>
    <cellStyle name="Hipervínculo visitado" xfId="1247" builtinId="9" hidden="1"/>
    <cellStyle name="Hipervínculo visitado" xfId="1249" builtinId="9" hidden="1"/>
    <cellStyle name="Hipervínculo visitado" xfId="1251" builtinId="9" hidden="1"/>
    <cellStyle name="Hipervínculo visitado" xfId="1253" builtinId="9" hidden="1"/>
    <cellStyle name="Hipervínculo visitado" xfId="1255" builtinId="9" hidden="1"/>
    <cellStyle name="Hipervínculo visitado" xfId="1257" builtinId="9" hidden="1"/>
    <cellStyle name="Hipervínculo visitado" xfId="1259" builtinId="9" hidden="1"/>
    <cellStyle name="Hipervínculo visitado" xfId="1261" builtinId="9" hidden="1"/>
    <cellStyle name="Hipervínculo visitado" xfId="1263" builtinId="9" hidden="1"/>
    <cellStyle name="Hipervínculo visitado" xfId="1265" builtinId="9" hidden="1"/>
    <cellStyle name="Hipervínculo visitado" xfId="1267" builtinId="9" hidden="1"/>
    <cellStyle name="Hipervínculo visitado" xfId="1269" builtinId="9" hidden="1"/>
    <cellStyle name="Hipervínculo visitado" xfId="1271" builtinId="9" hidden="1"/>
    <cellStyle name="Hipervínculo visitado" xfId="1273" builtinId="9" hidden="1"/>
    <cellStyle name="Hipervínculo visitado" xfId="1275" builtinId="9" hidden="1"/>
    <cellStyle name="Hipervínculo visitado" xfId="1277" builtinId="9" hidden="1"/>
    <cellStyle name="Hipervínculo visitado" xfId="1279" builtinId="9" hidden="1"/>
    <cellStyle name="Hipervínculo visitado" xfId="1281" builtinId="9" hidden="1"/>
    <cellStyle name="Hipervínculo visitado" xfId="1283" builtinId="9" hidden="1"/>
    <cellStyle name="Hipervínculo visitado" xfId="1285" builtinId="9" hidden="1"/>
    <cellStyle name="Hipervínculo visitado" xfId="1287" builtinId="9" hidden="1"/>
    <cellStyle name="Hipervínculo visitado" xfId="1289" builtinId="9" hidden="1"/>
    <cellStyle name="Hipervínculo visitado" xfId="1291" builtinId="9" hidden="1"/>
    <cellStyle name="Hipervínculo visitado" xfId="1293" builtinId="9" hidden="1"/>
    <cellStyle name="Hipervínculo visitado" xfId="1295" builtinId="9" hidden="1"/>
    <cellStyle name="Hipervínculo visitado" xfId="1297" builtinId="9" hidden="1"/>
    <cellStyle name="Hipervínculo visitado" xfId="1299" builtinId="9" hidden="1"/>
    <cellStyle name="Hipervínculo visitado" xfId="1301" builtinId="9" hidden="1"/>
    <cellStyle name="Hipervínculo visitado" xfId="1303" builtinId="9" hidden="1"/>
    <cellStyle name="Hipervínculo visitado" xfId="1305" builtinId="9" hidden="1"/>
    <cellStyle name="Hipervínculo visitado" xfId="1307" builtinId="9" hidden="1"/>
    <cellStyle name="Hipervínculo visitado" xfId="1309" builtinId="9" hidden="1"/>
    <cellStyle name="Hipervínculo visitado" xfId="1311" builtinId="9" hidden="1"/>
    <cellStyle name="Hipervínculo visitado" xfId="1313" builtinId="9" hidden="1"/>
    <cellStyle name="Hipervínculo visitado" xfId="1315" builtinId="9" hidden="1"/>
    <cellStyle name="Hipervínculo visitado" xfId="1317" builtinId="9" hidden="1"/>
    <cellStyle name="Hipervínculo visitado" xfId="1319" builtinId="9" hidden="1"/>
    <cellStyle name="Hipervínculo visitado" xfId="1321" builtinId="9" hidden="1"/>
    <cellStyle name="Hipervínculo visitado" xfId="1323" builtinId="9" hidden="1"/>
    <cellStyle name="Hipervínculo visitado" xfId="1325" builtinId="9" hidden="1"/>
    <cellStyle name="Hipervínculo visitado" xfId="1327" builtinId="9" hidden="1"/>
    <cellStyle name="Hipervínculo visitado" xfId="1329" builtinId="9" hidden="1"/>
    <cellStyle name="Hipervínculo visitado" xfId="1331" builtinId="9" hidden="1"/>
    <cellStyle name="Hipervínculo visitado" xfId="1333" builtinId="9" hidden="1"/>
    <cellStyle name="Hipervínculo visitado" xfId="1335" builtinId="9" hidden="1"/>
    <cellStyle name="Hipervínculo visitado" xfId="1337" builtinId="9" hidden="1"/>
    <cellStyle name="Hipervínculo visitado" xfId="1339" builtinId="9" hidden="1"/>
    <cellStyle name="Hipervínculo visitado" xfId="1341" builtinId="9" hidden="1"/>
    <cellStyle name="Hipervínculo visitado" xfId="1343" builtinId="9" hidden="1"/>
    <cellStyle name="Hipervínculo visitado" xfId="1345" builtinId="9" hidden="1"/>
    <cellStyle name="Hipervínculo visitado" xfId="1347" builtinId="9" hidden="1"/>
    <cellStyle name="Hipervínculo visitado" xfId="1349" builtinId="9" hidden="1"/>
    <cellStyle name="Hipervínculo visitado" xfId="1351" builtinId="9" hidden="1"/>
    <cellStyle name="Hipervínculo visitado" xfId="1353" builtinId="9" hidden="1"/>
    <cellStyle name="Hipervínculo visitado" xfId="1355" builtinId="9" hidden="1"/>
    <cellStyle name="Hipervínculo visitado" xfId="1357" builtinId="9" hidden="1"/>
    <cellStyle name="Hipervínculo visitado" xfId="1359" builtinId="9" hidden="1"/>
    <cellStyle name="Hipervínculo visitado" xfId="1361" builtinId="9" hidden="1"/>
    <cellStyle name="Hipervínculo visitado" xfId="1363" builtinId="9" hidden="1"/>
    <cellStyle name="Hipervínculo visitado" xfId="1365" builtinId="9" hidden="1"/>
    <cellStyle name="Hipervínculo visitado" xfId="1367" builtinId="9" hidden="1"/>
    <cellStyle name="Hipervínculo visitado" xfId="1369" builtinId="9" hidden="1"/>
    <cellStyle name="Hipervínculo visitado" xfId="1371" builtinId="9" hidden="1"/>
    <cellStyle name="Hipervínculo visitado" xfId="1373" builtinId="9" hidden="1"/>
    <cellStyle name="Hipervínculo visitado" xfId="1375" builtinId="9" hidden="1"/>
    <cellStyle name="Hipervínculo visitado" xfId="1377" builtinId="9" hidden="1"/>
    <cellStyle name="Hipervínculo visitado" xfId="1379" builtinId="9" hidden="1"/>
    <cellStyle name="Hipervínculo visitado" xfId="1381" builtinId="9" hidden="1"/>
    <cellStyle name="Hipervínculo visitado" xfId="1383" builtinId="9" hidden="1"/>
    <cellStyle name="Hipervínculo visitado" xfId="1385" builtinId="9" hidden="1"/>
    <cellStyle name="Hipervínculo visitado" xfId="1387" builtinId="9" hidden="1"/>
    <cellStyle name="Hipervínculo visitado" xfId="1389" builtinId="9" hidden="1"/>
    <cellStyle name="Hipervínculo visitado" xfId="1391" builtinId="9" hidden="1"/>
    <cellStyle name="Hipervínculo visitado" xfId="1393" builtinId="9" hidden="1"/>
    <cellStyle name="Hipervínculo visitado" xfId="1395" builtinId="9" hidden="1"/>
    <cellStyle name="Hipervínculo visitado" xfId="1397" builtinId="9" hidden="1"/>
    <cellStyle name="Hipervínculo visitado" xfId="1399" builtinId="9" hidden="1"/>
    <cellStyle name="Hipervínculo visitado" xfId="1401" builtinId="9" hidden="1"/>
    <cellStyle name="Hipervínculo visitado" xfId="1403" builtinId="9" hidden="1"/>
    <cellStyle name="Hipervínculo visitado" xfId="1405" builtinId="9" hidden="1"/>
    <cellStyle name="Hipervínculo visitado" xfId="1407" builtinId="9" hidden="1"/>
    <cellStyle name="Hipervínculo visitado" xfId="1409" builtinId="9" hidden="1"/>
    <cellStyle name="Hipervínculo visitado" xfId="1411" builtinId="9" hidden="1"/>
    <cellStyle name="Hipervínculo visitado" xfId="1413" builtinId="9" hidden="1"/>
    <cellStyle name="Hipervínculo visitado" xfId="1415" builtinId="9" hidden="1"/>
    <cellStyle name="Hipervínculo visitado" xfId="1417" builtinId="9" hidden="1"/>
    <cellStyle name="Hipervínculo visitado" xfId="1419" builtinId="9" hidden="1"/>
    <cellStyle name="Hipervínculo visitado" xfId="1421" builtinId="9" hidden="1"/>
    <cellStyle name="Hipervínculo visitado" xfId="1423" builtinId="9" hidden="1"/>
    <cellStyle name="Hipervínculo visitado" xfId="1425" builtinId="9" hidden="1"/>
    <cellStyle name="Hipervínculo visitado" xfId="1427" builtinId="9" hidden="1"/>
    <cellStyle name="Hipervínculo visitado" xfId="1429" builtinId="9" hidden="1"/>
    <cellStyle name="Hipervínculo visitado" xfId="1431" builtinId="9" hidden="1"/>
    <cellStyle name="Hipervínculo visitado" xfId="1433" builtinId="9" hidden="1"/>
    <cellStyle name="Hipervínculo visitado" xfId="1435" builtinId="9" hidden="1"/>
    <cellStyle name="Hipervínculo visitado" xfId="1437" builtinId="9" hidden="1"/>
    <cellStyle name="Hipervínculo visitado" xfId="1439" builtinId="9" hidden="1"/>
    <cellStyle name="Hipervínculo visitado" xfId="1441" builtinId="9" hidden="1"/>
    <cellStyle name="Hipervínculo visitado" xfId="1443" builtinId="9" hidden="1"/>
    <cellStyle name="Hipervínculo visitado" xfId="1445" builtinId="9" hidden="1"/>
    <cellStyle name="Hipervínculo visitado" xfId="1447" builtinId="9" hidden="1"/>
    <cellStyle name="Hipervínculo visitado" xfId="1449" builtinId="9" hidden="1"/>
    <cellStyle name="Hipervínculo visitado" xfId="1451" builtinId="9" hidden="1"/>
    <cellStyle name="Hipervínculo visitado" xfId="1453" builtinId="9" hidden="1"/>
    <cellStyle name="Hipervínculo visitado" xfId="1455" builtinId="9" hidden="1"/>
    <cellStyle name="Hipervínculo visitado" xfId="1457" builtinId="9" hidden="1"/>
    <cellStyle name="Hipervínculo visitado" xfId="1459" builtinId="9" hidden="1"/>
    <cellStyle name="Hipervínculo visitado" xfId="1461" builtinId="9" hidden="1"/>
    <cellStyle name="Hipervínculo visitado" xfId="1463" builtinId="9" hidden="1"/>
    <cellStyle name="Hipervínculo visitado" xfId="1465" builtinId="9" hidden="1"/>
    <cellStyle name="Hipervínculo visitado" xfId="1467" builtinId="9" hidden="1"/>
    <cellStyle name="Hipervínculo visitado" xfId="1469" builtinId="9" hidden="1"/>
    <cellStyle name="Hipervínculo visitado" xfId="1471" builtinId="9" hidden="1"/>
    <cellStyle name="Hipervínculo visitado" xfId="1473" builtinId="9" hidden="1"/>
    <cellStyle name="Hipervínculo visitado" xfId="1475" builtinId="9" hidden="1"/>
    <cellStyle name="Hipervínculo visitado" xfId="1477" builtinId="9" hidden="1"/>
    <cellStyle name="Hipervínculo visitado" xfId="1479" builtinId="9" hidden="1"/>
    <cellStyle name="Hipervínculo visitado" xfId="1481" builtinId="9" hidden="1"/>
    <cellStyle name="Hipervínculo visitado" xfId="1483" builtinId="9" hidden="1"/>
    <cellStyle name="Hipervínculo visitado" xfId="1485" builtinId="9" hidden="1"/>
    <cellStyle name="Hipervínculo visitado" xfId="1487" builtinId="9" hidden="1"/>
    <cellStyle name="Hipervínculo visitado" xfId="1489" builtinId="9" hidden="1"/>
    <cellStyle name="Hipervínculo visitado" xfId="1491" builtinId="9" hidden="1"/>
    <cellStyle name="Hipervínculo visitado" xfId="1493" builtinId="9" hidden="1"/>
    <cellStyle name="Hipervínculo visitado" xfId="1495" builtinId="9" hidden="1"/>
    <cellStyle name="Hipervínculo visitado" xfId="1497" builtinId="9" hidden="1"/>
    <cellStyle name="Hipervínculo visitado" xfId="1499" builtinId="9" hidden="1"/>
    <cellStyle name="Hipervínculo visitado" xfId="1501" builtinId="9" hidden="1"/>
    <cellStyle name="Hipervínculo visitado" xfId="1503" builtinId="9" hidden="1"/>
    <cellStyle name="Hipervínculo visitado" xfId="1505" builtinId="9" hidden="1"/>
    <cellStyle name="Hipervínculo visitado" xfId="1507" builtinId="9" hidden="1"/>
    <cellStyle name="Hipervínculo visitado" xfId="1509" builtinId="9" hidden="1"/>
    <cellStyle name="Hipervínculo visitado" xfId="1511" builtinId="9" hidden="1"/>
    <cellStyle name="Hipervínculo visitado" xfId="1513" builtinId="9" hidden="1"/>
    <cellStyle name="Hipervínculo visitado" xfId="1515" builtinId="9" hidden="1"/>
    <cellStyle name="Hipervínculo visitado" xfId="1517" builtinId="9" hidden="1"/>
    <cellStyle name="Hipervínculo visitado" xfId="1519" builtinId="9" hidden="1"/>
    <cellStyle name="Hipervínculo visitado" xfId="1521" builtinId="9" hidden="1"/>
    <cellStyle name="Hipervínculo visitado" xfId="1523" builtinId="9" hidden="1"/>
    <cellStyle name="Hipervínculo visitado" xfId="1525" builtinId="9" hidden="1"/>
    <cellStyle name="Hipervínculo visitado" xfId="1527" builtinId="9" hidden="1"/>
    <cellStyle name="Hipervínculo visitado" xfId="1529" builtinId="9" hidden="1"/>
    <cellStyle name="Hipervínculo visitado" xfId="1531" builtinId="9" hidden="1"/>
    <cellStyle name="Hipervínculo visitado" xfId="1533" builtinId="9" hidden="1"/>
    <cellStyle name="Hipervínculo visitado" xfId="1535" builtinId="9" hidden="1"/>
    <cellStyle name="Hipervínculo visitado" xfId="1537" builtinId="9" hidden="1"/>
    <cellStyle name="Hipervínculo visitado" xfId="1539" builtinId="9" hidden="1"/>
    <cellStyle name="Hipervínculo visitado" xfId="1541" builtinId="9" hidden="1"/>
    <cellStyle name="Hipervínculo visitado" xfId="1543" builtinId="9" hidden="1"/>
    <cellStyle name="Hipervínculo visitado" xfId="1545" builtinId="9" hidden="1"/>
    <cellStyle name="Hipervínculo visitado" xfId="1547" builtinId="9" hidden="1"/>
    <cellStyle name="Hipervínculo visitado" xfId="1549" builtinId="9" hidden="1"/>
    <cellStyle name="Hipervínculo visitado" xfId="1551" builtinId="9" hidden="1"/>
    <cellStyle name="Hipervínculo visitado" xfId="1553" builtinId="9" hidden="1"/>
    <cellStyle name="Hipervínculo visitado" xfId="1555" builtinId="9" hidden="1"/>
    <cellStyle name="Hipervínculo visitado" xfId="1557" builtinId="9" hidden="1"/>
    <cellStyle name="Hipervínculo visitado" xfId="1559" builtinId="9" hidden="1"/>
    <cellStyle name="Hipervínculo visitado" xfId="1561" builtinId="9" hidden="1"/>
    <cellStyle name="Hipervínculo visitado" xfId="1563" builtinId="9" hidden="1"/>
    <cellStyle name="Hipervínculo visitado" xfId="1565" builtinId="9" hidden="1"/>
    <cellStyle name="Hipervínculo visitado" xfId="1567" builtinId="9" hidden="1"/>
    <cellStyle name="Hipervínculo visitado" xfId="1569" builtinId="9" hidden="1"/>
    <cellStyle name="Hipervínculo visitado" xfId="1571" builtinId="9" hidden="1"/>
    <cellStyle name="Hipervínculo visitado" xfId="1573" builtinId="9" hidden="1"/>
    <cellStyle name="Hipervínculo visitado" xfId="1575" builtinId="9" hidden="1"/>
    <cellStyle name="Hipervínculo visitado" xfId="1577" builtinId="9" hidden="1"/>
    <cellStyle name="Hipervínculo visitado" xfId="1579" builtinId="9" hidden="1"/>
    <cellStyle name="Hipervínculo visitado" xfId="1581" builtinId="9" hidden="1"/>
    <cellStyle name="Hipervínculo visitado" xfId="1583" builtinId="9" hidden="1"/>
    <cellStyle name="Hipervínculo visitado" xfId="1585" builtinId="9" hidden="1"/>
    <cellStyle name="Hipervínculo visitado" xfId="1587" builtinId="9" hidden="1"/>
    <cellStyle name="Hipervínculo visitado" xfId="1589" builtinId="9" hidden="1"/>
    <cellStyle name="Hipervínculo visitado" xfId="1591" builtinId="9" hidden="1"/>
    <cellStyle name="Hipervínculo visitado" xfId="1593" builtinId="9" hidden="1"/>
    <cellStyle name="Hipervínculo visitado" xfId="1595" builtinId="9" hidden="1"/>
    <cellStyle name="Hipervínculo visitado" xfId="1597" builtinId="9" hidden="1"/>
    <cellStyle name="Hipervínculo visitado" xfId="1599" builtinId="9" hidden="1"/>
    <cellStyle name="Hipervínculo visitado" xfId="1601" builtinId="9" hidden="1"/>
    <cellStyle name="Hipervínculo visitado" xfId="1603" builtinId="9" hidden="1"/>
    <cellStyle name="Hipervínculo visitado" xfId="1605" builtinId="9" hidden="1"/>
    <cellStyle name="Hipervínculo visitado" xfId="1607" builtinId="9" hidden="1"/>
    <cellStyle name="Hipervínculo visitado" xfId="1609" builtinId="9" hidden="1"/>
    <cellStyle name="Hipervínculo visitado" xfId="1611" builtinId="9" hidden="1"/>
    <cellStyle name="Hipervínculo visitado" xfId="1613" builtinId="9" hidden="1"/>
    <cellStyle name="Hipervínculo visitado" xfId="1615" builtinId="9" hidden="1"/>
    <cellStyle name="Hipervínculo visitado" xfId="1617" builtinId="9" hidden="1"/>
    <cellStyle name="Hipervínculo visitado" xfId="1619" builtinId="9" hidden="1"/>
    <cellStyle name="Hipervínculo visitado" xfId="1621" builtinId="9" hidden="1"/>
    <cellStyle name="Hipervínculo visitado" xfId="1623" builtinId="9" hidden="1"/>
    <cellStyle name="Hipervínculo visitado" xfId="1625" builtinId="9" hidden="1"/>
    <cellStyle name="Hipervínculo visitado" xfId="1627" builtinId="9" hidden="1"/>
    <cellStyle name="Hipervínculo visitado" xfId="1629" builtinId="9" hidden="1"/>
    <cellStyle name="Hipervínculo visitado" xfId="1631" builtinId="9" hidden="1"/>
    <cellStyle name="Hipervínculo visitado" xfId="1633" builtinId="9" hidden="1"/>
    <cellStyle name="Hipervínculo visitado" xfId="1635" builtinId="9" hidden="1"/>
    <cellStyle name="Hipervínculo visitado" xfId="1637" builtinId="9" hidden="1"/>
    <cellStyle name="Hipervínculo visitado" xfId="1639" builtinId="9" hidden="1"/>
    <cellStyle name="Hipervínculo visitado" xfId="1641" builtinId="9" hidden="1"/>
    <cellStyle name="Hipervínculo visitado" xfId="1643" builtinId="9" hidden="1"/>
    <cellStyle name="Hipervínculo visitado" xfId="1645" builtinId="9" hidden="1"/>
    <cellStyle name="Hipervínculo visitado" xfId="1647" builtinId="9" hidden="1"/>
    <cellStyle name="Hipervínculo visitado" xfId="1649" builtinId="9" hidden="1"/>
    <cellStyle name="Hipervínculo visitado" xfId="1651" builtinId="9" hidden="1"/>
    <cellStyle name="Hipervínculo visitado" xfId="1653" builtinId="9" hidden="1"/>
    <cellStyle name="Hipervínculo visitado" xfId="1655" builtinId="9" hidden="1"/>
    <cellStyle name="Hipervínculo visitado" xfId="1657" builtinId="9" hidden="1"/>
    <cellStyle name="Hipervínculo visitado" xfId="1659" builtinId="9" hidden="1"/>
    <cellStyle name="Hipervínculo visitado" xfId="1661" builtinId="9" hidden="1"/>
    <cellStyle name="Hipervínculo visitado" xfId="1663" builtinId="9" hidden="1"/>
    <cellStyle name="Hipervínculo visitado" xfId="1665" builtinId="9" hidden="1"/>
    <cellStyle name="Hipervínculo visitado" xfId="1667" builtinId="9" hidden="1"/>
    <cellStyle name="Hipervínculo visitado" xfId="1669" builtinId="9" hidden="1"/>
    <cellStyle name="Hipervínculo visitado" xfId="1671" builtinId="9" hidden="1"/>
    <cellStyle name="Hipervínculo visitado" xfId="1673" builtinId="9" hidden="1"/>
    <cellStyle name="Hipervínculo visitado" xfId="1675" builtinId="9" hidden="1"/>
    <cellStyle name="Hipervínculo visitado" xfId="1677" builtinId="9" hidden="1"/>
    <cellStyle name="Hipervínculo visitado" xfId="1679" builtinId="9" hidden="1"/>
    <cellStyle name="Hipervínculo visitado" xfId="1681" builtinId="9" hidden="1"/>
    <cellStyle name="Hipervínculo visitado" xfId="1683" builtinId="9" hidden="1"/>
    <cellStyle name="Hipervínculo visitado" xfId="1685" builtinId="9" hidden="1"/>
    <cellStyle name="Hipervínculo visitado" xfId="1687" builtinId="9" hidden="1"/>
    <cellStyle name="Hipervínculo visitado" xfId="1689" builtinId="9" hidden="1"/>
    <cellStyle name="Hipervínculo visitado" xfId="1691" builtinId="9" hidden="1"/>
    <cellStyle name="Hipervínculo visitado" xfId="1693" builtinId="9" hidden="1"/>
    <cellStyle name="Hipervínculo visitado" xfId="1695" builtinId="9" hidden="1"/>
    <cellStyle name="Hipervínculo visitado" xfId="1697" builtinId="9" hidden="1"/>
    <cellStyle name="Hipervínculo visitado" xfId="1699" builtinId="9" hidden="1"/>
    <cellStyle name="Hipervínculo visitado" xfId="1701" builtinId="9" hidden="1"/>
    <cellStyle name="Hipervínculo visitado" xfId="1703" builtinId="9" hidden="1"/>
    <cellStyle name="Hipervínculo visitado" xfId="1705" builtinId="9" hidden="1"/>
    <cellStyle name="Hipervínculo visitado" xfId="1707" builtinId="9" hidden="1"/>
    <cellStyle name="Hipervínculo visitado" xfId="1709" builtinId="9" hidden="1"/>
    <cellStyle name="Hipervínculo visitado" xfId="1711" builtinId="9" hidden="1"/>
    <cellStyle name="Hipervínculo visitado" xfId="1713" builtinId="9" hidden="1"/>
    <cellStyle name="Hipervínculo visitado" xfId="1715" builtinId="9" hidden="1"/>
    <cellStyle name="Hipervínculo visitado" xfId="1717" builtinId="9" hidden="1"/>
    <cellStyle name="Hipervínculo visitado" xfId="1719" builtinId="9" hidden="1"/>
    <cellStyle name="Hipervínculo visitado" xfId="1721" builtinId="9" hidden="1"/>
    <cellStyle name="Hipervínculo visitado" xfId="1723" builtinId="9" hidden="1"/>
    <cellStyle name="Hipervínculo visitado" xfId="1725" builtinId="9" hidden="1"/>
    <cellStyle name="Hipervínculo visitado" xfId="1727" builtinId="9" hidden="1"/>
    <cellStyle name="Hipervínculo visitado" xfId="1729" builtinId="9" hidden="1"/>
    <cellStyle name="Hipervínculo visitado" xfId="1731" builtinId="9" hidden="1"/>
    <cellStyle name="Hipervínculo visitado" xfId="1733" builtinId="9" hidden="1"/>
    <cellStyle name="Hipervínculo visitado" xfId="1735" builtinId="9" hidden="1"/>
    <cellStyle name="Hipervínculo visitado" xfId="1737" builtinId="9" hidden="1"/>
    <cellStyle name="Hipervínculo visitado" xfId="1739" builtinId="9" hidden="1"/>
    <cellStyle name="Hipervínculo visitado" xfId="1741" builtinId="9" hidden="1"/>
    <cellStyle name="Hipervínculo visitado" xfId="1743" builtinId="9" hidden="1"/>
    <cellStyle name="Hipervínculo visitado" xfId="1745" builtinId="9" hidden="1"/>
    <cellStyle name="Hipervínculo visitado" xfId="1747" builtinId="9" hidden="1"/>
    <cellStyle name="Hipervínculo visitado" xfId="1749" builtinId="9" hidden="1"/>
    <cellStyle name="Hipervínculo visitado" xfId="1751" builtinId="9" hidden="1"/>
    <cellStyle name="Hipervínculo visitado" xfId="1753" builtinId="9" hidden="1"/>
    <cellStyle name="Hipervínculo visitado" xfId="1755" builtinId="9" hidden="1"/>
    <cellStyle name="Hipervínculo visitado" xfId="1757" builtinId="9" hidden="1"/>
    <cellStyle name="Hipervínculo visitado" xfId="1759" builtinId="9" hidden="1"/>
    <cellStyle name="Hipervínculo visitado" xfId="1761" builtinId="9" hidden="1"/>
    <cellStyle name="Hipervínculo visitado" xfId="1763" builtinId="9" hidden="1"/>
    <cellStyle name="Hipervínculo visitado" xfId="1765" builtinId="9" hidden="1"/>
    <cellStyle name="Hipervínculo visitado" xfId="1767" builtinId="9" hidden="1"/>
    <cellStyle name="Hipervínculo visitado" xfId="1769" builtinId="9" hidden="1"/>
    <cellStyle name="Hipervínculo visitado" xfId="1771" builtinId="9" hidden="1"/>
    <cellStyle name="Hipervínculo visitado" xfId="1773" builtinId="9" hidden="1"/>
    <cellStyle name="Hipervínculo visitado" xfId="1775" builtinId="9" hidden="1"/>
    <cellStyle name="Hipervínculo visitado" xfId="1777" builtinId="9" hidden="1"/>
    <cellStyle name="Hipervínculo visitado" xfId="1779" builtinId="9" hidden="1"/>
    <cellStyle name="Hipervínculo visitado" xfId="1781" builtinId="9" hidden="1"/>
    <cellStyle name="Hipervínculo visitado" xfId="1783" builtinId="9" hidden="1"/>
    <cellStyle name="Hipervínculo visitado" xfId="1785" builtinId="9" hidden="1"/>
    <cellStyle name="Hipervínculo visitado" xfId="1787" builtinId="9" hidden="1"/>
    <cellStyle name="Hipervínculo visitado" xfId="1789" builtinId="9" hidden="1"/>
    <cellStyle name="Hipervínculo visitado" xfId="1791" builtinId="9" hidden="1"/>
    <cellStyle name="Hipervínculo visitado" xfId="1793" builtinId="9" hidden="1"/>
    <cellStyle name="Hipervínculo visitado" xfId="1795" builtinId="9" hidden="1"/>
    <cellStyle name="Hipervínculo visitado" xfId="1797" builtinId="9" hidden="1"/>
    <cellStyle name="Hipervínculo visitado" xfId="1799" builtinId="9" hidden="1"/>
    <cellStyle name="Hipervínculo visitado" xfId="1801" builtinId="9" hidden="1"/>
    <cellStyle name="Hipervínculo visitado" xfId="1803" builtinId="9" hidden="1"/>
    <cellStyle name="Hipervínculo visitado" xfId="1805" builtinId="9" hidden="1"/>
    <cellStyle name="Hipervínculo visitado" xfId="1807" builtinId="9" hidden="1"/>
    <cellStyle name="Hipervínculo visitado" xfId="1809" builtinId="9" hidden="1"/>
    <cellStyle name="Hipervínculo visitado" xfId="1811" builtinId="9" hidden="1"/>
    <cellStyle name="Hipervínculo visitado" xfId="1813" builtinId="9" hidden="1"/>
    <cellStyle name="Hipervínculo visitado" xfId="1815" builtinId="9" hidden="1"/>
    <cellStyle name="Hipervínculo visitado" xfId="1817" builtinId="9" hidden="1"/>
    <cellStyle name="Hipervínculo visitado" xfId="1819" builtinId="9" hidden="1"/>
    <cellStyle name="Hipervínculo visitado" xfId="1821" builtinId="9" hidden="1"/>
    <cellStyle name="Hipervínculo visitado" xfId="1823" builtinId="9" hidden="1"/>
    <cellStyle name="Hipervínculo visitado" xfId="1825" builtinId="9" hidden="1"/>
    <cellStyle name="Hipervínculo visitado" xfId="1827" builtinId="9" hidden="1"/>
    <cellStyle name="Hipervínculo visitado" xfId="1829" builtinId="9" hidden="1"/>
    <cellStyle name="Hipervínculo visitado" xfId="1831" builtinId="9" hidden="1"/>
    <cellStyle name="Hipervínculo visitado" xfId="1833" builtinId="9" hidden="1"/>
    <cellStyle name="Hipervínculo visitado" xfId="1835" builtinId="9" hidden="1"/>
    <cellStyle name="Hipervínculo visitado" xfId="1837" builtinId="9" hidden="1"/>
    <cellStyle name="Hipervínculo visitado" xfId="1839" builtinId="9" hidden="1"/>
    <cellStyle name="Hipervínculo visitado" xfId="1841" builtinId="9" hidden="1"/>
    <cellStyle name="Hipervínculo visitado" xfId="1843" builtinId="9" hidden="1"/>
    <cellStyle name="Hipervínculo visitado" xfId="1845" builtinId="9" hidden="1"/>
    <cellStyle name="Hipervínculo visitado" xfId="1847" builtinId="9" hidden="1"/>
    <cellStyle name="Hipervínculo visitado" xfId="1849" builtinId="9" hidden="1"/>
    <cellStyle name="Hipervínculo visitado" xfId="1851" builtinId="9" hidden="1"/>
    <cellStyle name="Hipervínculo visitado" xfId="1853" builtinId="9" hidden="1"/>
    <cellStyle name="Hipervínculo visitado" xfId="1855" builtinId="9" hidden="1"/>
    <cellStyle name="Hipervínculo visitado" xfId="1857" builtinId="9" hidden="1"/>
    <cellStyle name="Hipervínculo visitado" xfId="1859" builtinId="9" hidden="1"/>
    <cellStyle name="Hipervínculo visitado" xfId="1861" builtinId="9" hidden="1"/>
    <cellStyle name="Hipervínculo visitado" xfId="1863" builtinId="9" hidden="1"/>
    <cellStyle name="Hipervínculo visitado" xfId="1865" builtinId="9" hidden="1"/>
    <cellStyle name="Hipervínculo visitado" xfId="1867" builtinId="9" hidden="1"/>
    <cellStyle name="Hipervínculo visitado" xfId="1869" builtinId="9" hidden="1"/>
    <cellStyle name="Hipervínculo visitado" xfId="1871" builtinId="9" hidden="1"/>
    <cellStyle name="Hipervínculo visitado" xfId="1873" builtinId="9" hidden="1"/>
    <cellStyle name="Hipervínculo visitado" xfId="1875" builtinId="9" hidden="1"/>
    <cellStyle name="Hipervínculo visitado" xfId="1877" builtinId="9" hidden="1"/>
    <cellStyle name="Hipervínculo visitado" xfId="1879" builtinId="9" hidden="1"/>
    <cellStyle name="Hipervínculo visitado" xfId="1881" builtinId="9" hidden="1"/>
    <cellStyle name="Hipervínculo visitado" xfId="1883" builtinId="9" hidden="1"/>
    <cellStyle name="Hipervínculo visitado" xfId="1885" builtinId="9" hidden="1"/>
    <cellStyle name="Hipervínculo visitado" xfId="1887" builtinId="9" hidden="1"/>
    <cellStyle name="Hipervínculo visitado" xfId="1889" builtinId="9" hidden="1"/>
    <cellStyle name="Hipervínculo visitado" xfId="1891" builtinId="9" hidden="1"/>
    <cellStyle name="Hipervínculo visitado" xfId="1893" builtinId="9" hidden="1"/>
    <cellStyle name="Hipervínculo visitado" xfId="1895" builtinId="9" hidden="1"/>
    <cellStyle name="Hipervínculo visitado" xfId="1897" builtinId="9" hidden="1"/>
    <cellStyle name="Hipervínculo visitado" xfId="1899" builtinId="9" hidden="1"/>
    <cellStyle name="Hipervínculo visitado" xfId="1901" builtinId="9" hidden="1"/>
    <cellStyle name="Hipervínculo visitado" xfId="1903" builtinId="9" hidden="1"/>
    <cellStyle name="Hipervínculo visitado" xfId="1905" builtinId="9" hidden="1"/>
    <cellStyle name="Hipervínculo visitado" xfId="1907" builtinId="9" hidden="1"/>
    <cellStyle name="Hipervínculo visitado" xfId="1909" builtinId="9" hidden="1"/>
    <cellStyle name="Hipervínculo visitado" xfId="1911" builtinId="9" hidden="1"/>
    <cellStyle name="Hipervínculo visitado" xfId="1913" builtinId="9" hidden="1"/>
    <cellStyle name="Hipervínculo visitado" xfId="1915" builtinId="9" hidden="1"/>
    <cellStyle name="Hipervínculo visitado" xfId="1917" builtinId="9" hidden="1"/>
    <cellStyle name="Hipervínculo visitado" xfId="1919" builtinId="9" hidden="1"/>
    <cellStyle name="Hipervínculo visitado" xfId="1921" builtinId="9" hidden="1"/>
    <cellStyle name="Hipervínculo visitado" xfId="1923" builtinId="9" hidden="1"/>
    <cellStyle name="Hipervínculo visitado" xfId="1925" builtinId="9" hidden="1"/>
    <cellStyle name="Hipervínculo visitado" xfId="1927" builtinId="9" hidden="1"/>
    <cellStyle name="Hipervínculo visitado" xfId="1929" builtinId="9" hidden="1"/>
    <cellStyle name="Hipervínculo visitado" xfId="1931" builtinId="9" hidden="1"/>
    <cellStyle name="Hipervínculo visitado" xfId="1933" builtinId="9" hidden="1"/>
    <cellStyle name="Hipervínculo visitado" xfId="1935" builtinId="9" hidden="1"/>
    <cellStyle name="Hipervínculo visitado" xfId="1937" builtinId="9" hidden="1"/>
    <cellStyle name="Hipervínculo visitado" xfId="1939" builtinId="9" hidden="1"/>
    <cellStyle name="Hipervínculo visitado" xfId="1941" builtinId="9" hidden="1"/>
    <cellStyle name="Hipervínculo visitado" xfId="1943" builtinId="9" hidden="1"/>
    <cellStyle name="Hipervínculo visitado" xfId="1945" builtinId="9" hidden="1"/>
    <cellStyle name="Hipervínculo visitado" xfId="1947" builtinId="9" hidden="1"/>
    <cellStyle name="Hipervínculo visitado" xfId="1949" builtinId="9" hidden="1"/>
    <cellStyle name="Hipervínculo visitado" xfId="1951" builtinId="9" hidden="1"/>
    <cellStyle name="Hipervínculo visitado" xfId="1953" builtinId="9" hidden="1"/>
    <cellStyle name="Hipervínculo visitado" xfId="1955" builtinId="9" hidden="1"/>
    <cellStyle name="Hipervínculo visitado" xfId="1957" builtinId="9" hidden="1"/>
    <cellStyle name="Hipervínculo visitado" xfId="1959" builtinId="9" hidden="1"/>
    <cellStyle name="Hipervínculo visitado" xfId="1961" builtinId="9" hidden="1"/>
    <cellStyle name="Hipervínculo visitado" xfId="1963" builtinId="9" hidden="1"/>
    <cellStyle name="Hipervínculo visitado" xfId="1965" builtinId="9" hidden="1"/>
    <cellStyle name="Hipervínculo visitado" xfId="1967" builtinId="9" hidden="1"/>
    <cellStyle name="Hipervínculo visitado" xfId="1969" builtinId="9" hidden="1"/>
    <cellStyle name="Hipervínculo visitado" xfId="1971" builtinId="9" hidden="1"/>
    <cellStyle name="Hipervínculo visitado" xfId="1973" builtinId="9" hidden="1"/>
    <cellStyle name="Hipervínculo visitado" xfId="1975" builtinId="9" hidden="1"/>
    <cellStyle name="Hipervínculo visitado" xfId="1977" builtinId="9" hidden="1"/>
    <cellStyle name="Hipervínculo visitado" xfId="1979" builtinId="9" hidden="1"/>
    <cellStyle name="Hipervínculo visitado" xfId="1981" builtinId="9" hidden="1"/>
    <cellStyle name="Hipervínculo visitado" xfId="1983" builtinId="9" hidden="1"/>
    <cellStyle name="Hipervínculo visitado" xfId="1985" builtinId="9" hidden="1"/>
    <cellStyle name="Hipervínculo visitado" xfId="1987" builtinId="9" hidden="1"/>
    <cellStyle name="Hipervínculo visitado" xfId="1989" builtinId="9" hidden="1"/>
    <cellStyle name="Hipervínculo visitado" xfId="1991" builtinId="9" hidden="1"/>
    <cellStyle name="Hipervínculo visitado" xfId="1993" builtinId="9" hidden="1"/>
    <cellStyle name="Hipervínculo visitado" xfId="1995" builtinId="9" hidden="1"/>
    <cellStyle name="Hipervínculo visitado" xfId="1997" builtinId="9" hidden="1"/>
    <cellStyle name="Hipervínculo visitado" xfId="1999" builtinId="9" hidden="1"/>
    <cellStyle name="Hipervínculo visitado" xfId="2001" builtinId="9" hidden="1"/>
    <cellStyle name="Hipervínculo visitado" xfId="2003" builtinId="9" hidden="1"/>
    <cellStyle name="Hipervínculo visitado" xfId="2005" builtinId="9" hidden="1"/>
    <cellStyle name="Hipervínculo visitado" xfId="2007" builtinId="9" hidden="1"/>
    <cellStyle name="Hipervínculo visitado" xfId="2009" builtinId="9" hidden="1"/>
    <cellStyle name="Hipervínculo visitado" xfId="2011" builtinId="9" hidden="1"/>
    <cellStyle name="Hipervínculo visitado" xfId="2013" builtinId="9" hidden="1"/>
    <cellStyle name="Hipervínculo visitado" xfId="2015" builtinId="9" hidden="1"/>
    <cellStyle name="Hipervínculo visitado" xfId="2017" builtinId="9" hidden="1"/>
    <cellStyle name="Hipervínculo visitado" xfId="2019" builtinId="9" hidden="1"/>
    <cellStyle name="Hipervínculo visitado" xfId="2021" builtinId="9" hidden="1"/>
    <cellStyle name="Hipervínculo visitado" xfId="2023" builtinId="9" hidden="1"/>
    <cellStyle name="Hipervínculo visitado" xfId="2025" builtinId="9" hidden="1"/>
    <cellStyle name="Hipervínculo visitado" xfId="2027" builtinId="9" hidden="1"/>
    <cellStyle name="Hipervínculo visitado" xfId="2029" builtinId="9" hidden="1"/>
    <cellStyle name="Hipervínculo visitado" xfId="2031" builtinId="9" hidden="1"/>
    <cellStyle name="Hipervínculo visitado" xfId="2033" builtinId="9" hidden="1"/>
    <cellStyle name="Hipervínculo visitado" xfId="2035" builtinId="9" hidden="1"/>
    <cellStyle name="Hipervínculo visitado" xfId="2037" builtinId="9" hidden="1"/>
    <cellStyle name="Hipervínculo visitado" xfId="2039" builtinId="9" hidden="1"/>
    <cellStyle name="Hipervínculo visitado" xfId="2041" builtinId="9" hidden="1"/>
    <cellStyle name="Hipervínculo visitado" xfId="2043" builtinId="9" hidden="1"/>
    <cellStyle name="Hipervínculo visitado" xfId="2045" builtinId="9" hidden="1"/>
    <cellStyle name="Hipervínculo visitado" xfId="2047" builtinId="9" hidden="1"/>
    <cellStyle name="Hipervínculo visitado" xfId="2049" builtinId="9" hidden="1"/>
    <cellStyle name="Hipervínculo visitado" xfId="2051" builtinId="9" hidden="1"/>
    <cellStyle name="Hipervínculo visitado" xfId="2053" builtinId="9" hidden="1"/>
    <cellStyle name="Hipervínculo visitado" xfId="2055" builtinId="9" hidden="1"/>
    <cellStyle name="Hipervínculo visitado" xfId="2057" builtinId="9" hidden="1"/>
    <cellStyle name="Hipervínculo visitado" xfId="2059" builtinId="9" hidden="1"/>
    <cellStyle name="Hipervínculo visitado" xfId="2061" builtinId="9" hidden="1"/>
    <cellStyle name="Hipervínculo visitado" xfId="2063" builtinId="9" hidden="1"/>
    <cellStyle name="Hipervínculo visitado" xfId="2065" builtinId="9" hidden="1"/>
    <cellStyle name="Hipervínculo visitado" xfId="2067" builtinId="9" hidden="1"/>
    <cellStyle name="Hipervínculo visitado" xfId="2069" builtinId="9" hidden="1"/>
    <cellStyle name="Hipervínculo visitado" xfId="2071" builtinId="9" hidden="1"/>
    <cellStyle name="Hipervínculo visitado" xfId="2073" builtinId="9" hidden="1"/>
    <cellStyle name="Hipervínculo visitado" xfId="2075" builtinId="9" hidden="1"/>
    <cellStyle name="Hipervínculo visitado" xfId="2077" builtinId="9" hidden="1"/>
    <cellStyle name="Hipervínculo visitado" xfId="2079" builtinId="9" hidden="1"/>
    <cellStyle name="Hipervínculo visitado" xfId="2081" builtinId="9" hidden="1"/>
    <cellStyle name="Hipervínculo visitado" xfId="2083" builtinId="9" hidden="1"/>
    <cellStyle name="Hipervínculo visitado" xfId="2085" builtinId="9" hidden="1"/>
    <cellStyle name="Hipervínculo visitado" xfId="2087" builtinId="9" hidden="1"/>
    <cellStyle name="Hipervínculo visitado" xfId="2089" builtinId="9" hidden="1"/>
    <cellStyle name="Hipervínculo visitado" xfId="2091" builtinId="9" hidden="1"/>
    <cellStyle name="Hipervínculo visitado" xfId="2093" builtinId="9" hidden="1"/>
    <cellStyle name="Hipervínculo visitado" xfId="2095" builtinId="9" hidden="1"/>
    <cellStyle name="Hipervínculo visitado" xfId="2097" builtinId="9" hidden="1"/>
    <cellStyle name="Hipervínculo visitado" xfId="2099" builtinId="9" hidden="1"/>
    <cellStyle name="Hipervínculo visitado" xfId="2101" builtinId="9" hidden="1"/>
    <cellStyle name="Hipervínculo visitado" xfId="2103" builtinId="9" hidden="1"/>
    <cellStyle name="Hipervínculo visitado" xfId="2105" builtinId="9" hidden="1"/>
    <cellStyle name="Hipervínculo visitado" xfId="2107" builtinId="9" hidden="1"/>
    <cellStyle name="Hipervínculo visitado" xfId="2109" builtinId="9" hidden="1"/>
    <cellStyle name="Hipervínculo visitado" xfId="2111" builtinId="9" hidden="1"/>
    <cellStyle name="Hipervínculo visitado" xfId="2113" builtinId="9" hidden="1"/>
    <cellStyle name="Hipervínculo visitado" xfId="2115" builtinId="9" hidden="1"/>
    <cellStyle name="Hipervínculo visitado" xfId="2117" builtinId="9" hidden="1"/>
    <cellStyle name="Hipervínculo visitado" xfId="2119" builtinId="9" hidden="1"/>
    <cellStyle name="Hipervínculo visitado" xfId="2121" builtinId="9" hidden="1"/>
    <cellStyle name="Hipervínculo visitado" xfId="2123" builtinId="9" hidden="1"/>
    <cellStyle name="Hipervínculo visitado" xfId="2125" builtinId="9" hidden="1"/>
    <cellStyle name="Hipervínculo visitado" xfId="2127" builtinId="9" hidden="1"/>
    <cellStyle name="Hipervínculo visitado" xfId="2129" builtinId="9" hidden="1"/>
    <cellStyle name="Hipervínculo visitado" xfId="2131" builtinId="9" hidden="1"/>
    <cellStyle name="Hipervínculo visitado" xfId="2133" builtinId="9" hidden="1"/>
    <cellStyle name="Hipervínculo visitado" xfId="2135" builtinId="9" hidden="1"/>
    <cellStyle name="Hipervínculo visitado" xfId="2137" builtinId="9" hidden="1"/>
    <cellStyle name="Hipervínculo visitado" xfId="2139" builtinId="9" hidden="1"/>
    <cellStyle name="Hipervínculo visitado" xfId="2141" builtinId="9" hidden="1"/>
    <cellStyle name="Hipervínculo visitado" xfId="2143" builtinId="9" hidden="1"/>
    <cellStyle name="Hipervínculo visitado" xfId="2145" builtinId="9" hidden="1"/>
    <cellStyle name="Hipervínculo visitado" xfId="2147" builtinId="9" hidden="1"/>
    <cellStyle name="Hipervínculo visitado" xfId="2149" builtinId="9" hidden="1"/>
    <cellStyle name="Hipervínculo visitado" xfId="2151" builtinId="9" hidden="1"/>
    <cellStyle name="Hipervínculo visitado" xfId="2153" builtinId="9" hidden="1"/>
    <cellStyle name="Hipervínculo visitado" xfId="2155" builtinId="9" hidden="1"/>
    <cellStyle name="Hipervínculo visitado" xfId="2157" builtinId="9" hidden="1"/>
    <cellStyle name="Hipervínculo visitado" xfId="2159" builtinId="9" hidden="1"/>
    <cellStyle name="Hipervínculo visitado" xfId="2161" builtinId="9" hidden="1"/>
    <cellStyle name="Hipervínculo visitado" xfId="2163" builtinId="9" hidden="1"/>
    <cellStyle name="Hipervínculo visitado" xfId="2165" builtinId="9" hidden="1"/>
    <cellStyle name="Hipervínculo visitado" xfId="2167" builtinId="9" hidden="1"/>
    <cellStyle name="Hipervínculo visitado" xfId="2169" builtinId="9" hidden="1"/>
    <cellStyle name="Hipervínculo visitado" xfId="2171" builtinId="9" hidden="1"/>
    <cellStyle name="Hipervínculo visitado" xfId="2173" builtinId="9" hidden="1"/>
    <cellStyle name="Hipervínculo visitado" xfId="2175" builtinId="9" hidden="1"/>
    <cellStyle name="Hipervínculo visitado" xfId="2177" builtinId="9" hidden="1"/>
    <cellStyle name="Hipervínculo visitado" xfId="2179" builtinId="9" hidden="1"/>
    <cellStyle name="Hipervínculo visitado" xfId="2181" builtinId="9" hidden="1"/>
    <cellStyle name="Hipervínculo visitado" xfId="2183" builtinId="9" hidden="1"/>
    <cellStyle name="Hipervínculo visitado" xfId="2185" builtinId="9" hidden="1"/>
    <cellStyle name="Hipervínculo visitado" xfId="2187" builtinId="9" hidden="1"/>
    <cellStyle name="Hipervínculo visitado" xfId="2189" builtinId="9" hidden="1"/>
    <cellStyle name="Hipervínculo visitado" xfId="2191" builtinId="9" hidden="1"/>
    <cellStyle name="Hipervínculo visitado" xfId="2193" builtinId="9" hidden="1"/>
    <cellStyle name="Hipervínculo visitado" xfId="2195" builtinId="9" hidden="1"/>
    <cellStyle name="Hipervínculo visitado" xfId="2197" builtinId="9" hidden="1"/>
    <cellStyle name="Hipervínculo visitado" xfId="2199" builtinId="9" hidden="1"/>
    <cellStyle name="Hipervínculo visitado" xfId="2201" builtinId="9" hidden="1"/>
    <cellStyle name="Hipervínculo visitado" xfId="2203" builtinId="9" hidden="1"/>
    <cellStyle name="Hipervínculo visitado" xfId="2205" builtinId="9" hidden="1"/>
    <cellStyle name="Hipervínculo visitado" xfId="2207" builtinId="9" hidden="1"/>
    <cellStyle name="Hipervínculo visitado" xfId="2209" builtinId="9" hidden="1"/>
    <cellStyle name="Hipervínculo visitado" xfId="2211" builtinId="9" hidden="1"/>
    <cellStyle name="Hipervínculo visitado" xfId="2213" builtinId="9" hidden="1"/>
    <cellStyle name="Hipervínculo visitado" xfId="2215" builtinId="9" hidden="1"/>
    <cellStyle name="Hipervínculo visitado" xfId="2217" builtinId="9" hidden="1"/>
    <cellStyle name="Hipervínculo visitado" xfId="2219" builtinId="9" hidden="1"/>
    <cellStyle name="Hipervínculo visitado" xfId="2221" builtinId="9" hidden="1"/>
    <cellStyle name="Hipervínculo visitado" xfId="2223" builtinId="9" hidden="1"/>
    <cellStyle name="Hipervínculo visitado" xfId="2225" builtinId="9" hidden="1"/>
    <cellStyle name="Hipervínculo visitado" xfId="2227" builtinId="9" hidden="1"/>
    <cellStyle name="Hipervínculo visitado" xfId="2229" builtinId="9" hidden="1"/>
    <cellStyle name="Hipervínculo visitado" xfId="2231" builtinId="9" hidden="1"/>
    <cellStyle name="Hipervínculo visitado" xfId="2233" builtinId="9" hidden="1"/>
    <cellStyle name="Hipervínculo visitado" xfId="2235" builtinId="9" hidden="1"/>
    <cellStyle name="Hipervínculo visitado" xfId="2237" builtinId="9" hidden="1"/>
    <cellStyle name="Hipervínculo visitado" xfId="2239" builtinId="9" hidden="1"/>
    <cellStyle name="Hipervínculo visitado" xfId="2241" builtinId="9" hidden="1"/>
    <cellStyle name="Hipervínculo visitado" xfId="2243" builtinId="9" hidden="1"/>
    <cellStyle name="Hipervínculo visitado" xfId="2245" builtinId="9" hidden="1"/>
    <cellStyle name="Hipervínculo visitado" xfId="2247" builtinId="9" hidden="1"/>
    <cellStyle name="Hipervínculo visitado" xfId="2249" builtinId="9" hidden="1"/>
    <cellStyle name="Hipervínculo visitado" xfId="2251" builtinId="9" hidden="1"/>
    <cellStyle name="Hipervínculo visitado" xfId="2253" builtinId="9" hidden="1"/>
    <cellStyle name="Hipervínculo visitado" xfId="2255" builtinId="9" hidden="1"/>
    <cellStyle name="Hipervínculo visitado" xfId="2257" builtinId="9" hidden="1"/>
    <cellStyle name="Hipervínculo visitado" xfId="2259" builtinId="9" hidden="1"/>
    <cellStyle name="Hipervínculo visitado" xfId="2261" builtinId="9" hidden="1"/>
    <cellStyle name="Hipervínculo visitado" xfId="2263" builtinId="9" hidden="1"/>
    <cellStyle name="Hipervínculo visitado" xfId="2265" builtinId="9" hidden="1"/>
    <cellStyle name="Hipervínculo visitado" xfId="2267" builtinId="9" hidden="1"/>
    <cellStyle name="Hipervínculo visitado" xfId="2269" builtinId="9" hidden="1"/>
    <cellStyle name="Hipervínculo visitado" xfId="2271" builtinId="9" hidden="1"/>
    <cellStyle name="Hipervínculo visitado" xfId="2273" builtinId="9" hidden="1"/>
    <cellStyle name="Hipervínculo visitado" xfId="2275" builtinId="9" hidden="1"/>
    <cellStyle name="Hipervínculo visitado" xfId="2277" builtinId="9" hidden="1"/>
    <cellStyle name="Hipervínculo visitado" xfId="2279" builtinId="9" hidden="1"/>
    <cellStyle name="Hipervínculo visitado" xfId="2281" builtinId="9" hidden="1"/>
    <cellStyle name="Hipervínculo visitado" xfId="2283" builtinId="9" hidden="1"/>
    <cellStyle name="Hipervínculo visitado" xfId="2285" builtinId="9" hidden="1"/>
    <cellStyle name="Hipervínculo visitado" xfId="2287" builtinId="9" hidden="1"/>
    <cellStyle name="Hipervínculo visitado" xfId="2289" builtinId="9" hidden="1"/>
    <cellStyle name="Hipervínculo visitado" xfId="2291" builtinId="9" hidden="1"/>
    <cellStyle name="Hipervínculo visitado" xfId="2293" builtinId="9" hidden="1"/>
    <cellStyle name="Hipervínculo visitado" xfId="2295" builtinId="9" hidden="1"/>
    <cellStyle name="Hipervínculo visitado" xfId="2297" builtinId="9" hidden="1"/>
    <cellStyle name="Hipervínculo visitado" xfId="2299" builtinId="9" hidden="1"/>
    <cellStyle name="Hipervínculo visitado" xfId="2301" builtinId="9" hidden="1"/>
    <cellStyle name="Hipervínculo visitado" xfId="2303" builtinId="9" hidden="1"/>
    <cellStyle name="Hipervínculo visitado" xfId="2305" builtinId="9" hidden="1"/>
    <cellStyle name="Hipervínculo visitado" xfId="2307" builtinId="9" hidden="1"/>
    <cellStyle name="Hipervínculo visitado" xfId="2309" builtinId="9" hidden="1"/>
    <cellStyle name="Hipervínculo visitado" xfId="2311" builtinId="9" hidden="1"/>
    <cellStyle name="Hipervínculo visitado" xfId="2313" builtinId="9" hidden="1"/>
    <cellStyle name="Hipervínculo visitado" xfId="2315" builtinId="9" hidden="1"/>
    <cellStyle name="Hipervínculo visitado" xfId="2317" builtinId="9" hidden="1"/>
    <cellStyle name="Hipervínculo visitado" xfId="2319" builtinId="9" hidden="1"/>
    <cellStyle name="Hipervínculo visitado" xfId="2321" builtinId="9" hidden="1"/>
    <cellStyle name="Hipervínculo visitado" xfId="2323" builtinId="9" hidden="1"/>
    <cellStyle name="Hipervínculo visitado" xfId="2325" builtinId="9" hidden="1"/>
    <cellStyle name="Hipervínculo visitado" xfId="2327" builtinId="9" hidden="1"/>
    <cellStyle name="Hipervínculo visitado" xfId="2329" builtinId="9" hidden="1"/>
    <cellStyle name="Hipervínculo visitado" xfId="2331" builtinId="9" hidden="1"/>
    <cellStyle name="Hipervínculo visitado" xfId="2333" builtinId="9" hidden="1"/>
    <cellStyle name="Hipervínculo visitado" xfId="2335" builtinId="9" hidden="1"/>
    <cellStyle name="Hipervínculo visitado" xfId="2337" builtinId="9" hidden="1"/>
    <cellStyle name="Hipervínculo visitado" xfId="2339" builtinId="9" hidden="1"/>
    <cellStyle name="Hipervínculo visitado" xfId="2341" builtinId="9" hidden="1"/>
    <cellStyle name="Hipervínculo visitado" xfId="2343" builtinId="9" hidden="1"/>
    <cellStyle name="Hipervínculo visitado" xfId="2345" builtinId="9" hidden="1"/>
    <cellStyle name="Hipervínculo visitado" xfId="2347" builtinId="9" hidden="1"/>
    <cellStyle name="Hipervínculo visitado" xfId="2349" builtinId="9" hidden="1"/>
    <cellStyle name="Hipervínculo visitado" xfId="2351" builtinId="9" hidden="1"/>
    <cellStyle name="Hipervínculo visitado" xfId="2353" builtinId="9" hidden="1"/>
    <cellStyle name="Hipervínculo visitado" xfId="2355" builtinId="9" hidden="1"/>
    <cellStyle name="Hipervínculo visitado" xfId="2357" builtinId="9" hidden="1"/>
    <cellStyle name="Hipervínculo visitado" xfId="2359" builtinId="9" hidden="1"/>
    <cellStyle name="Hipervínculo visitado" xfId="2361" builtinId="9" hidden="1"/>
    <cellStyle name="Hipervínculo visitado" xfId="2363" builtinId="9" hidden="1"/>
    <cellStyle name="Hipervínculo visitado" xfId="2365" builtinId="9" hidden="1"/>
    <cellStyle name="Hipervínculo visitado" xfId="2367" builtinId="9" hidden="1"/>
    <cellStyle name="Hipervínculo visitado" xfId="2369" builtinId="9" hidden="1"/>
    <cellStyle name="Hipervínculo visitado" xfId="2371" builtinId="9" hidden="1"/>
    <cellStyle name="Hipervínculo visitado" xfId="2373" builtinId="9" hidden="1"/>
    <cellStyle name="Hipervínculo visitado" xfId="2375" builtinId="9" hidden="1"/>
    <cellStyle name="Hipervínculo visitado" xfId="2377" builtinId="9" hidden="1"/>
    <cellStyle name="Hipervínculo visitado" xfId="2379" builtinId="9" hidden="1"/>
    <cellStyle name="Hipervínculo visitado" xfId="2381" builtinId="9" hidden="1"/>
    <cellStyle name="Hipervínculo visitado" xfId="2383" builtinId="9" hidden="1"/>
    <cellStyle name="Hipervínculo visitado" xfId="2385" builtinId="9" hidden="1"/>
    <cellStyle name="Hipervínculo visitado" xfId="2387" builtinId="9" hidden="1"/>
    <cellStyle name="Hipervínculo visitado" xfId="2389" builtinId="9" hidden="1"/>
    <cellStyle name="Hipervínculo visitado" xfId="2391" builtinId="9" hidden="1"/>
    <cellStyle name="Hipervínculo visitado" xfId="2393" builtinId="9" hidden="1"/>
    <cellStyle name="Hipervínculo visitado" xfId="2395" builtinId="9" hidden="1"/>
    <cellStyle name="Hipervínculo visitado" xfId="2397" builtinId="9" hidden="1"/>
    <cellStyle name="Hipervínculo visitado" xfId="2399" builtinId="9" hidden="1"/>
    <cellStyle name="Hipervínculo visitado" xfId="2401" builtinId="9" hidden="1"/>
    <cellStyle name="Hipervínculo visitado" xfId="2403" builtinId="9" hidden="1"/>
    <cellStyle name="Hipervínculo visitado" xfId="2405" builtinId="9" hidden="1"/>
    <cellStyle name="Hipervínculo visitado" xfId="2407" builtinId="9" hidden="1"/>
    <cellStyle name="Hipervínculo visitado" xfId="2409" builtinId="9" hidden="1"/>
    <cellStyle name="Hipervínculo visitado" xfId="2411" builtinId="9" hidden="1"/>
    <cellStyle name="Hipervínculo visitado" xfId="2413" builtinId="9" hidden="1"/>
    <cellStyle name="Hipervínculo visitado" xfId="2415" builtinId="9" hidden="1"/>
    <cellStyle name="Hipervínculo visitado" xfId="2417" builtinId="9" hidden="1"/>
    <cellStyle name="Hipervínculo visitado" xfId="2419" builtinId="9" hidden="1"/>
    <cellStyle name="Hipervínculo visitado" xfId="2421" builtinId="9" hidden="1"/>
    <cellStyle name="Hipervínculo visitado" xfId="2423" builtinId="9" hidden="1"/>
    <cellStyle name="Hipervínculo visitado" xfId="2425" builtinId="9" hidden="1"/>
    <cellStyle name="Hipervínculo visitado" xfId="2427" builtinId="9" hidden="1"/>
    <cellStyle name="Hipervínculo visitado" xfId="2429" builtinId="9" hidden="1"/>
    <cellStyle name="Hipervínculo visitado" xfId="2431" builtinId="9" hidden="1"/>
    <cellStyle name="Hipervínculo visitado" xfId="2433" builtinId="9" hidden="1"/>
    <cellStyle name="Hipervínculo visitado" xfId="2435" builtinId="9" hidden="1"/>
    <cellStyle name="Hipervínculo visitado" xfId="2437" builtinId="9" hidden="1"/>
    <cellStyle name="Hipervínculo visitado" xfId="2439" builtinId="9" hidden="1"/>
    <cellStyle name="Hipervínculo visitado" xfId="2441" builtinId="9" hidden="1"/>
    <cellStyle name="Hipervínculo visitado" xfId="2443" builtinId="9" hidden="1"/>
    <cellStyle name="Hipervínculo visitado" xfId="2445" builtinId="9" hidden="1"/>
    <cellStyle name="Hipervínculo visitado" xfId="2447" builtinId="9" hidden="1"/>
    <cellStyle name="Hipervínculo visitado" xfId="2449" builtinId="9" hidden="1"/>
    <cellStyle name="Hipervínculo visitado" xfId="2451" builtinId="9" hidden="1"/>
    <cellStyle name="Hipervínculo visitado" xfId="2453" builtinId="9" hidden="1"/>
    <cellStyle name="Hipervínculo visitado" xfId="2455" builtinId="9" hidden="1"/>
    <cellStyle name="Hipervínculo visitado" xfId="2457" builtinId="9" hidden="1"/>
    <cellStyle name="Hipervínculo visitado" xfId="2459" builtinId="9" hidden="1"/>
    <cellStyle name="Hipervínculo visitado" xfId="2461" builtinId="9" hidden="1"/>
    <cellStyle name="Hipervínculo visitado" xfId="2463" builtinId="9" hidden="1"/>
    <cellStyle name="Hipervínculo visitado" xfId="2465" builtinId="9" hidden="1"/>
    <cellStyle name="Hipervínculo visitado" xfId="2467" builtinId="9" hidden="1"/>
    <cellStyle name="Hipervínculo visitado" xfId="2469" builtinId="9" hidden="1"/>
    <cellStyle name="Hipervínculo visitado" xfId="2471" builtinId="9" hidden="1"/>
    <cellStyle name="Hipervínculo visitado" xfId="2473" builtinId="9" hidden="1"/>
    <cellStyle name="Hipervínculo visitado" xfId="2475" builtinId="9" hidden="1"/>
    <cellStyle name="Hipervínculo visitado" xfId="2477" builtinId="9" hidden="1"/>
    <cellStyle name="Hipervínculo visitado" xfId="2479" builtinId="9" hidden="1"/>
    <cellStyle name="Hipervínculo visitado" xfId="2481" builtinId="9" hidden="1"/>
    <cellStyle name="Hipervínculo visitado" xfId="2483" builtinId="9" hidden="1"/>
    <cellStyle name="Hipervínculo visitado" xfId="2485" builtinId="9" hidden="1"/>
    <cellStyle name="Hipervínculo visitado" xfId="2487" builtinId="9" hidden="1"/>
    <cellStyle name="Hipervínculo visitado" xfId="2489" builtinId="9" hidden="1"/>
    <cellStyle name="Hipervínculo visitado" xfId="2491" builtinId="9" hidden="1"/>
    <cellStyle name="Hipervínculo visitado" xfId="2493" builtinId="9" hidden="1"/>
    <cellStyle name="Hipervínculo visitado" xfId="2495" builtinId="9" hidden="1"/>
    <cellStyle name="Hipervínculo visitado" xfId="2497" builtinId="9" hidden="1"/>
    <cellStyle name="Hipervínculo visitado" xfId="2499" builtinId="9" hidden="1"/>
    <cellStyle name="Hipervínculo visitado" xfId="2501" builtinId="9" hidden="1"/>
    <cellStyle name="Hipervínculo visitado" xfId="2503" builtinId="9" hidden="1"/>
    <cellStyle name="Hipervínculo visitado" xfId="2505" builtinId="9" hidden="1"/>
    <cellStyle name="Hipervínculo visitado" xfId="2507" builtinId="9" hidden="1"/>
    <cellStyle name="Hipervínculo visitado" xfId="2509" builtinId="9" hidden="1"/>
    <cellStyle name="Hipervínculo visitado" xfId="2511" builtinId="9" hidden="1"/>
    <cellStyle name="Hipervínculo visitado" xfId="2513" builtinId="9" hidden="1"/>
    <cellStyle name="Hipervínculo visitado" xfId="2515" builtinId="9" hidden="1"/>
    <cellStyle name="Hipervínculo visitado" xfId="2517" builtinId="9" hidden="1"/>
    <cellStyle name="Hipervínculo visitado" xfId="2519" builtinId="9" hidden="1"/>
    <cellStyle name="Hipervínculo visitado" xfId="2521" builtinId="9" hidden="1"/>
    <cellStyle name="Hipervínculo visitado" xfId="2523" builtinId="9" hidden="1"/>
    <cellStyle name="Hipervínculo visitado" xfId="2525" builtinId="9" hidden="1"/>
    <cellStyle name="Hipervínculo visitado" xfId="2527" builtinId="9" hidden="1"/>
    <cellStyle name="Hipervínculo visitado" xfId="2529" builtinId="9" hidden="1"/>
    <cellStyle name="Hipervínculo visitado" xfId="2531" builtinId="9" hidden="1"/>
    <cellStyle name="Hipervínculo visitado" xfId="2533" builtinId="9" hidden="1"/>
    <cellStyle name="Hipervínculo visitado" xfId="2535" builtinId="9" hidden="1"/>
    <cellStyle name="Hipervínculo visitado" xfId="2537" builtinId="9" hidden="1"/>
    <cellStyle name="Hipervínculo visitado" xfId="2539" builtinId="9" hidden="1"/>
    <cellStyle name="Hipervínculo visitado" xfId="2541" builtinId="9" hidden="1"/>
    <cellStyle name="Hipervínculo visitado" xfId="2543" builtinId="9" hidden="1"/>
    <cellStyle name="Hipervínculo visitado" xfId="2545" builtinId="9" hidden="1"/>
    <cellStyle name="Hipervínculo visitado" xfId="2547" builtinId="9" hidden="1"/>
    <cellStyle name="Hipervínculo visitado" xfId="2549" builtinId="9" hidden="1"/>
    <cellStyle name="Hipervínculo visitado" xfId="2551" builtinId="9" hidden="1"/>
    <cellStyle name="Hipervínculo visitado" xfId="2553" builtinId="9" hidden="1"/>
    <cellStyle name="Hipervínculo visitado" xfId="2555" builtinId="9" hidden="1"/>
    <cellStyle name="Hipervínculo visitado" xfId="2557" builtinId="9" hidden="1"/>
    <cellStyle name="Hipervínculo visitado" xfId="2559" builtinId="9" hidden="1"/>
    <cellStyle name="Hipervínculo visitado" xfId="2561" builtinId="9" hidden="1"/>
    <cellStyle name="Hipervínculo visitado" xfId="2563" builtinId="9" hidden="1"/>
    <cellStyle name="Hipervínculo visitado" xfId="2565" builtinId="9" hidden="1"/>
    <cellStyle name="Hipervínculo visitado" xfId="2567" builtinId="9" hidden="1"/>
    <cellStyle name="Hipervínculo visitado" xfId="2569" builtinId="9" hidden="1"/>
    <cellStyle name="Hipervínculo visitado" xfId="2571" builtinId="9" hidden="1"/>
    <cellStyle name="Hipervínculo visitado" xfId="2573" builtinId="9" hidden="1"/>
    <cellStyle name="Hipervínculo visitado" xfId="2575" builtinId="9" hidden="1"/>
    <cellStyle name="Hipervínculo visitado" xfId="2577" builtinId="9" hidden="1"/>
    <cellStyle name="Hipervínculo visitado" xfId="2579" builtinId="9" hidden="1"/>
    <cellStyle name="Hipervínculo visitado" xfId="2581" builtinId="9" hidden="1"/>
    <cellStyle name="Hipervínculo visitado" xfId="2583" builtinId="9" hidden="1"/>
    <cellStyle name="Hipervínculo visitado" xfId="2585" builtinId="9" hidden="1"/>
    <cellStyle name="Hipervínculo visitado" xfId="2587" builtinId="9" hidden="1"/>
    <cellStyle name="Hipervínculo visitado" xfId="2589" builtinId="9" hidden="1"/>
    <cellStyle name="Hipervínculo visitado" xfId="2591" builtinId="9" hidden="1"/>
    <cellStyle name="Hipervínculo visitado" xfId="2593" builtinId="9" hidden="1"/>
    <cellStyle name="Hipervínculo visitado" xfId="2595" builtinId="9" hidden="1"/>
    <cellStyle name="Hipervínculo visitado" xfId="2597" builtinId="9" hidden="1"/>
    <cellStyle name="Hipervínculo visitado" xfId="2599" builtinId="9" hidden="1"/>
    <cellStyle name="Hipervínculo visitado" xfId="2601" builtinId="9" hidden="1"/>
    <cellStyle name="Hipervínculo visitado" xfId="2603" builtinId="9" hidden="1"/>
    <cellStyle name="Hipervínculo visitado" xfId="2605" builtinId="9" hidden="1"/>
    <cellStyle name="Hipervínculo visitado" xfId="2607" builtinId="9" hidden="1"/>
    <cellStyle name="Hipervínculo visitado" xfId="2609" builtinId="9" hidden="1"/>
    <cellStyle name="Hipervínculo visitado" xfId="2611" builtinId="9" hidden="1"/>
    <cellStyle name="Hipervínculo visitado" xfId="2613" builtinId="9" hidden="1"/>
    <cellStyle name="Hipervínculo visitado" xfId="2615" builtinId="9" hidden="1"/>
    <cellStyle name="Hipervínculo visitado" xfId="2617" builtinId="9" hidden="1"/>
    <cellStyle name="Hipervínculo visitado" xfId="2619" builtinId="9" hidden="1"/>
    <cellStyle name="Hipervínculo visitado" xfId="2621" builtinId="9" hidden="1"/>
    <cellStyle name="Hipervínculo visitado" xfId="2623" builtinId="9" hidden="1"/>
    <cellStyle name="Hipervínculo visitado" xfId="2625" builtinId="9" hidden="1"/>
    <cellStyle name="Hipervínculo visitado" xfId="2627" builtinId="9" hidden="1"/>
    <cellStyle name="Hipervínculo visitado" xfId="2629" builtinId="9" hidden="1"/>
    <cellStyle name="Hipervínculo visitado" xfId="2631" builtinId="9" hidden="1"/>
    <cellStyle name="Hipervínculo visitado" xfId="2633" builtinId="9" hidden="1"/>
    <cellStyle name="Hipervínculo visitado" xfId="2635" builtinId="9" hidden="1"/>
    <cellStyle name="Hipervínculo visitado" xfId="2637" builtinId="9" hidden="1"/>
    <cellStyle name="Hipervínculo visitado" xfId="2639" builtinId="9" hidden="1"/>
    <cellStyle name="Hipervínculo visitado" xfId="2641" builtinId="9" hidden="1"/>
    <cellStyle name="Hipervínculo visitado" xfId="2643" builtinId="9" hidden="1"/>
    <cellStyle name="Hipervínculo visitado" xfId="2645" builtinId="9" hidden="1"/>
    <cellStyle name="Hipervínculo visitado" xfId="2647" builtinId="9" hidden="1"/>
    <cellStyle name="Hipervínculo visitado" xfId="2649" builtinId="9" hidden="1"/>
    <cellStyle name="Hipervínculo visitado" xfId="2651" builtinId="9" hidden="1"/>
    <cellStyle name="Hipervínculo visitado" xfId="2653" builtinId="9" hidden="1"/>
    <cellStyle name="Hipervínculo visitado" xfId="2655" builtinId="9" hidden="1"/>
    <cellStyle name="Hipervínculo visitado" xfId="2657" builtinId="9" hidden="1"/>
    <cellStyle name="Hipervínculo visitado" xfId="2659" builtinId="9" hidden="1"/>
    <cellStyle name="Hipervínculo visitado" xfId="2661" builtinId="9" hidden="1"/>
    <cellStyle name="Hipervínculo visitado" xfId="2663" builtinId="9" hidden="1"/>
    <cellStyle name="Hipervínculo visitado" xfId="2665" builtinId="9" hidden="1"/>
    <cellStyle name="Hipervínculo visitado" xfId="2667" builtinId="9" hidden="1"/>
    <cellStyle name="Hipervínculo visitado" xfId="2669" builtinId="9" hidden="1"/>
    <cellStyle name="Hipervínculo visitado" xfId="2671" builtinId="9" hidden="1"/>
    <cellStyle name="Hipervínculo visitado" xfId="2673" builtinId="9" hidden="1"/>
    <cellStyle name="Hipervínculo visitado" xfId="2675" builtinId="9" hidden="1"/>
    <cellStyle name="Hipervínculo visitado" xfId="2677" builtinId="9" hidden="1"/>
    <cellStyle name="Hipervínculo visitado" xfId="2679" builtinId="9" hidden="1"/>
    <cellStyle name="Hipervínculo visitado" xfId="2681" builtinId="9" hidden="1"/>
    <cellStyle name="Hipervínculo visitado" xfId="2683" builtinId="9" hidden="1"/>
    <cellStyle name="Hipervínculo visitado" xfId="2685" builtinId="9" hidden="1"/>
    <cellStyle name="Hipervínculo visitado" xfId="2687" builtinId="9" hidden="1"/>
    <cellStyle name="Hipervínculo visitado" xfId="2689" builtinId="9" hidden="1"/>
    <cellStyle name="Hipervínculo visitado" xfId="2691" builtinId="9" hidden="1"/>
    <cellStyle name="Hipervínculo visitado" xfId="2693" builtinId="9" hidden="1"/>
    <cellStyle name="Hipervínculo visitado" xfId="2695" builtinId="9" hidden="1"/>
    <cellStyle name="Hipervínculo visitado" xfId="2697" builtinId="9" hidden="1"/>
    <cellStyle name="Hipervínculo visitado" xfId="2699" builtinId="9" hidden="1"/>
    <cellStyle name="Hipervínculo visitado" xfId="2701" builtinId="9" hidden="1"/>
    <cellStyle name="Hipervínculo visitado" xfId="2703" builtinId="9" hidden="1"/>
    <cellStyle name="Hipervínculo visitado" xfId="2705" builtinId="9" hidden="1"/>
    <cellStyle name="Hipervínculo visitado" xfId="2707" builtinId="9" hidden="1"/>
    <cellStyle name="Hipervínculo visitado" xfId="2709" builtinId="9" hidden="1"/>
    <cellStyle name="Hipervínculo visitado" xfId="2711" builtinId="9" hidden="1"/>
    <cellStyle name="Hipervínculo visitado" xfId="2713" builtinId="9" hidden="1"/>
    <cellStyle name="Hipervínculo visitado" xfId="2715" builtinId="9" hidden="1"/>
    <cellStyle name="Hipervínculo visitado" xfId="2717" builtinId="9" hidden="1"/>
    <cellStyle name="Hipervínculo visitado" xfId="2719" builtinId="9" hidden="1"/>
    <cellStyle name="Hipervínculo visitado" xfId="2721" builtinId="9" hidden="1"/>
    <cellStyle name="Hipervínculo visitado" xfId="2723" builtinId="9" hidden="1"/>
    <cellStyle name="Hipervínculo visitado" xfId="2725" builtinId="9" hidden="1"/>
    <cellStyle name="Hipervínculo visitado" xfId="2727" builtinId="9" hidden="1"/>
    <cellStyle name="Hipervínculo visitado" xfId="2729" builtinId="9" hidden="1"/>
    <cellStyle name="Hipervínculo visitado" xfId="2731" builtinId="9" hidden="1"/>
    <cellStyle name="Hipervínculo visitado" xfId="2733" builtinId="9" hidden="1"/>
    <cellStyle name="Hipervínculo visitado" xfId="2735" builtinId="9" hidden="1"/>
    <cellStyle name="Hipervínculo visitado" xfId="2737" builtinId="9" hidden="1"/>
    <cellStyle name="Hipervínculo visitado" xfId="2739" builtinId="9" hidden="1"/>
    <cellStyle name="Hipervínculo visitado" xfId="2741" builtinId="9" hidden="1"/>
    <cellStyle name="Hipervínculo visitado" xfId="2743" builtinId="9" hidden="1"/>
    <cellStyle name="Hipervínculo visitado" xfId="2745" builtinId="9" hidden="1"/>
    <cellStyle name="Hipervínculo visitado" xfId="2747" builtinId="9" hidden="1"/>
    <cellStyle name="Hipervínculo visitado" xfId="2749" builtinId="9" hidden="1"/>
    <cellStyle name="Hipervínculo visitado" xfId="2751" builtinId="9" hidden="1"/>
    <cellStyle name="Hipervínculo visitado" xfId="2753" builtinId="9" hidden="1"/>
    <cellStyle name="Hipervínculo visitado" xfId="2755" builtinId="9" hidden="1"/>
    <cellStyle name="Hipervínculo visitado" xfId="2757" builtinId="9" hidden="1"/>
    <cellStyle name="Hipervínculo visitado" xfId="2759" builtinId="9" hidden="1"/>
    <cellStyle name="Hipervínculo visitado" xfId="2761" builtinId="9" hidden="1"/>
    <cellStyle name="Hipervínculo visitado" xfId="2763" builtinId="9" hidden="1"/>
    <cellStyle name="Hipervínculo visitado" xfId="2765" builtinId="9" hidden="1"/>
    <cellStyle name="Hipervínculo visitado" xfId="2767" builtinId="9" hidden="1"/>
    <cellStyle name="Hipervínculo visitado" xfId="2769" builtinId="9" hidden="1"/>
    <cellStyle name="Hipervínculo visitado" xfId="2771" builtinId="9" hidden="1"/>
    <cellStyle name="Hipervínculo visitado" xfId="2773" builtinId="9" hidden="1"/>
    <cellStyle name="Hipervínculo visitado" xfId="2775" builtinId="9" hidden="1"/>
    <cellStyle name="Hipervínculo visitado" xfId="2777" builtinId="9" hidden="1"/>
    <cellStyle name="Hipervínculo visitado" xfId="2779" builtinId="9" hidden="1"/>
    <cellStyle name="Hipervínculo visitado" xfId="2781" builtinId="9" hidden="1"/>
    <cellStyle name="Hipervínculo visitado" xfId="2783" builtinId="9" hidden="1"/>
    <cellStyle name="Hipervínculo visitado" xfId="2785" builtinId="9" hidden="1"/>
    <cellStyle name="Hipervínculo visitado" xfId="2787" builtinId="9" hidden="1"/>
    <cellStyle name="Hipervínculo visitado" xfId="2789" builtinId="9" hidden="1"/>
    <cellStyle name="Hipervínculo visitado" xfId="2791" builtinId="9" hidden="1"/>
    <cellStyle name="Hipervínculo visitado" xfId="2793" builtinId="9" hidden="1"/>
    <cellStyle name="Hipervínculo visitado" xfId="2795" builtinId="9" hidden="1"/>
    <cellStyle name="Hipervínculo visitado" xfId="2797" builtinId="9" hidden="1"/>
    <cellStyle name="Hipervínculo visitado" xfId="2799" builtinId="9" hidden="1"/>
    <cellStyle name="Hipervínculo visitado" xfId="2801" builtinId="9" hidden="1"/>
    <cellStyle name="Hipervínculo visitado" xfId="2803" builtinId="9" hidden="1"/>
    <cellStyle name="Hipervínculo visitado" xfId="2805" builtinId="9" hidden="1"/>
    <cellStyle name="Hipervínculo visitado" xfId="2807" builtinId="9" hidden="1"/>
    <cellStyle name="Hipervínculo visitado" xfId="2809" builtinId="9" hidden="1"/>
    <cellStyle name="Hipervínculo visitado" xfId="2811" builtinId="9" hidden="1"/>
    <cellStyle name="Hipervínculo visitado" xfId="2813" builtinId="9" hidden="1"/>
    <cellStyle name="Hipervínculo visitado" xfId="2815" builtinId="9" hidden="1"/>
    <cellStyle name="Hipervínculo visitado" xfId="2817" builtinId="9" hidden="1"/>
    <cellStyle name="Hipervínculo visitado" xfId="2819" builtinId="9" hidden="1"/>
    <cellStyle name="Hipervínculo visitado" xfId="2821" builtinId="9" hidden="1"/>
    <cellStyle name="Hipervínculo visitado" xfId="2823" builtinId="9" hidden="1"/>
    <cellStyle name="Hipervínculo visitado" xfId="2825" builtinId="9" hidden="1"/>
    <cellStyle name="Hipervínculo visitado" xfId="2827" builtinId="9" hidden="1"/>
    <cellStyle name="Hipervínculo visitado" xfId="2829" builtinId="9" hidden="1"/>
    <cellStyle name="Hipervínculo visitado" xfId="2831" builtinId="9" hidden="1"/>
    <cellStyle name="Hipervínculo visitado" xfId="2833" builtinId="9" hidden="1"/>
    <cellStyle name="Hipervínculo visitado" xfId="2835" builtinId="9" hidden="1"/>
    <cellStyle name="Hipervínculo visitado" xfId="2837" builtinId="9" hidden="1"/>
    <cellStyle name="Hipervínculo visitado" xfId="2839" builtinId="9" hidden="1"/>
    <cellStyle name="Hipervínculo visitado" xfId="2841" builtinId="9" hidden="1"/>
    <cellStyle name="Hipervínculo visitado" xfId="2843" builtinId="9" hidden="1"/>
    <cellStyle name="Hipervínculo visitado" xfId="2845" builtinId="9" hidden="1"/>
    <cellStyle name="Hipervínculo visitado" xfId="2847" builtinId="9" hidden="1"/>
    <cellStyle name="Hipervínculo visitado" xfId="2849" builtinId="9" hidden="1"/>
    <cellStyle name="Hipervínculo visitado" xfId="2851" builtinId="9" hidden="1"/>
    <cellStyle name="Hipervínculo visitado" xfId="2853" builtinId="9" hidden="1"/>
    <cellStyle name="Hipervínculo visitado" xfId="2855" builtinId="9" hidden="1"/>
    <cellStyle name="Hipervínculo visitado" xfId="2857" builtinId="9" hidden="1"/>
    <cellStyle name="Hipervínculo visitado" xfId="2859" builtinId="9" hidden="1"/>
    <cellStyle name="Hipervínculo visitado" xfId="2861" builtinId="9" hidden="1"/>
    <cellStyle name="Hipervínculo visitado" xfId="2863" builtinId="9" hidden="1"/>
    <cellStyle name="Hipervínculo visitado" xfId="2865" builtinId="9" hidden="1"/>
    <cellStyle name="Hipervínculo visitado" xfId="2867" builtinId="9" hidden="1"/>
    <cellStyle name="Hipervínculo visitado" xfId="2869" builtinId="9" hidden="1"/>
    <cellStyle name="Hipervínculo visitado" xfId="2871" builtinId="9" hidden="1"/>
    <cellStyle name="Hipervínculo visitado" xfId="2873" builtinId="9" hidden="1"/>
    <cellStyle name="Hipervínculo visitado" xfId="2875" builtinId="9" hidden="1"/>
    <cellStyle name="Hipervínculo visitado" xfId="2877" builtinId="9" hidden="1"/>
    <cellStyle name="Hipervínculo visitado" xfId="2879" builtinId="9" hidden="1"/>
    <cellStyle name="Hipervínculo visitado" xfId="2881" builtinId="9" hidden="1"/>
    <cellStyle name="Hipervínculo visitado" xfId="2883" builtinId="9" hidden="1"/>
    <cellStyle name="Hipervínculo visitado" xfId="2885" builtinId="9" hidden="1"/>
    <cellStyle name="Hipervínculo visitado" xfId="2887" builtinId="9" hidden="1"/>
    <cellStyle name="Hipervínculo visitado" xfId="2889" builtinId="9" hidden="1"/>
    <cellStyle name="Hipervínculo visitado" xfId="2891" builtinId="9" hidden="1"/>
    <cellStyle name="Hipervínculo visitado" xfId="2893" builtinId="9" hidden="1"/>
    <cellStyle name="Hipervínculo visitado" xfId="2895" builtinId="9" hidden="1"/>
    <cellStyle name="Hipervínculo visitado" xfId="2897" builtinId="9" hidden="1"/>
    <cellStyle name="Hipervínculo visitado" xfId="2899" builtinId="9" hidden="1"/>
    <cellStyle name="Hipervínculo visitado" xfId="2901" builtinId="9" hidden="1"/>
    <cellStyle name="Hipervínculo visitado" xfId="2903" builtinId="9" hidden="1"/>
    <cellStyle name="Hipervínculo visitado" xfId="2905" builtinId="9" hidden="1"/>
    <cellStyle name="Hipervínculo visitado" xfId="2907" builtinId="9" hidden="1"/>
    <cellStyle name="Hipervínculo visitado" xfId="2909" builtinId="9" hidden="1"/>
    <cellStyle name="Hipervínculo visitado" xfId="2911" builtinId="9" hidden="1"/>
    <cellStyle name="Hipervínculo visitado" xfId="2913" builtinId="9" hidden="1"/>
    <cellStyle name="Hipervínculo visitado" xfId="2915" builtinId="9" hidden="1"/>
    <cellStyle name="Hipervínculo visitado" xfId="2917" builtinId="9" hidden="1"/>
    <cellStyle name="Hipervínculo visitado" xfId="2919" builtinId="9" hidden="1"/>
    <cellStyle name="Hipervínculo visitado" xfId="2921" builtinId="9" hidden="1"/>
    <cellStyle name="Hipervínculo visitado" xfId="2923" builtinId="9" hidden="1"/>
    <cellStyle name="Hipervínculo visitado" xfId="2925" builtinId="9" hidden="1"/>
    <cellStyle name="Hipervínculo visitado" xfId="2927" builtinId="9" hidden="1"/>
    <cellStyle name="Hipervínculo visitado" xfId="2929" builtinId="9" hidden="1"/>
    <cellStyle name="Hipervínculo visitado" xfId="2931" builtinId="9" hidden="1"/>
    <cellStyle name="Hipervínculo visitado" xfId="2933" builtinId="9" hidden="1"/>
    <cellStyle name="Hipervínculo visitado" xfId="2935" builtinId="9" hidden="1"/>
    <cellStyle name="Hipervínculo visitado" xfId="2937" builtinId="9" hidden="1"/>
    <cellStyle name="Hipervínculo visitado" xfId="2939" builtinId="9" hidden="1"/>
    <cellStyle name="Hipervínculo visitado" xfId="2941" builtinId="9" hidden="1"/>
    <cellStyle name="Hipervínculo visitado" xfId="2943" builtinId="9" hidden="1"/>
    <cellStyle name="Hipervínculo visitado" xfId="2945" builtinId="9" hidden="1"/>
    <cellStyle name="Hipervínculo visitado" xfId="2947" builtinId="9" hidden="1"/>
    <cellStyle name="Hipervínculo visitado" xfId="2949" builtinId="9" hidden="1"/>
    <cellStyle name="Hipervínculo visitado" xfId="2951" builtinId="9" hidden="1"/>
    <cellStyle name="Hipervínculo visitado" xfId="2953" builtinId="9" hidden="1"/>
    <cellStyle name="Hipervínculo visitado" xfId="2955" builtinId="9" hidden="1"/>
    <cellStyle name="Hipervínculo visitado" xfId="2957" builtinId="9" hidden="1"/>
    <cellStyle name="Hipervínculo visitado" xfId="2959" builtinId="9" hidden="1"/>
    <cellStyle name="Hipervínculo visitado" xfId="2961" builtinId="9" hidden="1"/>
    <cellStyle name="Hipervínculo visitado" xfId="2963" builtinId="9" hidden="1"/>
    <cellStyle name="Hipervínculo visitado" xfId="2965" builtinId="9" hidden="1"/>
    <cellStyle name="Hipervínculo visitado" xfId="2967" builtinId="9" hidden="1"/>
    <cellStyle name="Hipervínculo visitado" xfId="2969" builtinId="9" hidden="1"/>
    <cellStyle name="Hipervínculo visitado" xfId="2971" builtinId="9" hidden="1"/>
    <cellStyle name="Hipervínculo visitado" xfId="2973" builtinId="9" hidden="1"/>
    <cellStyle name="Hipervínculo visitado" xfId="2975" builtinId="9" hidden="1"/>
    <cellStyle name="Hipervínculo visitado" xfId="2977" builtinId="9" hidden="1"/>
    <cellStyle name="Hipervínculo visitado" xfId="2979" builtinId="9" hidden="1"/>
    <cellStyle name="Hipervínculo visitado" xfId="2981" builtinId="9" hidden="1"/>
    <cellStyle name="Hipervínculo visitado" xfId="2983" builtinId="9" hidden="1"/>
    <cellStyle name="Hipervínculo visitado" xfId="2985" builtinId="9" hidden="1"/>
    <cellStyle name="Hipervínculo visitado" xfId="2987" builtinId="9" hidden="1"/>
    <cellStyle name="Hipervínculo visitado" xfId="2989" builtinId="9" hidden="1"/>
    <cellStyle name="Hipervínculo visitado" xfId="2991" builtinId="9" hidden="1"/>
    <cellStyle name="Hipervínculo visitado" xfId="2993" builtinId="9" hidden="1"/>
    <cellStyle name="Hipervínculo visitado" xfId="2995" builtinId="9" hidden="1"/>
    <cellStyle name="Hipervínculo visitado" xfId="2997" builtinId="9" hidden="1"/>
    <cellStyle name="Hipervínculo visitado" xfId="2999" builtinId="9" hidden="1"/>
    <cellStyle name="Hipervínculo visitado" xfId="3001" builtinId="9" hidden="1"/>
    <cellStyle name="Hipervínculo visitado" xfId="3003" builtinId="9" hidden="1"/>
    <cellStyle name="Hipervínculo visitado" xfId="3005" builtinId="9" hidden="1"/>
    <cellStyle name="Hipervínculo visitado" xfId="3007" builtinId="9" hidden="1"/>
    <cellStyle name="Hipervínculo visitado" xfId="3009" builtinId="9" hidden="1"/>
    <cellStyle name="Hipervínculo visitado" xfId="3011" builtinId="9" hidden="1"/>
    <cellStyle name="Hipervínculo visitado" xfId="3013" builtinId="9" hidden="1"/>
    <cellStyle name="Hipervínculo visitado" xfId="3015" builtinId="9" hidden="1"/>
    <cellStyle name="Hipervínculo visitado" xfId="3017" builtinId="9" hidden="1"/>
    <cellStyle name="Hipervínculo visitado" xfId="3019" builtinId="9" hidden="1"/>
    <cellStyle name="Hipervínculo visitado" xfId="3021" builtinId="9" hidden="1"/>
    <cellStyle name="Hipervínculo visitado" xfId="3023" builtinId="9" hidden="1"/>
    <cellStyle name="Hipervínculo visitado" xfId="3025" builtinId="9" hidden="1"/>
    <cellStyle name="Hipervínculo visitado" xfId="3027" builtinId="9" hidden="1"/>
    <cellStyle name="Hipervínculo visitado" xfId="3029" builtinId="9" hidden="1"/>
    <cellStyle name="Hipervínculo visitado" xfId="3031" builtinId="9" hidden="1"/>
    <cellStyle name="Hipervínculo visitado" xfId="3033" builtinId="9" hidden="1"/>
    <cellStyle name="Hipervínculo visitado" xfId="3035" builtinId="9" hidden="1"/>
    <cellStyle name="Hipervínculo visitado" xfId="3037" builtinId="9" hidden="1"/>
    <cellStyle name="Hipervínculo visitado" xfId="3039" builtinId="9" hidden="1"/>
    <cellStyle name="Hipervínculo visitado" xfId="3041" builtinId="9" hidden="1"/>
    <cellStyle name="Hipervínculo visitado" xfId="3043" builtinId="9" hidden="1"/>
    <cellStyle name="Hipervínculo visitado" xfId="3045" builtinId="9" hidden="1"/>
    <cellStyle name="Hipervínculo visitado" xfId="3047" builtinId="9" hidden="1"/>
    <cellStyle name="Hipervínculo visitado" xfId="3049" builtinId="9" hidden="1"/>
    <cellStyle name="Hipervínculo visitado" xfId="3051" builtinId="9" hidden="1"/>
    <cellStyle name="Hipervínculo visitado" xfId="3053" builtinId="9" hidden="1"/>
    <cellStyle name="Hipervínculo visitado" xfId="3055" builtinId="9" hidden="1"/>
    <cellStyle name="Hipervínculo visitado" xfId="3057" builtinId="9" hidden="1"/>
    <cellStyle name="Hipervínculo visitado" xfId="3059" builtinId="9" hidden="1"/>
    <cellStyle name="Hipervínculo visitado" xfId="3061" builtinId="9" hidden="1"/>
    <cellStyle name="Hipervínculo visitado" xfId="3063" builtinId="9" hidden="1"/>
    <cellStyle name="Hipervínculo visitado" xfId="3065" builtinId="9" hidden="1"/>
    <cellStyle name="Hipervínculo visitado" xfId="3067" builtinId="9" hidden="1"/>
    <cellStyle name="Hipervínculo visitado" xfId="3069" builtinId="9" hidden="1"/>
    <cellStyle name="Hipervínculo visitado" xfId="3071" builtinId="9" hidden="1"/>
    <cellStyle name="Hipervínculo visitado" xfId="3073" builtinId="9" hidden="1"/>
    <cellStyle name="Hipervínculo visitado" xfId="3075" builtinId="9" hidden="1"/>
    <cellStyle name="Hipervínculo visitado" xfId="3077" builtinId="9" hidden="1"/>
    <cellStyle name="Hipervínculo visitado" xfId="3079" builtinId="9" hidden="1"/>
    <cellStyle name="Hipervínculo visitado" xfId="3081" builtinId="9" hidden="1"/>
    <cellStyle name="Hipervínculo visitado" xfId="3083" builtinId="9" hidden="1"/>
    <cellStyle name="Hipervínculo visitado" xfId="3085" builtinId="9" hidden="1"/>
    <cellStyle name="Hipervínculo visitado" xfId="3087" builtinId="9" hidden="1"/>
    <cellStyle name="Hipervínculo visitado" xfId="3089" builtinId="9" hidden="1"/>
    <cellStyle name="Hipervínculo visitado" xfId="3091" builtinId="9" hidden="1"/>
    <cellStyle name="Hipervínculo visitado" xfId="3093" builtinId="9" hidden="1"/>
    <cellStyle name="Hipervínculo visitado" xfId="3095" builtinId="9" hidden="1"/>
    <cellStyle name="Hipervínculo visitado" xfId="3097" builtinId="9" hidden="1"/>
    <cellStyle name="Hipervínculo visitado" xfId="3099" builtinId="9" hidden="1"/>
    <cellStyle name="Hipervínculo visitado" xfId="3101" builtinId="9" hidden="1"/>
    <cellStyle name="Hipervínculo visitado" xfId="3103" builtinId="9" hidden="1"/>
    <cellStyle name="Hipervínculo visitado" xfId="3105" builtinId="9" hidden="1"/>
    <cellStyle name="Hipervínculo visitado" xfId="3107" builtinId="9" hidden="1"/>
    <cellStyle name="Hipervínculo visitado" xfId="3109" builtinId="9" hidden="1"/>
    <cellStyle name="Hipervínculo visitado" xfId="3111" builtinId="9" hidden="1"/>
    <cellStyle name="Hipervínculo visitado" xfId="3113" builtinId="9" hidden="1"/>
    <cellStyle name="Hipervínculo visitado" xfId="3115" builtinId="9" hidden="1"/>
    <cellStyle name="Hipervínculo visitado" xfId="3117" builtinId="9" hidden="1"/>
    <cellStyle name="Hipervínculo visitado" xfId="3119" builtinId="9" hidden="1"/>
    <cellStyle name="Hipervínculo visitado" xfId="3121" builtinId="9" hidden="1"/>
    <cellStyle name="Hipervínculo visitado" xfId="3123" builtinId="9" hidden="1"/>
    <cellStyle name="Hipervínculo visitado" xfId="3125" builtinId="9" hidden="1"/>
    <cellStyle name="Hipervínculo visitado" xfId="3127" builtinId="9" hidden="1"/>
    <cellStyle name="Hipervínculo visitado" xfId="3129" builtinId="9" hidden="1"/>
    <cellStyle name="Hipervínculo visitado" xfId="3131" builtinId="9" hidden="1"/>
    <cellStyle name="Hipervínculo visitado" xfId="3133" builtinId="9" hidden="1"/>
    <cellStyle name="Hipervínculo visitado" xfId="3135" builtinId="9" hidden="1"/>
    <cellStyle name="Hipervínculo visitado" xfId="3137" builtinId="9" hidden="1"/>
    <cellStyle name="Hipervínculo visitado" xfId="3139" builtinId="9" hidden="1"/>
    <cellStyle name="Hipervínculo visitado" xfId="3141" builtinId="9" hidden="1"/>
    <cellStyle name="Hipervínculo visitado" xfId="3143" builtinId="9" hidden="1"/>
    <cellStyle name="Hipervínculo visitado" xfId="3145" builtinId="9" hidden="1"/>
    <cellStyle name="Hipervínculo visitado" xfId="3147" builtinId="9" hidden="1"/>
    <cellStyle name="Hipervínculo visitado" xfId="3149" builtinId="9" hidden="1"/>
    <cellStyle name="Hipervínculo visitado" xfId="3151" builtinId="9" hidden="1"/>
    <cellStyle name="Hipervínculo visitado" xfId="3153" builtinId="9" hidden="1"/>
    <cellStyle name="Hipervínculo visitado" xfId="3155" builtinId="9" hidden="1"/>
    <cellStyle name="Hipervínculo visitado" xfId="3157" builtinId="9" hidden="1"/>
    <cellStyle name="Hipervínculo visitado" xfId="3159" builtinId="9" hidden="1"/>
    <cellStyle name="Hipervínculo visitado" xfId="3161" builtinId="9" hidden="1"/>
    <cellStyle name="Hipervínculo visitado" xfId="3163" builtinId="9" hidden="1"/>
    <cellStyle name="Hipervínculo visitado" xfId="3165" builtinId="9" hidden="1"/>
    <cellStyle name="Hipervínculo visitado" xfId="3167" builtinId="9" hidden="1"/>
    <cellStyle name="Hipervínculo visitado" xfId="3169" builtinId="9" hidden="1"/>
    <cellStyle name="Hipervínculo visitado" xfId="3171" builtinId="9" hidden="1"/>
    <cellStyle name="Hipervínculo visitado" xfId="3173" builtinId="9" hidden="1"/>
    <cellStyle name="Hipervínculo visitado" xfId="3175" builtinId="9" hidden="1"/>
    <cellStyle name="Hipervínculo visitado" xfId="3177" builtinId="9" hidden="1"/>
    <cellStyle name="Hipervínculo visitado" xfId="3179" builtinId="9" hidden="1"/>
    <cellStyle name="Hipervínculo visitado" xfId="3181" builtinId="9" hidden="1"/>
    <cellStyle name="Hipervínculo visitado" xfId="3183" builtinId="9" hidden="1"/>
    <cellStyle name="Hipervínculo visitado" xfId="3185" builtinId="9" hidden="1"/>
    <cellStyle name="Hipervínculo visitado" xfId="3187" builtinId="9" hidden="1"/>
    <cellStyle name="Hipervínculo visitado" xfId="3189" builtinId="9" hidden="1"/>
    <cellStyle name="Hipervínculo visitado" xfId="3191" builtinId="9" hidden="1"/>
    <cellStyle name="Hipervínculo visitado" xfId="3193" builtinId="9" hidden="1"/>
    <cellStyle name="Hipervínculo visitado" xfId="3195" builtinId="9" hidden="1"/>
    <cellStyle name="Hipervínculo visitado" xfId="3197" builtinId="9" hidden="1"/>
    <cellStyle name="Hipervínculo visitado" xfId="3199" builtinId="9" hidden="1"/>
    <cellStyle name="Hipervínculo visitado" xfId="3201" builtinId="9" hidden="1"/>
    <cellStyle name="Hipervínculo visitado" xfId="3203" builtinId="9" hidden="1"/>
    <cellStyle name="Hipervínculo visitado" xfId="3205" builtinId="9" hidden="1"/>
    <cellStyle name="Hipervínculo visitado" xfId="3207" builtinId="9" hidden="1"/>
    <cellStyle name="Hipervínculo visitado" xfId="3209" builtinId="9" hidden="1"/>
    <cellStyle name="Hipervínculo visitado" xfId="3211" builtinId="9" hidden="1"/>
    <cellStyle name="Hipervínculo visitado" xfId="3213" builtinId="9" hidden="1"/>
    <cellStyle name="Hipervínculo visitado" xfId="3215" builtinId="9" hidden="1"/>
    <cellStyle name="Hipervínculo visitado" xfId="3217" builtinId="9" hidden="1"/>
    <cellStyle name="Hipervínculo visitado" xfId="3219" builtinId="9" hidden="1"/>
    <cellStyle name="Hipervínculo visitado" xfId="3221" builtinId="9" hidden="1"/>
    <cellStyle name="Hipervínculo visitado" xfId="3223" builtinId="9" hidden="1"/>
    <cellStyle name="Hipervínculo visitado" xfId="3225" builtinId="9" hidden="1"/>
    <cellStyle name="Hipervínculo visitado" xfId="3227" builtinId="9" hidden="1"/>
    <cellStyle name="Hipervínculo visitado" xfId="3229" builtinId="9" hidden="1"/>
    <cellStyle name="Hipervínculo visitado" xfId="3231" builtinId="9" hidden="1"/>
    <cellStyle name="Hipervínculo visitado" xfId="3233" builtinId="9" hidden="1"/>
    <cellStyle name="Hipervínculo visitado" xfId="3235" builtinId="9" hidden="1"/>
    <cellStyle name="Hipervínculo visitado" xfId="3237" builtinId="9" hidden="1"/>
    <cellStyle name="Hipervínculo visitado" xfId="3239" builtinId="9" hidden="1"/>
    <cellStyle name="Hipervínculo visitado" xfId="3241" builtinId="9" hidden="1"/>
    <cellStyle name="Hipervínculo visitado" xfId="3243" builtinId="9" hidden="1"/>
    <cellStyle name="Hipervínculo visitado" xfId="3245" builtinId="9" hidden="1"/>
    <cellStyle name="Hipervínculo visitado" xfId="3247" builtinId="9" hidden="1"/>
    <cellStyle name="Hipervínculo visitado" xfId="3249" builtinId="9" hidden="1"/>
    <cellStyle name="Hipervínculo visitado" xfId="3251" builtinId="9" hidden="1"/>
    <cellStyle name="Hipervínculo visitado" xfId="3253" builtinId="9" hidden="1"/>
    <cellStyle name="Hipervínculo visitado" xfId="3255" builtinId="9" hidden="1"/>
    <cellStyle name="Hipervínculo visitado" xfId="3257" builtinId="9" hidden="1"/>
    <cellStyle name="Hipervínculo visitado" xfId="3259" builtinId="9" hidden="1"/>
    <cellStyle name="Hipervínculo visitado" xfId="3261" builtinId="9" hidden="1"/>
    <cellStyle name="Hipervínculo visitado" xfId="3263" builtinId="9" hidden="1"/>
    <cellStyle name="Hipervínculo visitado" xfId="3265" builtinId="9" hidden="1"/>
    <cellStyle name="Hipervínculo visitado" xfId="3267" builtinId="9" hidden="1"/>
    <cellStyle name="Hipervínculo visitado" xfId="3269" builtinId="9" hidden="1"/>
    <cellStyle name="Hipervínculo visitado" xfId="3271" builtinId="9" hidden="1"/>
    <cellStyle name="Hipervínculo visitado" xfId="3273" builtinId="9" hidden="1"/>
    <cellStyle name="Hipervínculo visitado" xfId="3275" builtinId="9" hidden="1"/>
    <cellStyle name="Hipervínculo visitado" xfId="3277" builtinId="9" hidden="1"/>
    <cellStyle name="Hipervínculo visitado" xfId="3279" builtinId="9" hidden="1"/>
    <cellStyle name="Hipervínculo visitado" xfId="3281" builtinId="9" hidden="1"/>
    <cellStyle name="Hipervínculo visitado" xfId="3283" builtinId="9" hidden="1"/>
    <cellStyle name="Hipervínculo visitado" xfId="3285" builtinId="9" hidden="1"/>
    <cellStyle name="Hipervínculo visitado" xfId="3287" builtinId="9" hidden="1"/>
    <cellStyle name="Hipervínculo visitado" xfId="3289" builtinId="9" hidden="1"/>
    <cellStyle name="Hipervínculo visitado" xfId="3291" builtinId="9" hidden="1"/>
    <cellStyle name="Hipervínculo visitado" xfId="3293" builtinId="9" hidden="1"/>
    <cellStyle name="Hipervínculo visitado" xfId="3295" builtinId="9" hidden="1"/>
    <cellStyle name="Hipervínculo visitado" xfId="3297" builtinId="9" hidden="1"/>
    <cellStyle name="Hipervínculo visitado" xfId="3299" builtinId="9" hidden="1"/>
    <cellStyle name="Hipervínculo visitado" xfId="3301" builtinId="9" hidden="1"/>
    <cellStyle name="Hipervínculo visitado" xfId="3303" builtinId="9" hidden="1"/>
    <cellStyle name="Hipervínculo visitado" xfId="3305" builtinId="9" hidden="1"/>
    <cellStyle name="Hipervínculo visitado" xfId="3307" builtinId="9" hidden="1"/>
    <cellStyle name="Hipervínculo visitado" xfId="3309" builtinId="9" hidden="1"/>
    <cellStyle name="Hipervínculo visitado" xfId="3311" builtinId="9" hidden="1"/>
    <cellStyle name="Hipervínculo visitado" xfId="3313" builtinId="9" hidden="1"/>
    <cellStyle name="Hipervínculo visitado" xfId="3315" builtinId="9" hidden="1"/>
    <cellStyle name="Hipervínculo visitado" xfId="3317" builtinId="9" hidden="1"/>
    <cellStyle name="Hipervínculo visitado" xfId="3319" builtinId="9" hidden="1"/>
    <cellStyle name="Hipervínculo visitado" xfId="3321" builtinId="9" hidden="1"/>
    <cellStyle name="Hipervínculo visitado" xfId="3323" builtinId="9" hidden="1"/>
    <cellStyle name="Hipervínculo visitado" xfId="3325" builtinId="9" hidden="1"/>
    <cellStyle name="Hipervínculo visitado" xfId="3327" builtinId="9" hidden="1"/>
    <cellStyle name="Hipervínculo visitado" xfId="3329" builtinId="9" hidden="1"/>
    <cellStyle name="Hipervínculo visitado" xfId="3331" builtinId="9" hidden="1"/>
    <cellStyle name="Hipervínculo visitado" xfId="3333" builtinId="9" hidden="1"/>
    <cellStyle name="Hipervínculo visitado" xfId="3335" builtinId="9" hidden="1"/>
    <cellStyle name="Hipervínculo visitado" xfId="3337" builtinId="9" hidden="1"/>
    <cellStyle name="Hipervínculo visitado" xfId="3339" builtinId="9" hidden="1"/>
    <cellStyle name="Hipervínculo visitado" xfId="3341" builtinId="9" hidden="1"/>
    <cellStyle name="Hipervínculo visitado" xfId="3343" builtinId="9" hidden="1"/>
    <cellStyle name="Hipervínculo visitado" xfId="3345" builtinId="9" hidden="1"/>
    <cellStyle name="Hipervínculo visitado" xfId="3347" builtinId="9" hidden="1"/>
    <cellStyle name="Hipervínculo visitado" xfId="3349" builtinId="9" hidden="1"/>
    <cellStyle name="Hipervínculo visitado" xfId="3351" builtinId="9" hidden="1"/>
    <cellStyle name="Hipervínculo visitado" xfId="3353" builtinId="9" hidden="1"/>
    <cellStyle name="Hipervínculo visitado" xfId="3355" builtinId="9" hidden="1"/>
    <cellStyle name="Hipervínculo visitado" xfId="3357" builtinId="9" hidden="1"/>
    <cellStyle name="Hipervínculo visitado" xfId="3359" builtinId="9" hidden="1"/>
    <cellStyle name="Hipervínculo visitado" xfId="3361" builtinId="9" hidden="1"/>
    <cellStyle name="Hipervínculo visitado" xfId="3363" builtinId="9" hidden="1"/>
    <cellStyle name="Hipervínculo visitado" xfId="3365" builtinId="9" hidden="1"/>
    <cellStyle name="Hipervínculo visitado" xfId="3367" builtinId="9" hidden="1"/>
    <cellStyle name="Hipervínculo visitado" xfId="3369" builtinId="9" hidden="1"/>
    <cellStyle name="Hipervínculo visitado" xfId="3371" builtinId="9" hidden="1"/>
    <cellStyle name="Hipervínculo visitado" xfId="3373" builtinId="9" hidden="1"/>
    <cellStyle name="Hipervínculo visitado" xfId="3375" builtinId="9" hidden="1"/>
    <cellStyle name="Hipervínculo visitado" xfId="3377" builtinId="9" hidden="1"/>
    <cellStyle name="Hipervínculo visitado" xfId="3379" builtinId="9" hidden="1"/>
    <cellStyle name="Hipervínculo visitado" xfId="3381" builtinId="9" hidden="1"/>
    <cellStyle name="Hipervínculo visitado" xfId="3383" builtinId="9" hidden="1"/>
    <cellStyle name="Hipervínculo visitado" xfId="3385" builtinId="9" hidden="1"/>
    <cellStyle name="Hipervínculo visitado" xfId="3387" builtinId="9" hidden="1"/>
    <cellStyle name="Hipervínculo visitado" xfId="3389" builtinId="9" hidden="1"/>
    <cellStyle name="Hipervínculo visitado" xfId="3391" builtinId="9" hidden="1"/>
    <cellStyle name="Hipervínculo visitado" xfId="3393" builtinId="9" hidden="1"/>
    <cellStyle name="Hipervínculo visitado" xfId="3395" builtinId="9" hidden="1"/>
    <cellStyle name="Hipervínculo visitado" xfId="3397" builtinId="9" hidden="1"/>
    <cellStyle name="Hipervínculo visitado" xfId="3399" builtinId="9" hidden="1"/>
    <cellStyle name="Hipervínculo visitado" xfId="3401" builtinId="9" hidden="1"/>
    <cellStyle name="Hipervínculo visitado" xfId="3403" builtinId="9" hidden="1"/>
    <cellStyle name="Hipervínculo visitado" xfId="3405" builtinId="9" hidden="1"/>
    <cellStyle name="Hipervínculo visitado" xfId="3407" builtinId="9" hidden="1"/>
    <cellStyle name="Hipervínculo visitado" xfId="3409" builtinId="9" hidden="1"/>
    <cellStyle name="Hipervínculo visitado" xfId="3411" builtinId="9" hidden="1"/>
    <cellStyle name="Hipervínculo visitado" xfId="3413" builtinId="9" hidden="1"/>
    <cellStyle name="Hipervínculo visitado" xfId="3415" builtinId="9" hidden="1"/>
    <cellStyle name="Hipervínculo visitado" xfId="3417" builtinId="9" hidden="1"/>
    <cellStyle name="Hipervínculo visitado" xfId="3419" builtinId="9" hidden="1"/>
    <cellStyle name="Hipervínculo visitado" xfId="3421" builtinId="9" hidden="1"/>
    <cellStyle name="Hipervínculo visitado" xfId="3423" builtinId="9" hidden="1"/>
    <cellStyle name="Hipervínculo visitado" xfId="3425" builtinId="9" hidden="1"/>
    <cellStyle name="Hipervínculo visitado" xfId="3427" builtinId="9" hidden="1"/>
    <cellStyle name="Hipervínculo visitado" xfId="3429" builtinId="9" hidden="1"/>
    <cellStyle name="Hipervínculo visitado" xfId="3431" builtinId="9" hidden="1"/>
    <cellStyle name="Hipervínculo visitado" xfId="3433" builtinId="9" hidden="1"/>
    <cellStyle name="Hipervínculo visitado" xfId="3435" builtinId="9" hidden="1"/>
    <cellStyle name="Hipervínculo visitado" xfId="3437" builtinId="9" hidden="1"/>
    <cellStyle name="Hipervínculo visitado" xfId="3439" builtinId="9" hidden="1"/>
    <cellStyle name="Hipervínculo visitado" xfId="3441" builtinId="9" hidden="1"/>
    <cellStyle name="Hipervínculo visitado" xfId="3443" builtinId="9" hidden="1"/>
    <cellStyle name="Hipervínculo visitado" xfId="3445" builtinId="9" hidden="1"/>
    <cellStyle name="Hipervínculo visitado" xfId="3447" builtinId="9" hidden="1"/>
    <cellStyle name="Hipervínculo visitado" xfId="3449" builtinId="9" hidden="1"/>
    <cellStyle name="Hipervínculo visitado" xfId="3451" builtinId="9" hidden="1"/>
    <cellStyle name="Hipervínculo visitado" xfId="3453" builtinId="9" hidden="1"/>
    <cellStyle name="Hipervínculo visitado" xfId="3455" builtinId="9" hidden="1"/>
    <cellStyle name="Hipervínculo visitado" xfId="3457" builtinId="9" hidden="1"/>
    <cellStyle name="Hipervínculo visitado" xfId="3459" builtinId="9" hidden="1"/>
    <cellStyle name="Hipervínculo visitado" xfId="3461" builtinId="9" hidden="1"/>
    <cellStyle name="Hipervínculo visitado" xfId="3463" builtinId="9" hidden="1"/>
    <cellStyle name="Hipervínculo visitado" xfId="3465" builtinId="9" hidden="1"/>
    <cellStyle name="Hipervínculo visitado" xfId="3467" builtinId="9" hidden="1"/>
    <cellStyle name="Hipervínculo visitado" xfId="3469" builtinId="9" hidden="1"/>
    <cellStyle name="Hipervínculo visitado" xfId="3471" builtinId="9" hidden="1"/>
    <cellStyle name="Hipervínculo visitado" xfId="3473" builtinId="9" hidden="1"/>
    <cellStyle name="Hipervínculo visitado" xfId="3475" builtinId="9" hidden="1"/>
    <cellStyle name="Hipervínculo visitado" xfId="3477" builtinId="9" hidden="1"/>
    <cellStyle name="Hipervínculo visitado" xfId="3479" builtinId="9" hidden="1"/>
    <cellStyle name="Hipervínculo visitado" xfId="3481" builtinId="9" hidden="1"/>
    <cellStyle name="Hipervínculo visitado" xfId="3483" builtinId="9" hidden="1"/>
    <cellStyle name="Hipervínculo visitado" xfId="3485" builtinId="9" hidden="1"/>
    <cellStyle name="Hipervínculo visitado" xfId="3487" builtinId="9" hidden="1"/>
    <cellStyle name="Hipervínculo visitado" xfId="3489" builtinId="9" hidden="1"/>
    <cellStyle name="Hipervínculo visitado" xfId="3491" builtinId="9" hidden="1"/>
    <cellStyle name="Hipervínculo visitado" xfId="3493" builtinId="9" hidden="1"/>
    <cellStyle name="Hipervínculo visitado" xfId="3495" builtinId="9" hidden="1"/>
    <cellStyle name="Hipervínculo visitado" xfId="3497" builtinId="9" hidden="1"/>
    <cellStyle name="Hipervínculo visitado" xfId="3499" builtinId="9" hidden="1"/>
    <cellStyle name="Hipervínculo visitado" xfId="3501" builtinId="9" hidden="1"/>
    <cellStyle name="Hipervínculo visitado" xfId="3503" builtinId="9" hidden="1"/>
    <cellStyle name="Hipervínculo visitado" xfId="3505" builtinId="9" hidden="1"/>
    <cellStyle name="Hipervínculo visitado" xfId="3507" builtinId="9" hidden="1"/>
    <cellStyle name="Hipervínculo visitado" xfId="3509" builtinId="9" hidden="1"/>
    <cellStyle name="Hipervínculo visitado" xfId="3511" builtinId="9" hidden="1"/>
    <cellStyle name="Hipervínculo visitado" xfId="3513" builtinId="9" hidden="1"/>
    <cellStyle name="Hipervínculo visitado" xfId="3515" builtinId="9" hidden="1"/>
    <cellStyle name="Hipervínculo visitado" xfId="3517" builtinId="9" hidden="1"/>
    <cellStyle name="Hipervínculo visitado" xfId="3519" builtinId="9" hidden="1"/>
    <cellStyle name="Hipervínculo visitado" xfId="3521" builtinId="9" hidden="1"/>
    <cellStyle name="Hipervínculo visitado" xfId="3523" builtinId="9" hidden="1"/>
    <cellStyle name="Hipervínculo visitado" xfId="3525" builtinId="9" hidden="1"/>
    <cellStyle name="Hipervínculo visitado" xfId="3527" builtinId="9" hidden="1"/>
    <cellStyle name="Hipervínculo visitado" xfId="3529" builtinId="9" hidden="1"/>
    <cellStyle name="Hipervínculo visitado" xfId="3531" builtinId="9" hidden="1"/>
    <cellStyle name="Hipervínculo visitado" xfId="3533" builtinId="9" hidden="1"/>
    <cellStyle name="Hipervínculo visitado" xfId="3535" builtinId="9" hidden="1"/>
    <cellStyle name="Hipervínculo visitado" xfId="3537" builtinId="9" hidden="1"/>
    <cellStyle name="Hipervínculo visitado" xfId="3539" builtinId="9" hidden="1"/>
    <cellStyle name="Hipervínculo visitado" xfId="3541" builtinId="9" hidden="1"/>
    <cellStyle name="Hipervínculo visitado" xfId="3543" builtinId="9" hidden="1"/>
    <cellStyle name="Hipervínculo visitado" xfId="3545" builtinId="9" hidden="1"/>
    <cellStyle name="Hipervínculo visitado" xfId="3547" builtinId="9" hidden="1"/>
    <cellStyle name="Hipervínculo visitado" xfId="3549" builtinId="9" hidden="1"/>
    <cellStyle name="Hipervínculo visitado" xfId="3551" builtinId="9" hidden="1"/>
    <cellStyle name="Hipervínculo visitado" xfId="3553" builtinId="9" hidden="1"/>
    <cellStyle name="Hipervínculo visitado" xfId="3555" builtinId="9" hidden="1"/>
    <cellStyle name="Hipervínculo visitado" xfId="3557" builtinId="9" hidden="1"/>
    <cellStyle name="Hipervínculo visitado" xfId="3559" builtinId="9" hidden="1"/>
    <cellStyle name="Hipervínculo visitado" xfId="3561" builtinId="9" hidden="1"/>
    <cellStyle name="Hipervínculo visitado" xfId="3563" builtinId="9" hidden="1"/>
    <cellStyle name="Hipervínculo visitado" xfId="3565" builtinId="9" hidden="1"/>
    <cellStyle name="Hipervínculo visitado" xfId="3567" builtinId="9" hidden="1"/>
    <cellStyle name="Hipervínculo visitado" xfId="3569" builtinId="9" hidden="1"/>
    <cellStyle name="Hipervínculo visitado" xfId="3571" builtinId="9" hidden="1"/>
    <cellStyle name="Hipervínculo visitado" xfId="3573" builtinId="9" hidden="1"/>
    <cellStyle name="Hipervínculo visitado" xfId="3575" builtinId="9" hidden="1"/>
    <cellStyle name="Hipervínculo visitado" xfId="3577" builtinId="9" hidden="1"/>
    <cellStyle name="Hipervínculo visitado" xfId="3579" builtinId="9" hidden="1"/>
    <cellStyle name="Hipervínculo visitado" xfId="3581" builtinId="9" hidden="1"/>
    <cellStyle name="Hipervínculo visitado" xfId="3583" builtinId="9" hidden="1"/>
    <cellStyle name="Hipervínculo visitado" xfId="3585" builtinId="9" hidden="1"/>
    <cellStyle name="Hipervínculo visitado" xfId="3587" builtinId="9" hidden="1"/>
    <cellStyle name="Hipervínculo visitado" xfId="3589" builtinId="9" hidden="1"/>
    <cellStyle name="Hipervínculo visitado" xfId="3591" builtinId="9" hidden="1"/>
    <cellStyle name="Hipervínculo visitado" xfId="3593" builtinId="9" hidden="1"/>
    <cellStyle name="Hipervínculo visitado" xfId="3595" builtinId="9" hidden="1"/>
    <cellStyle name="Hipervínculo visitado" xfId="3597" builtinId="9" hidden="1"/>
    <cellStyle name="Hipervínculo visitado" xfId="3599" builtinId="9" hidden="1"/>
    <cellStyle name="Hipervínculo visitado" xfId="3601" builtinId="9" hidden="1"/>
    <cellStyle name="Hipervínculo visitado" xfId="3603" builtinId="9" hidden="1"/>
    <cellStyle name="Hipervínculo visitado" xfId="3605" builtinId="9" hidden="1"/>
    <cellStyle name="Hipervínculo visitado" xfId="3607" builtinId="9" hidden="1"/>
    <cellStyle name="Hipervínculo visitado" xfId="3609" builtinId="9" hidden="1"/>
    <cellStyle name="Hipervínculo visitado" xfId="3611" builtinId="9" hidden="1"/>
    <cellStyle name="Hipervínculo visitado" xfId="3613" builtinId="9" hidden="1"/>
    <cellStyle name="Hipervínculo visitado" xfId="3615" builtinId="9" hidden="1"/>
    <cellStyle name="Hipervínculo visitado" xfId="3617" builtinId="9" hidden="1"/>
    <cellStyle name="Hipervínculo visitado" xfId="3619" builtinId="9" hidden="1"/>
    <cellStyle name="Hipervínculo visitado" xfId="3621" builtinId="9" hidden="1"/>
    <cellStyle name="Hipervínculo visitado" xfId="3623" builtinId="9" hidden="1"/>
    <cellStyle name="Hipervínculo visitado" xfId="3625" builtinId="9" hidden="1"/>
    <cellStyle name="Hipervínculo visitado" xfId="3627" builtinId="9" hidden="1"/>
    <cellStyle name="Hipervínculo visitado" xfId="3629" builtinId="9" hidden="1"/>
    <cellStyle name="Hipervínculo visitado" xfId="3631" builtinId="9" hidden="1"/>
    <cellStyle name="Hipervínculo visitado" xfId="3633" builtinId="9" hidden="1"/>
    <cellStyle name="Hipervínculo visitado" xfId="3635" builtinId="9" hidden="1"/>
    <cellStyle name="Hipervínculo visitado" xfId="3637" builtinId="9" hidden="1"/>
    <cellStyle name="Hipervínculo visitado" xfId="3639" builtinId="9" hidden="1"/>
    <cellStyle name="Hipervínculo visitado" xfId="3641" builtinId="9" hidden="1"/>
    <cellStyle name="Hipervínculo visitado" xfId="3643" builtinId="9" hidden="1"/>
    <cellStyle name="Hipervínculo visitado" xfId="3645" builtinId="9" hidden="1"/>
    <cellStyle name="Hipervínculo visitado" xfId="3647" builtinId="9" hidden="1"/>
    <cellStyle name="Hipervínculo visitado" xfId="3649" builtinId="9" hidden="1"/>
    <cellStyle name="Hipervínculo visitado" xfId="3651" builtinId="9" hidden="1"/>
    <cellStyle name="Hipervínculo visitado" xfId="3653" builtinId="9" hidden="1"/>
    <cellStyle name="Hipervínculo visitado" xfId="3655" builtinId="9" hidden="1"/>
    <cellStyle name="Hipervínculo visitado" xfId="3657" builtinId="9" hidden="1"/>
    <cellStyle name="Hipervínculo visitado" xfId="3659" builtinId="9" hidden="1"/>
    <cellStyle name="Hipervínculo visitado" xfId="3661" builtinId="9" hidden="1"/>
    <cellStyle name="Hipervínculo visitado" xfId="3663" builtinId="9" hidden="1"/>
    <cellStyle name="Hipervínculo visitado" xfId="3665" builtinId="9" hidden="1"/>
    <cellStyle name="Hipervínculo visitado" xfId="3667" builtinId="9" hidden="1"/>
    <cellStyle name="Hipervínculo visitado" xfId="3669" builtinId="9" hidden="1"/>
    <cellStyle name="Hipervínculo visitado" xfId="3671" builtinId="9" hidden="1"/>
    <cellStyle name="Hipervínculo visitado" xfId="3673" builtinId="9" hidden="1"/>
    <cellStyle name="Hipervínculo visitado" xfId="3675" builtinId="9" hidden="1"/>
    <cellStyle name="Hipervínculo visitado" xfId="3677" builtinId="9" hidden="1"/>
    <cellStyle name="Hipervínculo visitado" xfId="3679" builtinId="9" hidden="1"/>
    <cellStyle name="Hipervínculo visitado" xfId="3681" builtinId="9" hidden="1"/>
    <cellStyle name="Hipervínculo visitado" xfId="3683" builtinId="9" hidden="1"/>
    <cellStyle name="Hipervínculo visitado" xfId="3685" builtinId="9" hidden="1"/>
    <cellStyle name="Hipervínculo visitado" xfId="3687" builtinId="9" hidden="1"/>
    <cellStyle name="Hipervínculo visitado" xfId="3689" builtinId="9" hidden="1"/>
    <cellStyle name="Hipervínculo visitado" xfId="3691" builtinId="9" hidden="1"/>
    <cellStyle name="Hipervínculo visitado" xfId="3693" builtinId="9" hidden="1"/>
    <cellStyle name="Hipervínculo visitado" xfId="3695" builtinId="9" hidden="1"/>
    <cellStyle name="Hipervínculo visitado" xfId="3697" builtinId="9" hidden="1"/>
    <cellStyle name="Hipervínculo visitado" xfId="3699" builtinId="9" hidden="1"/>
    <cellStyle name="Hipervínculo visitado" xfId="3701" builtinId="9" hidden="1"/>
    <cellStyle name="Hipervínculo visitado" xfId="3703" builtinId="9" hidden="1"/>
    <cellStyle name="Hipervínculo visitado" xfId="3705" builtinId="9" hidden="1"/>
    <cellStyle name="Hipervínculo visitado" xfId="3707" builtinId="9" hidden="1"/>
    <cellStyle name="Hipervínculo visitado" xfId="3709" builtinId="9" hidden="1"/>
    <cellStyle name="Hipervínculo visitado" xfId="3711" builtinId="9" hidden="1"/>
    <cellStyle name="Hipervínculo visitado" xfId="3713" builtinId="9" hidden="1"/>
    <cellStyle name="Hipervínculo visitado" xfId="3715" builtinId="9" hidden="1"/>
    <cellStyle name="Hipervínculo visitado" xfId="3717" builtinId="9" hidden="1"/>
    <cellStyle name="Hipervínculo visitado" xfId="3719" builtinId="9" hidden="1"/>
    <cellStyle name="Hipervínculo visitado" xfId="3721" builtinId="9" hidden="1"/>
    <cellStyle name="Hipervínculo visitado" xfId="3723" builtinId="9" hidden="1"/>
    <cellStyle name="Hipervínculo visitado" xfId="3725" builtinId="9" hidden="1"/>
    <cellStyle name="Hipervínculo visitado" xfId="3727" builtinId="9" hidden="1"/>
    <cellStyle name="Hipervínculo visitado" xfId="3729" builtinId="9" hidden="1"/>
    <cellStyle name="Hipervínculo visitado" xfId="3731" builtinId="9" hidden="1"/>
    <cellStyle name="Hipervínculo visitado" xfId="3733" builtinId="9" hidden="1"/>
    <cellStyle name="Hipervínculo visitado" xfId="3735" builtinId="9" hidden="1"/>
    <cellStyle name="Hipervínculo visitado" xfId="3737" builtinId="9" hidden="1"/>
    <cellStyle name="Hipervínculo visitado" xfId="3739" builtinId="9" hidden="1"/>
    <cellStyle name="Hipervínculo visitado" xfId="3741" builtinId="9" hidden="1"/>
    <cellStyle name="Hipervínculo visitado" xfId="3743" builtinId="9" hidden="1"/>
    <cellStyle name="Hipervínculo visitado" xfId="3745" builtinId="9" hidden="1"/>
    <cellStyle name="Hipervínculo visitado" xfId="3747" builtinId="9" hidden="1"/>
    <cellStyle name="Hipervínculo visitado" xfId="3749" builtinId="9" hidden="1"/>
    <cellStyle name="Hipervínculo visitado" xfId="3751" builtinId="9" hidden="1"/>
    <cellStyle name="Hipervínculo visitado" xfId="3753" builtinId="9" hidden="1"/>
    <cellStyle name="Hipervínculo visitado" xfId="3755" builtinId="9" hidden="1"/>
    <cellStyle name="Hipervínculo visitado" xfId="3757" builtinId="9" hidden="1"/>
    <cellStyle name="Hipervínculo visitado" xfId="3759" builtinId="9" hidden="1"/>
    <cellStyle name="Hipervínculo visitado" xfId="3761" builtinId="9" hidden="1"/>
    <cellStyle name="Hipervínculo visitado" xfId="3763" builtinId="9" hidden="1"/>
    <cellStyle name="Hipervínculo visitado" xfId="3765" builtinId="9" hidden="1"/>
    <cellStyle name="Hipervínculo visitado" xfId="3767" builtinId="9" hidden="1"/>
    <cellStyle name="Hipervínculo visitado" xfId="3769" builtinId="9" hidden="1"/>
    <cellStyle name="Hipervínculo visitado" xfId="3771" builtinId="9" hidden="1"/>
    <cellStyle name="Hipervínculo visitado" xfId="3773" builtinId="9" hidden="1"/>
    <cellStyle name="Hipervínculo visitado" xfId="3775" builtinId="9" hidden="1"/>
    <cellStyle name="Hipervínculo visitado" xfId="3777" builtinId="9" hidden="1"/>
    <cellStyle name="Hipervínculo visitado" xfId="3779" builtinId="9" hidden="1"/>
    <cellStyle name="Hipervínculo visitado" xfId="3781" builtinId="9" hidden="1"/>
    <cellStyle name="Hipervínculo visitado" xfId="3783" builtinId="9" hidden="1"/>
    <cellStyle name="Hipervínculo visitado" xfId="3785" builtinId="9" hidden="1"/>
    <cellStyle name="Hipervínculo visitado" xfId="3787" builtinId="9" hidden="1"/>
    <cellStyle name="Hipervínculo visitado" xfId="3789" builtinId="9" hidden="1"/>
    <cellStyle name="Hipervínculo visitado" xfId="3791" builtinId="9" hidden="1"/>
    <cellStyle name="Hipervínculo visitado" xfId="3793" builtinId="9" hidden="1"/>
    <cellStyle name="Hipervínculo visitado" xfId="3795" builtinId="9" hidden="1"/>
    <cellStyle name="Hipervínculo visitado" xfId="3797" builtinId="9" hidden="1"/>
    <cellStyle name="Hipervínculo visitado" xfId="3799" builtinId="9" hidden="1"/>
    <cellStyle name="Hipervínculo visitado" xfId="3801" builtinId="9" hidden="1"/>
    <cellStyle name="Hipervínculo visitado" xfId="3803" builtinId="9" hidden="1"/>
    <cellStyle name="Hipervínculo visitado" xfId="3805" builtinId="9" hidden="1"/>
    <cellStyle name="Hipervínculo visitado" xfId="3807" builtinId="9" hidden="1"/>
    <cellStyle name="Hipervínculo visitado" xfId="3809" builtinId="9" hidden="1"/>
    <cellStyle name="Hipervínculo visitado" xfId="3811" builtinId="9" hidden="1"/>
    <cellStyle name="Hipervínculo visitado" xfId="3813" builtinId="9" hidden="1"/>
    <cellStyle name="Hipervínculo visitado" xfId="3815" builtinId="9" hidden="1"/>
    <cellStyle name="Hipervínculo visitado" xfId="3817" builtinId="9" hidden="1"/>
    <cellStyle name="Hipervínculo visitado" xfId="3819" builtinId="9" hidden="1"/>
    <cellStyle name="Hipervínculo visitado" xfId="3821" builtinId="9" hidden="1"/>
    <cellStyle name="Hipervínculo visitado" xfId="3823" builtinId="9" hidden="1"/>
    <cellStyle name="Hipervínculo visitado" xfId="3825" builtinId="9" hidden="1"/>
    <cellStyle name="Hipervínculo visitado" xfId="3827" builtinId="9" hidden="1"/>
    <cellStyle name="Hipervínculo visitado" xfId="3829" builtinId="9" hidden="1"/>
    <cellStyle name="Hipervínculo visitado" xfId="3831" builtinId="9" hidden="1"/>
    <cellStyle name="Hipervínculo visitado" xfId="3833" builtinId="9" hidden="1"/>
    <cellStyle name="Hipervínculo visitado" xfId="3835" builtinId="9" hidden="1"/>
    <cellStyle name="Hipervínculo visitado" xfId="3837" builtinId="9" hidden="1"/>
    <cellStyle name="Hipervínculo visitado" xfId="3839" builtinId="9" hidden="1"/>
    <cellStyle name="Hipervínculo visitado" xfId="3841" builtinId="9" hidden="1"/>
    <cellStyle name="Hipervínculo visitado" xfId="3843" builtinId="9" hidden="1"/>
    <cellStyle name="Hipervínculo visitado" xfId="3845" builtinId="9" hidden="1"/>
    <cellStyle name="Hipervínculo visitado" xfId="3847" builtinId="9" hidden="1"/>
    <cellStyle name="Hipervínculo visitado" xfId="3849" builtinId="9" hidden="1"/>
    <cellStyle name="Hipervínculo visitado" xfId="3851" builtinId="9" hidden="1"/>
    <cellStyle name="Hipervínculo visitado" xfId="3853" builtinId="9" hidden="1"/>
    <cellStyle name="Hipervínculo visitado" xfId="3855" builtinId="9" hidden="1"/>
    <cellStyle name="Hipervínculo visitado" xfId="3857" builtinId="9" hidden="1"/>
    <cellStyle name="Hipervínculo visitado" xfId="3859" builtinId="9" hidden="1"/>
    <cellStyle name="Hipervínculo visitado" xfId="3861" builtinId="9" hidden="1"/>
    <cellStyle name="Hipervínculo visitado" xfId="3863" builtinId="9" hidden="1"/>
    <cellStyle name="Hipervínculo visitado" xfId="3865" builtinId="9" hidden="1"/>
    <cellStyle name="Hipervínculo visitado" xfId="3867" builtinId="9" hidden="1"/>
    <cellStyle name="Hipervínculo visitado" xfId="3869" builtinId="9" hidden="1"/>
    <cellStyle name="Hipervínculo visitado" xfId="3871" builtinId="9" hidden="1"/>
    <cellStyle name="Hipervínculo visitado" xfId="3873" builtinId="9" hidden="1"/>
    <cellStyle name="Hipervínculo visitado" xfId="3875" builtinId="9" hidden="1"/>
    <cellStyle name="Hipervínculo visitado" xfId="3877" builtinId="9" hidden="1"/>
    <cellStyle name="Hipervínculo visitado" xfId="3879" builtinId="9" hidden="1"/>
    <cellStyle name="Hipervínculo visitado" xfId="3881" builtinId="9" hidden="1"/>
    <cellStyle name="Hipervínculo visitado" xfId="3883" builtinId="9" hidden="1"/>
    <cellStyle name="Hipervínculo visitado" xfId="3885" builtinId="9" hidden="1"/>
    <cellStyle name="Hipervínculo visitado" xfId="3887" builtinId="9" hidden="1"/>
    <cellStyle name="Hipervínculo visitado" xfId="3889" builtinId="9" hidden="1"/>
    <cellStyle name="Hipervínculo visitado" xfId="3891" builtinId="9" hidden="1"/>
    <cellStyle name="Hipervínculo visitado" xfId="3893" builtinId="9" hidden="1"/>
    <cellStyle name="Hipervínculo visitado" xfId="3895" builtinId="9" hidden="1"/>
    <cellStyle name="Hipervínculo visitado" xfId="3897" builtinId="9" hidden="1"/>
    <cellStyle name="Hipervínculo visitado" xfId="3899" builtinId="9" hidden="1"/>
    <cellStyle name="Hipervínculo visitado" xfId="3901" builtinId="9" hidden="1"/>
    <cellStyle name="Hipervínculo visitado" xfId="3903" builtinId="9" hidden="1"/>
    <cellStyle name="Hipervínculo visitado" xfId="3905" builtinId="9" hidden="1"/>
    <cellStyle name="Hipervínculo visitado" xfId="3907" builtinId="9" hidden="1"/>
    <cellStyle name="Hipervínculo visitado" xfId="3909" builtinId="9" hidden="1"/>
    <cellStyle name="Hipervínculo visitado" xfId="3911" builtinId="9" hidden="1"/>
    <cellStyle name="Hipervínculo visitado" xfId="3913" builtinId="9" hidden="1"/>
    <cellStyle name="Hipervínculo visitado" xfId="3915" builtinId="9" hidden="1"/>
    <cellStyle name="Hipervínculo visitado" xfId="3917" builtinId="9" hidden="1"/>
    <cellStyle name="Hipervínculo visitado" xfId="3919" builtinId="9" hidden="1"/>
    <cellStyle name="Hipervínculo visitado" xfId="3921" builtinId="9" hidden="1"/>
    <cellStyle name="Hipervínculo visitado" xfId="3923" builtinId="9" hidden="1"/>
    <cellStyle name="Hipervínculo visitado" xfId="3925" builtinId="9" hidden="1"/>
    <cellStyle name="Hipervínculo visitado" xfId="3927" builtinId="9" hidden="1"/>
    <cellStyle name="Hipervínculo visitado" xfId="3929" builtinId="9" hidden="1"/>
    <cellStyle name="Hipervínculo visitado" xfId="3931" builtinId="9" hidden="1"/>
    <cellStyle name="Hipervínculo visitado" xfId="3933" builtinId="9" hidden="1"/>
    <cellStyle name="Hipervínculo visitado" xfId="3935" builtinId="9" hidden="1"/>
    <cellStyle name="Hipervínculo visitado" xfId="3937" builtinId="9" hidden="1"/>
    <cellStyle name="Hipervínculo visitado" xfId="3939" builtinId="9" hidden="1"/>
    <cellStyle name="Hipervínculo visitado" xfId="3941" builtinId="9" hidden="1"/>
    <cellStyle name="Hipervínculo visitado" xfId="3943" builtinId="9" hidden="1"/>
    <cellStyle name="Hipervínculo visitado" xfId="3945" builtinId="9" hidden="1"/>
    <cellStyle name="Hipervínculo visitado" xfId="3947" builtinId="9" hidden="1"/>
    <cellStyle name="Hipervínculo visitado" xfId="3949" builtinId="9" hidden="1"/>
    <cellStyle name="Hipervínculo visitado" xfId="3951" builtinId="9" hidden="1"/>
    <cellStyle name="Hipervínculo visitado" xfId="3953" builtinId="9" hidden="1"/>
    <cellStyle name="Hipervínculo visitado" xfId="3955" builtinId="9" hidden="1"/>
    <cellStyle name="Hipervínculo visitado" xfId="3957" builtinId="9" hidden="1"/>
    <cellStyle name="Hipervínculo visitado" xfId="3959" builtinId="9" hidden="1"/>
    <cellStyle name="Hipervínculo visitado" xfId="3961" builtinId="9" hidden="1"/>
    <cellStyle name="Hipervínculo visitado" xfId="3963" builtinId="9" hidden="1"/>
    <cellStyle name="Hipervínculo visitado" xfId="3965" builtinId="9" hidden="1"/>
    <cellStyle name="Hipervínculo visitado" xfId="3967" builtinId="9" hidden="1"/>
    <cellStyle name="Hipervínculo visitado" xfId="3969" builtinId="9" hidden="1"/>
    <cellStyle name="Hipervínculo visitado" xfId="3971" builtinId="9" hidden="1"/>
    <cellStyle name="Hipervínculo visitado" xfId="3973" builtinId="9" hidden="1"/>
    <cellStyle name="Hipervínculo visitado" xfId="3975" builtinId="9" hidden="1"/>
    <cellStyle name="Hipervínculo visitado" xfId="3977" builtinId="9" hidden="1"/>
    <cellStyle name="Hipervínculo visitado" xfId="3979" builtinId="9" hidden="1"/>
    <cellStyle name="Hipervínculo visitado" xfId="3981" builtinId="9" hidden="1"/>
    <cellStyle name="Hipervínculo visitado" xfId="3983" builtinId="9" hidden="1"/>
    <cellStyle name="Hipervínculo visitado" xfId="3985" builtinId="9" hidden="1"/>
    <cellStyle name="Hipervínculo visitado" xfId="3987" builtinId="9" hidden="1"/>
    <cellStyle name="Hipervínculo visitado" xfId="3989" builtinId="9" hidden="1"/>
    <cellStyle name="Hipervínculo visitado" xfId="3991" builtinId="9" hidden="1"/>
    <cellStyle name="Hipervínculo visitado" xfId="3993" builtinId="9" hidden="1"/>
    <cellStyle name="Hipervínculo visitado" xfId="3995" builtinId="9" hidden="1"/>
    <cellStyle name="Hipervínculo visitado" xfId="3997" builtinId="9" hidden="1"/>
    <cellStyle name="Hipervínculo visitado" xfId="3999" builtinId="9" hidden="1"/>
    <cellStyle name="Hipervínculo visitado" xfId="4001" builtinId="9" hidden="1"/>
    <cellStyle name="Hipervínculo visitado" xfId="4003" builtinId="9" hidden="1"/>
    <cellStyle name="Hipervínculo visitado" xfId="4005" builtinId="9" hidden="1"/>
    <cellStyle name="Hipervínculo visitado" xfId="4007" builtinId="9" hidden="1"/>
    <cellStyle name="Hipervínculo visitado" xfId="4009" builtinId="9" hidden="1"/>
    <cellStyle name="Hipervínculo visitado" xfId="4011" builtinId="9" hidden="1"/>
    <cellStyle name="Hipervínculo visitado" xfId="4013" builtinId="9" hidden="1"/>
    <cellStyle name="Hipervínculo visitado" xfId="4015" builtinId="9" hidden="1"/>
    <cellStyle name="Hipervínculo visitado" xfId="4017" builtinId="9" hidden="1"/>
    <cellStyle name="Hipervínculo visitado" xfId="4019" builtinId="9" hidden="1"/>
    <cellStyle name="Hipervínculo visitado" xfId="4021" builtinId="9" hidden="1"/>
    <cellStyle name="Hipervínculo visitado" xfId="4023" builtinId="9" hidden="1"/>
    <cellStyle name="Hipervínculo visitado" xfId="4025" builtinId="9" hidden="1"/>
    <cellStyle name="Hipervínculo visitado" xfId="4027" builtinId="9" hidden="1"/>
    <cellStyle name="Hipervínculo visitado" xfId="4029" builtinId="9" hidden="1"/>
    <cellStyle name="Hipervínculo visitado" xfId="4031" builtinId="9" hidden="1"/>
    <cellStyle name="Hipervínculo visitado" xfId="4033" builtinId="9" hidden="1"/>
    <cellStyle name="Hipervínculo visitado" xfId="4035" builtinId="9" hidden="1"/>
    <cellStyle name="Hipervínculo visitado" xfId="4037" builtinId="9" hidden="1"/>
    <cellStyle name="Hipervínculo visitado" xfId="4039" builtinId="9" hidden="1"/>
    <cellStyle name="Hipervínculo visitado" xfId="4041" builtinId="9" hidden="1"/>
    <cellStyle name="Hipervínculo visitado" xfId="4043" builtinId="9" hidden="1"/>
    <cellStyle name="Hipervínculo visitado" xfId="4045" builtinId="9" hidden="1"/>
    <cellStyle name="Hipervínculo visitado" xfId="4047" builtinId="9" hidden="1"/>
    <cellStyle name="Hipervínculo visitado" xfId="4049" builtinId="9" hidden="1"/>
    <cellStyle name="Hipervínculo visitado" xfId="4051" builtinId="9" hidden="1"/>
    <cellStyle name="Hipervínculo visitado" xfId="4053" builtinId="9" hidden="1"/>
    <cellStyle name="Hipervínculo visitado" xfId="4055" builtinId="9" hidden="1"/>
    <cellStyle name="Hipervínculo visitado" xfId="4057" builtinId="9" hidden="1"/>
    <cellStyle name="Hipervínculo visitado" xfId="4059" builtinId="9" hidden="1"/>
    <cellStyle name="Hipervínculo visitado" xfId="4061" builtinId="9" hidden="1"/>
    <cellStyle name="Hipervínculo visitado" xfId="4063" builtinId="9" hidden="1"/>
    <cellStyle name="Hipervínculo visitado" xfId="4065" builtinId="9" hidden="1"/>
    <cellStyle name="Hipervínculo visitado" xfId="4067" builtinId="9" hidden="1"/>
    <cellStyle name="Hipervínculo visitado" xfId="4069" builtinId="9" hidden="1"/>
    <cellStyle name="Hipervínculo visitado" xfId="4071" builtinId="9" hidden="1"/>
    <cellStyle name="Hipervínculo visitado" xfId="4073" builtinId="9" hidden="1"/>
    <cellStyle name="Hipervínculo visitado" xfId="4075" builtinId="9" hidden="1"/>
    <cellStyle name="Hipervínculo visitado" xfId="4077" builtinId="9" hidden="1"/>
    <cellStyle name="Hipervínculo visitado" xfId="4079" builtinId="9" hidden="1"/>
    <cellStyle name="Hipervínculo visitado" xfId="4081" builtinId="9" hidden="1"/>
    <cellStyle name="Hipervínculo visitado" xfId="4083" builtinId="9" hidden="1"/>
    <cellStyle name="Hipervínculo visitado" xfId="4085" builtinId="9" hidden="1"/>
    <cellStyle name="Hipervínculo visitado" xfId="4087" builtinId="9" hidden="1"/>
    <cellStyle name="Hipervínculo visitado" xfId="4089" builtinId="9" hidden="1"/>
    <cellStyle name="Hipervínculo visitado" xfId="4091" builtinId="9" hidden="1"/>
    <cellStyle name="Hipervínculo visitado" xfId="4093" builtinId="9" hidden="1"/>
    <cellStyle name="Hipervínculo visitado" xfId="4095" builtinId="9" hidden="1"/>
    <cellStyle name="Hipervínculo visitado" xfId="4097" builtinId="9" hidden="1"/>
    <cellStyle name="Hipervínculo visitado" xfId="4099" builtinId="9" hidden="1"/>
    <cellStyle name="Hipervínculo visitado" xfId="4101" builtinId="9" hidden="1"/>
    <cellStyle name="Hipervínculo visitado" xfId="4103" builtinId="9" hidden="1"/>
    <cellStyle name="Hipervínculo visitado" xfId="4105" builtinId="9" hidden="1"/>
    <cellStyle name="Hipervínculo visitado" xfId="4107" builtinId="9" hidden="1"/>
    <cellStyle name="Hipervínculo visitado" xfId="4109" builtinId="9" hidden="1"/>
    <cellStyle name="Hipervínculo visitado" xfId="4111" builtinId="9" hidden="1"/>
    <cellStyle name="Hipervínculo visitado" xfId="4113" builtinId="9" hidden="1"/>
    <cellStyle name="Hipervínculo visitado" xfId="4115" builtinId="9" hidden="1"/>
    <cellStyle name="Hipervínculo visitado" xfId="4117" builtinId="9" hidden="1"/>
    <cellStyle name="Hipervínculo visitado" xfId="4119" builtinId="9" hidden="1"/>
    <cellStyle name="Hipervínculo visitado" xfId="4121" builtinId="9" hidden="1"/>
    <cellStyle name="Hipervínculo visitado" xfId="4123" builtinId="9" hidden="1"/>
    <cellStyle name="Hipervínculo visitado" xfId="4125" builtinId="9" hidden="1"/>
    <cellStyle name="Hipervínculo visitado" xfId="4127" builtinId="9" hidden="1"/>
    <cellStyle name="Hipervínculo visitado" xfId="4129" builtinId="9" hidden="1"/>
    <cellStyle name="Hipervínculo visitado" xfId="4131" builtinId="9" hidden="1"/>
    <cellStyle name="Hipervínculo visitado" xfId="4133" builtinId="9" hidden="1"/>
    <cellStyle name="Hipervínculo visitado" xfId="4135" builtinId="9" hidden="1"/>
    <cellStyle name="Hipervínculo visitado" xfId="4137" builtinId="9" hidden="1"/>
    <cellStyle name="Hipervínculo visitado" xfId="4139" builtinId="9" hidden="1"/>
    <cellStyle name="Hipervínculo visitado" xfId="4141" builtinId="9" hidden="1"/>
    <cellStyle name="Hipervínculo visitado" xfId="4143" builtinId="9" hidden="1"/>
    <cellStyle name="Hipervínculo visitado" xfId="4145" builtinId="9" hidden="1"/>
    <cellStyle name="Hipervínculo visitado" xfId="4147" builtinId="9" hidden="1"/>
    <cellStyle name="Hipervínculo visitado" xfId="4149" builtinId="9" hidden="1"/>
    <cellStyle name="Hipervínculo visitado" xfId="4151" builtinId="9" hidden="1"/>
    <cellStyle name="Hipervínculo visitado" xfId="4153" builtinId="9" hidden="1"/>
    <cellStyle name="Hipervínculo visitado" xfId="4155" builtinId="9" hidden="1"/>
    <cellStyle name="Hipervínculo visitado" xfId="4157" builtinId="9" hidden="1"/>
    <cellStyle name="Hipervínculo visitado" xfId="4159" builtinId="9" hidden="1"/>
    <cellStyle name="Hipervínculo visitado" xfId="4161" builtinId="9" hidden="1"/>
    <cellStyle name="Hipervínculo visitado" xfId="4163" builtinId="9" hidden="1"/>
    <cellStyle name="Hipervínculo visitado" xfId="4165" builtinId="9" hidden="1"/>
    <cellStyle name="Hipervínculo visitado" xfId="4167" builtinId="9" hidden="1"/>
    <cellStyle name="Hipervínculo visitado" xfId="4169" builtinId="9" hidden="1"/>
    <cellStyle name="Hipervínculo visitado" xfId="4171" builtinId="9" hidden="1"/>
    <cellStyle name="Hipervínculo visitado" xfId="4173" builtinId="9" hidden="1"/>
    <cellStyle name="Hipervínculo visitado" xfId="4175" builtinId="9" hidden="1"/>
    <cellStyle name="Hipervínculo visitado" xfId="4177" builtinId="9" hidden="1"/>
    <cellStyle name="Hipervínculo visitado" xfId="4179" builtinId="9" hidden="1"/>
    <cellStyle name="Hipervínculo visitado" xfId="4181" builtinId="9" hidden="1"/>
    <cellStyle name="Hipervínculo visitado" xfId="4183" builtinId="9" hidden="1"/>
    <cellStyle name="Hipervínculo visitado" xfId="4185" builtinId="9" hidden="1"/>
    <cellStyle name="Hipervínculo visitado" xfId="4187" builtinId="9" hidden="1"/>
    <cellStyle name="Hipervínculo visitado" xfId="4189" builtinId="9" hidden="1"/>
    <cellStyle name="Hipervínculo visitado" xfId="4191" builtinId="9" hidden="1"/>
    <cellStyle name="Hipervínculo visitado" xfId="4193" builtinId="9" hidden="1"/>
    <cellStyle name="Hipervínculo visitado" xfId="4195" builtinId="9" hidden="1"/>
    <cellStyle name="Hipervínculo visitado" xfId="4197" builtinId="9" hidden="1"/>
    <cellStyle name="Hipervínculo visitado" xfId="4199" builtinId="9" hidden="1"/>
    <cellStyle name="Hipervínculo visitado" xfId="4201" builtinId="9" hidden="1"/>
    <cellStyle name="Hipervínculo visitado" xfId="4203" builtinId="9" hidden="1"/>
    <cellStyle name="Hipervínculo visitado" xfId="4205" builtinId="9" hidden="1"/>
    <cellStyle name="Hipervínculo visitado" xfId="4207" builtinId="9" hidden="1"/>
    <cellStyle name="Hipervínculo visitado" xfId="4209" builtinId="9" hidden="1"/>
    <cellStyle name="Hipervínculo visitado" xfId="4211" builtinId="9" hidden="1"/>
    <cellStyle name="Hipervínculo visitado" xfId="4213" builtinId="9" hidden="1"/>
    <cellStyle name="Hipervínculo visitado" xfId="4215" builtinId="9" hidden="1"/>
    <cellStyle name="Hipervínculo visitado" xfId="4217" builtinId="9" hidden="1"/>
    <cellStyle name="Hipervínculo visitado" xfId="4219" builtinId="9" hidden="1"/>
    <cellStyle name="Hipervínculo visitado" xfId="4221" builtinId="9" hidden="1"/>
    <cellStyle name="Hipervínculo visitado" xfId="4223" builtinId="9" hidden="1"/>
    <cellStyle name="Hipervínculo visitado" xfId="4225" builtinId="9" hidden="1"/>
    <cellStyle name="Hipervínculo visitado" xfId="4227" builtinId="9" hidden="1"/>
    <cellStyle name="Hipervínculo visitado" xfId="4229" builtinId="9" hidden="1"/>
    <cellStyle name="Hipervínculo visitado" xfId="4231" builtinId="9" hidden="1"/>
    <cellStyle name="Hipervínculo visitado" xfId="4233" builtinId="9" hidden="1"/>
    <cellStyle name="Hipervínculo visitado" xfId="4235" builtinId="9" hidden="1"/>
    <cellStyle name="Hipervínculo visitado" xfId="4237" builtinId="9" hidden="1"/>
    <cellStyle name="Hipervínculo visitado" xfId="4239" builtinId="9" hidden="1"/>
    <cellStyle name="Hipervínculo visitado" xfId="4241" builtinId="9" hidden="1"/>
    <cellStyle name="Hipervínculo visitado" xfId="4243" builtinId="9" hidden="1"/>
    <cellStyle name="Hipervínculo visitado" xfId="4245" builtinId="9" hidden="1"/>
    <cellStyle name="Hipervínculo visitado" xfId="4247" builtinId="9" hidden="1"/>
    <cellStyle name="Hipervínculo visitado" xfId="4249" builtinId="9" hidden="1"/>
    <cellStyle name="Hipervínculo visitado" xfId="4251" builtinId="9" hidden="1"/>
    <cellStyle name="Hipervínculo visitado" xfId="4253" builtinId="9" hidden="1"/>
    <cellStyle name="Hipervínculo visitado" xfId="4255" builtinId="9" hidden="1"/>
    <cellStyle name="Hipervínculo visitado" xfId="4257" builtinId="9" hidden="1"/>
    <cellStyle name="Hipervínculo visitado" xfId="4259" builtinId="9" hidden="1"/>
    <cellStyle name="Hipervínculo visitado" xfId="4261" builtinId="9" hidden="1"/>
    <cellStyle name="Hipervínculo visitado" xfId="4263" builtinId="9" hidden="1"/>
    <cellStyle name="Hipervínculo visitado" xfId="4265" builtinId="9" hidden="1"/>
    <cellStyle name="Hipervínculo visitado" xfId="4267" builtinId="9" hidden="1"/>
    <cellStyle name="Hipervínculo visitado" xfId="4269" builtinId="9" hidden="1"/>
    <cellStyle name="Hipervínculo visitado" xfId="4271" builtinId="9" hidden="1"/>
    <cellStyle name="Hipervínculo visitado" xfId="4273" builtinId="9" hidden="1"/>
    <cellStyle name="Hipervínculo visitado" xfId="4275" builtinId="9" hidden="1"/>
    <cellStyle name="Hipervínculo visitado" xfId="4277" builtinId="9" hidden="1"/>
    <cellStyle name="Hipervínculo visitado" xfId="4279" builtinId="9" hidden="1"/>
    <cellStyle name="Hipervínculo visitado" xfId="4281" builtinId="9" hidden="1"/>
    <cellStyle name="Hipervínculo visitado" xfId="4283" builtinId="9" hidden="1"/>
    <cellStyle name="Hipervínculo visitado" xfId="4285" builtinId="9" hidden="1"/>
    <cellStyle name="Hipervínculo visitado" xfId="4287" builtinId="9" hidden="1"/>
    <cellStyle name="Hipervínculo visitado" xfId="4289" builtinId="9" hidden="1"/>
    <cellStyle name="Hipervínculo visitado" xfId="4291" builtinId="9" hidden="1"/>
    <cellStyle name="Hipervínculo visitado" xfId="4293" builtinId="9" hidden="1"/>
    <cellStyle name="Hipervínculo visitado" xfId="4295" builtinId="9" hidden="1"/>
    <cellStyle name="Hipervínculo visitado" xfId="4297" builtinId="9" hidden="1"/>
    <cellStyle name="Hipervínculo visitado" xfId="4299" builtinId="9" hidden="1"/>
    <cellStyle name="Hipervínculo visitado" xfId="4301" builtinId="9" hidden="1"/>
    <cellStyle name="Hipervínculo visitado" xfId="4303" builtinId="9" hidden="1"/>
    <cellStyle name="Hipervínculo visitado" xfId="4305" builtinId="9" hidden="1"/>
    <cellStyle name="Hipervínculo visitado" xfId="4307" builtinId="9" hidden="1"/>
    <cellStyle name="Hipervínculo visitado" xfId="4309" builtinId="9" hidden="1"/>
    <cellStyle name="Hipervínculo visitado" xfId="4311" builtinId="9" hidden="1"/>
    <cellStyle name="Hipervínculo visitado" xfId="4313" builtinId="9" hidden="1"/>
    <cellStyle name="Hipervínculo visitado" xfId="4315" builtinId="9" hidden="1"/>
    <cellStyle name="Hipervínculo visitado" xfId="4317" builtinId="9" hidden="1"/>
    <cellStyle name="Hipervínculo visitado" xfId="4319" builtinId="9" hidden="1"/>
    <cellStyle name="Hipervínculo visitado" xfId="4321" builtinId="9" hidden="1"/>
    <cellStyle name="Hipervínculo visitado" xfId="4323" builtinId="9" hidden="1"/>
    <cellStyle name="Hipervínculo visitado" xfId="4325" builtinId="9" hidden="1"/>
    <cellStyle name="Hipervínculo visitado" xfId="4327" builtinId="9" hidden="1"/>
    <cellStyle name="Hipervínculo visitado" xfId="4329" builtinId="9" hidden="1"/>
    <cellStyle name="Hipervínculo visitado" xfId="4331" builtinId="9" hidden="1"/>
    <cellStyle name="Hipervínculo visitado" xfId="4333" builtinId="9" hidden="1"/>
    <cellStyle name="Hipervínculo visitado" xfId="4335" builtinId="9" hidden="1"/>
    <cellStyle name="Hipervínculo visitado" xfId="4337" builtinId="9" hidden="1"/>
    <cellStyle name="Hipervínculo visitado" xfId="4339" builtinId="9" hidden="1"/>
    <cellStyle name="Hipervínculo visitado" xfId="4341" builtinId="9" hidden="1"/>
    <cellStyle name="Hipervínculo visitado" xfId="4343" builtinId="9" hidden="1"/>
    <cellStyle name="Hipervínculo visitado" xfId="4345" builtinId="9" hidden="1"/>
    <cellStyle name="Hipervínculo visitado" xfId="4347" builtinId="9" hidden="1"/>
    <cellStyle name="Hipervínculo visitado" xfId="4349" builtinId="9" hidden="1"/>
    <cellStyle name="Hipervínculo visitado" xfId="4351" builtinId="9" hidden="1"/>
    <cellStyle name="Hipervínculo visitado" xfId="4353" builtinId="9" hidden="1"/>
    <cellStyle name="Hipervínculo visitado" xfId="4355" builtinId="9" hidden="1"/>
    <cellStyle name="Hipervínculo visitado" xfId="4357" builtinId="9" hidden="1"/>
    <cellStyle name="Hipervínculo visitado" xfId="4359" builtinId="9" hidden="1"/>
    <cellStyle name="Hipervínculo visitado" xfId="4361" builtinId="9" hidden="1"/>
    <cellStyle name="Hipervínculo visitado" xfId="4363" builtinId="9" hidden="1"/>
    <cellStyle name="Hipervínculo visitado" xfId="4365" builtinId="9" hidden="1"/>
    <cellStyle name="Hipervínculo visitado" xfId="4367" builtinId="9" hidden="1"/>
    <cellStyle name="Hipervínculo visitado" xfId="4369" builtinId="9" hidden="1"/>
    <cellStyle name="Hipervínculo visitado" xfId="4371" builtinId="9" hidden="1"/>
    <cellStyle name="Hipervínculo visitado" xfId="4373" builtinId="9" hidden="1"/>
    <cellStyle name="Hipervínculo visitado" xfId="4375" builtinId="9" hidden="1"/>
    <cellStyle name="Hipervínculo visitado" xfId="4377" builtinId="9" hidden="1"/>
    <cellStyle name="Hipervínculo visitado" xfId="4379" builtinId="9" hidden="1"/>
    <cellStyle name="Hipervínculo visitado" xfId="4381" builtinId="9" hidden="1"/>
    <cellStyle name="Hipervínculo visitado" xfId="4383" builtinId="9" hidden="1"/>
    <cellStyle name="Hipervínculo visitado" xfId="4385" builtinId="9" hidden="1"/>
    <cellStyle name="Hipervínculo visitado" xfId="4387" builtinId="9" hidden="1"/>
    <cellStyle name="Hipervínculo visitado" xfId="4389" builtinId="9" hidden="1"/>
    <cellStyle name="Hipervínculo visitado" xfId="4391" builtinId="9" hidden="1"/>
    <cellStyle name="Hipervínculo visitado" xfId="4393" builtinId="9" hidden="1"/>
    <cellStyle name="Hipervínculo visitado" xfId="4395" builtinId="9" hidden="1"/>
    <cellStyle name="Hipervínculo visitado" xfId="4397" builtinId="9" hidden="1"/>
    <cellStyle name="Hipervínculo visitado" xfId="4399" builtinId="9" hidden="1"/>
    <cellStyle name="Hipervínculo visitado" xfId="4401" builtinId="9" hidden="1"/>
    <cellStyle name="Hipervínculo visitado" xfId="4403" builtinId="9" hidden="1"/>
    <cellStyle name="Hipervínculo visitado" xfId="4405" builtinId="9" hidden="1"/>
    <cellStyle name="Hipervínculo visitado" xfId="4407" builtinId="9" hidden="1"/>
    <cellStyle name="Hipervínculo visitado" xfId="4409" builtinId="9" hidden="1"/>
    <cellStyle name="Hipervínculo visitado" xfId="4411" builtinId="9" hidden="1"/>
    <cellStyle name="Hipervínculo visitado" xfId="4413" builtinId="9" hidden="1"/>
    <cellStyle name="Hipervínculo visitado" xfId="4415" builtinId="9" hidden="1"/>
    <cellStyle name="Hipervínculo visitado" xfId="4417" builtinId="9" hidden="1"/>
    <cellStyle name="Hipervínculo visitado" xfId="4419" builtinId="9" hidden="1"/>
    <cellStyle name="Hipervínculo visitado" xfId="4421" builtinId="9" hidden="1"/>
    <cellStyle name="Hipervínculo visitado" xfId="4423" builtinId="9" hidden="1"/>
    <cellStyle name="Hipervínculo visitado" xfId="4425" builtinId="9" hidden="1"/>
    <cellStyle name="Hipervínculo visitado" xfId="4427" builtinId="9" hidden="1"/>
    <cellStyle name="Hipervínculo visitado" xfId="4429" builtinId="9" hidden="1"/>
    <cellStyle name="Hipervínculo visitado" xfId="4431" builtinId="9" hidden="1"/>
    <cellStyle name="Hipervínculo visitado" xfId="4433" builtinId="9" hidden="1"/>
    <cellStyle name="Hipervínculo visitado" xfId="4435" builtinId="9" hidden="1"/>
    <cellStyle name="Hipervínculo visitado" xfId="4437" builtinId="9" hidden="1"/>
    <cellStyle name="Hipervínculo visitado" xfId="4439" builtinId="9" hidden="1"/>
    <cellStyle name="Hipervínculo visitado" xfId="4441" builtinId="9" hidden="1"/>
    <cellStyle name="Hipervínculo visitado" xfId="4443" builtinId="9" hidden="1"/>
    <cellStyle name="Hipervínculo visitado" xfId="4445" builtinId="9" hidden="1"/>
    <cellStyle name="Hipervínculo visitado" xfId="4447" builtinId="9" hidden="1"/>
    <cellStyle name="Hipervínculo visitado" xfId="4449" builtinId="9" hidden="1"/>
    <cellStyle name="Hipervínculo visitado" xfId="4451" builtinId="9" hidden="1"/>
    <cellStyle name="Hipervínculo visitado" xfId="4453" builtinId="9" hidden="1"/>
    <cellStyle name="Hipervínculo visitado" xfId="4455" builtinId="9" hidden="1"/>
    <cellStyle name="Hipervínculo visitado" xfId="4457" builtinId="9" hidden="1"/>
    <cellStyle name="Hipervínculo visitado" xfId="4459" builtinId="9" hidden="1"/>
    <cellStyle name="Hipervínculo visitado" xfId="4461" builtinId="9" hidden="1"/>
    <cellStyle name="Hipervínculo visitado" xfId="4463" builtinId="9" hidden="1"/>
    <cellStyle name="Hipervínculo visitado" xfId="4465" builtinId="9" hidden="1"/>
    <cellStyle name="Hipervínculo visitado" xfId="4467" builtinId="9" hidden="1"/>
    <cellStyle name="Hipervínculo visitado" xfId="4469" builtinId="9" hidden="1"/>
    <cellStyle name="Hipervínculo visitado" xfId="4471" builtinId="9" hidden="1"/>
    <cellStyle name="Hipervínculo visitado" xfId="4473" builtinId="9" hidden="1"/>
    <cellStyle name="Hipervínculo visitado" xfId="4475" builtinId="9" hidden="1"/>
    <cellStyle name="Hipervínculo visitado" xfId="4477" builtinId="9" hidden="1"/>
    <cellStyle name="Hipervínculo visitado" xfId="4479" builtinId="9" hidden="1"/>
    <cellStyle name="Hipervínculo visitado" xfId="4481" builtinId="9" hidden="1"/>
    <cellStyle name="Hipervínculo visitado" xfId="4483" builtinId="9" hidden="1"/>
    <cellStyle name="Hipervínculo visitado" xfId="4485" builtinId="9" hidden="1"/>
    <cellStyle name="Hipervínculo visitado" xfId="4487" builtinId="9" hidden="1"/>
    <cellStyle name="Hipervínculo visitado" xfId="4489" builtinId="9" hidden="1"/>
    <cellStyle name="Hipervínculo visitado" xfId="4491" builtinId="9" hidden="1"/>
    <cellStyle name="Hipervínculo visitado" xfId="4493" builtinId="9" hidden="1"/>
    <cellStyle name="Hipervínculo visitado" xfId="4495" builtinId="9" hidden="1"/>
    <cellStyle name="Hipervínculo visitado" xfId="4497" builtinId="9" hidden="1"/>
    <cellStyle name="Hipervínculo visitado" xfId="4499" builtinId="9" hidden="1"/>
    <cellStyle name="Hipervínculo visitado" xfId="4501" builtinId="9" hidden="1"/>
    <cellStyle name="Hipervínculo visitado" xfId="4503" builtinId="9" hidden="1"/>
    <cellStyle name="Hipervínculo visitado" xfId="4505" builtinId="9" hidden="1"/>
    <cellStyle name="Hipervínculo visitado" xfId="4507" builtinId="9" hidden="1"/>
    <cellStyle name="Hipervínculo visitado" xfId="4509" builtinId="9" hidden="1"/>
    <cellStyle name="Hipervínculo visitado" xfId="4511" builtinId="9" hidden="1"/>
    <cellStyle name="Hipervínculo visitado" xfId="4513" builtinId="9" hidden="1"/>
    <cellStyle name="Hipervínculo visitado" xfId="4515" builtinId="9" hidden="1"/>
    <cellStyle name="Hipervínculo visitado" xfId="4517" builtinId="9" hidden="1"/>
    <cellStyle name="Hipervínculo visitado" xfId="4519" builtinId="9" hidden="1"/>
    <cellStyle name="Hipervínculo visitado" xfId="4521" builtinId="9" hidden="1"/>
    <cellStyle name="Hipervínculo visitado" xfId="4523" builtinId="9" hidden="1"/>
    <cellStyle name="Hipervínculo visitado" xfId="4525" builtinId="9" hidden="1"/>
    <cellStyle name="Hipervínculo visitado" xfId="4527" builtinId="9" hidden="1"/>
    <cellStyle name="Hipervínculo visitado" xfId="4529" builtinId="9" hidden="1"/>
    <cellStyle name="Hipervínculo visitado" xfId="4531" builtinId="9" hidden="1"/>
    <cellStyle name="Hipervínculo visitado" xfId="4533" builtinId="9" hidden="1"/>
    <cellStyle name="Hipervínculo visitado" xfId="4535" builtinId="9" hidden="1"/>
    <cellStyle name="Hipervínculo visitado" xfId="4537" builtinId="9" hidden="1"/>
    <cellStyle name="Hipervínculo visitado" xfId="4539" builtinId="9" hidden="1"/>
    <cellStyle name="Hipervínculo visitado" xfId="4541" builtinId="9" hidden="1"/>
    <cellStyle name="Hipervínculo visitado" xfId="4543" builtinId="9" hidden="1"/>
    <cellStyle name="Hipervínculo visitado" xfId="4545" builtinId="9" hidden="1"/>
    <cellStyle name="Hipervínculo visitado" xfId="4547" builtinId="9" hidden="1"/>
    <cellStyle name="Hipervínculo visitado" xfId="4549" builtinId="9" hidden="1"/>
    <cellStyle name="Hipervínculo visitado" xfId="4551" builtinId="9" hidden="1"/>
    <cellStyle name="Hipervínculo visitado" xfId="4553" builtinId="9" hidden="1"/>
    <cellStyle name="Hipervínculo visitado" xfId="4555" builtinId="9" hidden="1"/>
    <cellStyle name="Hipervínculo visitado" xfId="4557" builtinId="9" hidden="1"/>
    <cellStyle name="Hipervínculo visitado" xfId="4559" builtinId="9" hidden="1"/>
    <cellStyle name="Hipervínculo visitado" xfId="4561" builtinId="9" hidden="1"/>
    <cellStyle name="Hipervínculo visitado" xfId="4563" builtinId="9" hidden="1"/>
    <cellStyle name="Hipervínculo visitado" xfId="4565" builtinId="9" hidden="1"/>
    <cellStyle name="Hipervínculo visitado" xfId="4567" builtinId="9" hidden="1"/>
    <cellStyle name="Hipervínculo visitado" xfId="4569" builtinId="9" hidden="1"/>
    <cellStyle name="Hipervínculo visitado" xfId="4571" builtinId="9" hidden="1"/>
    <cellStyle name="Hipervínculo visitado" xfId="4573" builtinId="9" hidden="1"/>
    <cellStyle name="Hipervínculo visitado" xfId="4575" builtinId="9" hidden="1"/>
    <cellStyle name="Hipervínculo visitado" xfId="4577" builtinId="9" hidden="1"/>
    <cellStyle name="Hipervínculo visitado" xfId="4579" builtinId="9" hidden="1"/>
    <cellStyle name="Hipervínculo visitado" xfId="4581" builtinId="9" hidden="1"/>
    <cellStyle name="Hipervínculo visitado" xfId="4583" builtinId="9" hidden="1"/>
    <cellStyle name="Hipervínculo visitado" xfId="4585" builtinId="9" hidden="1"/>
    <cellStyle name="Hipervínculo visitado" xfId="4587" builtinId="9" hidden="1"/>
    <cellStyle name="Hipervínculo visitado" xfId="4589" builtinId="9" hidden="1"/>
    <cellStyle name="Hipervínculo visitado" xfId="4591" builtinId="9" hidden="1"/>
    <cellStyle name="Hipervínculo visitado" xfId="4593" builtinId="9" hidden="1"/>
    <cellStyle name="Hipervínculo visitado" xfId="4595" builtinId="9" hidden="1"/>
    <cellStyle name="Hipervínculo visitado" xfId="4597" builtinId="9" hidden="1"/>
    <cellStyle name="Hipervínculo visitado" xfId="4599" builtinId="9" hidden="1"/>
    <cellStyle name="Hipervínculo visitado" xfId="4601" builtinId="9" hidden="1"/>
    <cellStyle name="Hipervínculo visitado" xfId="4603" builtinId="9" hidden="1"/>
    <cellStyle name="Hipervínculo visitado" xfId="4605" builtinId="9" hidden="1"/>
    <cellStyle name="Hipervínculo visitado" xfId="4607" builtinId="9" hidden="1"/>
    <cellStyle name="Hipervínculo visitado" xfId="4609" builtinId="9" hidden="1"/>
    <cellStyle name="Hipervínculo visitado" xfId="4611" builtinId="9" hidden="1"/>
    <cellStyle name="Hipervínculo visitado" xfId="4613" builtinId="9" hidden="1"/>
    <cellStyle name="Hipervínculo visitado" xfId="4615" builtinId="9" hidden="1"/>
    <cellStyle name="Hipervínculo visitado" xfId="4617" builtinId="9" hidden="1"/>
    <cellStyle name="Hipervínculo visitado" xfId="4619" builtinId="9" hidden="1"/>
    <cellStyle name="Hipervínculo visitado" xfId="4621" builtinId="9" hidden="1"/>
    <cellStyle name="Hipervínculo visitado" xfId="4623" builtinId="9" hidden="1"/>
    <cellStyle name="Hipervínculo visitado" xfId="4625" builtinId="9" hidden="1"/>
    <cellStyle name="Hipervínculo visitado" xfId="4627" builtinId="9" hidden="1"/>
    <cellStyle name="Hipervínculo visitado" xfId="4629" builtinId="9" hidden="1"/>
    <cellStyle name="Hipervínculo visitado" xfId="4631" builtinId="9" hidden="1"/>
    <cellStyle name="Hipervínculo visitado" xfId="4633" builtinId="9" hidden="1"/>
    <cellStyle name="Hipervínculo visitado" xfId="4635" builtinId="9" hidden="1"/>
    <cellStyle name="Hipervínculo visitado" xfId="4637" builtinId="9" hidden="1"/>
    <cellStyle name="Hipervínculo visitado" xfId="4639" builtinId="9" hidden="1"/>
    <cellStyle name="Hipervínculo visitado" xfId="4641" builtinId="9" hidden="1"/>
    <cellStyle name="Hipervínculo visitado" xfId="4643" builtinId="9" hidden="1"/>
    <cellStyle name="Hipervínculo visitado" xfId="4645" builtinId="9" hidden="1"/>
    <cellStyle name="Hipervínculo visitado" xfId="4647" builtinId="9" hidden="1"/>
    <cellStyle name="Hipervínculo visitado" xfId="4649" builtinId="9" hidden="1"/>
    <cellStyle name="Hipervínculo visitado" xfId="4651" builtinId="9" hidden="1"/>
    <cellStyle name="Hipervínculo visitado" xfId="4653" builtinId="9" hidden="1"/>
    <cellStyle name="Hipervínculo visitado" xfId="4655" builtinId="9" hidden="1"/>
    <cellStyle name="Hipervínculo visitado" xfId="4657" builtinId="9" hidden="1"/>
    <cellStyle name="Hipervínculo visitado" xfId="4659" builtinId="9" hidden="1"/>
    <cellStyle name="Hipervínculo visitado" xfId="4661" builtinId="9" hidden="1"/>
    <cellStyle name="Hipervínculo visitado" xfId="4663" builtinId="9" hidden="1"/>
    <cellStyle name="Hipervínculo visitado" xfId="4665" builtinId="9" hidden="1"/>
    <cellStyle name="Hipervínculo visitado" xfId="4667" builtinId="9" hidden="1"/>
    <cellStyle name="Hipervínculo visitado" xfId="4669" builtinId="9" hidden="1"/>
    <cellStyle name="Hipervínculo visitado" xfId="4671" builtinId="9" hidden="1"/>
    <cellStyle name="Hipervínculo visitado" xfId="4673" builtinId="9" hidden="1"/>
    <cellStyle name="Hipervínculo visitado" xfId="4675" builtinId="9" hidden="1"/>
    <cellStyle name="Hipervínculo visitado" xfId="4677" builtinId="9" hidden="1"/>
    <cellStyle name="Hipervínculo visitado" xfId="4679" builtinId="9" hidden="1"/>
    <cellStyle name="Hipervínculo visitado" xfId="4681" builtinId="9" hidden="1"/>
    <cellStyle name="Hipervínculo visitado" xfId="4683" builtinId="9" hidden="1"/>
    <cellStyle name="Hipervínculo visitado" xfId="4685" builtinId="9" hidden="1"/>
    <cellStyle name="Hipervínculo visitado" xfId="4687" builtinId="9" hidden="1"/>
    <cellStyle name="Hipervínculo visitado" xfId="4689" builtinId="9" hidden="1"/>
    <cellStyle name="Hipervínculo visitado" xfId="4691" builtinId="9" hidden="1"/>
    <cellStyle name="Hipervínculo visitado" xfId="4693" builtinId="9" hidden="1"/>
    <cellStyle name="Hipervínculo visitado" xfId="4695" builtinId="9" hidden="1"/>
    <cellStyle name="Hipervínculo visitado" xfId="4697" builtinId="9" hidden="1"/>
    <cellStyle name="Hipervínculo visitado" xfId="4699" builtinId="9" hidden="1"/>
    <cellStyle name="Hipervínculo visitado" xfId="4701" builtinId="9" hidden="1"/>
    <cellStyle name="Hipervínculo visitado" xfId="4703" builtinId="9" hidden="1"/>
    <cellStyle name="Hipervínculo visitado" xfId="4705" builtinId="9" hidden="1"/>
    <cellStyle name="Hipervínculo visitado" xfId="4707" builtinId="9" hidden="1"/>
    <cellStyle name="Hipervínculo visitado" xfId="4709" builtinId="9" hidden="1"/>
    <cellStyle name="Hipervínculo visitado" xfId="4711" builtinId="9" hidden="1"/>
    <cellStyle name="Hipervínculo visitado" xfId="4713" builtinId="9" hidden="1"/>
    <cellStyle name="Hipervínculo visitado" xfId="4715" builtinId="9" hidden="1"/>
    <cellStyle name="Hipervínculo visitado" xfId="4717" builtinId="9" hidden="1"/>
    <cellStyle name="Hipervínculo visitado" xfId="4719" builtinId="9" hidden="1"/>
    <cellStyle name="Hipervínculo visitado" xfId="4721" builtinId="9" hidden="1"/>
    <cellStyle name="Hipervínculo visitado" xfId="4723" builtinId="9" hidden="1"/>
    <cellStyle name="Hipervínculo visitado" xfId="4725" builtinId="9" hidden="1"/>
    <cellStyle name="Hipervínculo visitado" xfId="4727" builtinId="9" hidden="1"/>
    <cellStyle name="Hipervínculo visitado" xfId="4729" builtinId="9" hidden="1"/>
    <cellStyle name="Hipervínculo visitado" xfId="4731" builtinId="9" hidden="1"/>
    <cellStyle name="Hipervínculo visitado" xfId="4733" builtinId="9" hidden="1"/>
    <cellStyle name="Hipervínculo visitado" xfId="4735" builtinId="9" hidden="1"/>
    <cellStyle name="Hipervínculo visitado" xfId="4737" builtinId="9" hidden="1"/>
    <cellStyle name="Hipervínculo visitado" xfId="4739" builtinId="9" hidden="1"/>
    <cellStyle name="Hipervínculo visitado" xfId="4741" builtinId="9" hidden="1"/>
    <cellStyle name="Hipervínculo visitado" xfId="4743" builtinId="9" hidden="1"/>
    <cellStyle name="Hipervínculo visitado" xfId="4745" builtinId="9" hidden="1"/>
    <cellStyle name="Hipervínculo visitado" xfId="4747" builtinId="9" hidden="1"/>
    <cellStyle name="Hipervínculo visitado" xfId="4749" builtinId="9" hidden="1"/>
    <cellStyle name="Hipervínculo visitado" xfId="4751" builtinId="9" hidden="1"/>
    <cellStyle name="Hipervínculo visitado" xfId="4753" builtinId="9" hidden="1"/>
    <cellStyle name="Hipervínculo visitado" xfId="4755" builtinId="9" hidden="1"/>
    <cellStyle name="Hipervínculo visitado" xfId="4757" builtinId="9" hidden="1"/>
    <cellStyle name="Hipervínculo visitado" xfId="4759" builtinId="9" hidden="1"/>
    <cellStyle name="Hipervínculo visitado" xfId="4761" builtinId="9" hidden="1"/>
    <cellStyle name="Hipervínculo visitado" xfId="4763" builtinId="9" hidden="1"/>
    <cellStyle name="Hipervínculo visitado" xfId="4765" builtinId="9" hidden="1"/>
    <cellStyle name="Hipervínculo visitado" xfId="4767" builtinId="9" hidden="1"/>
    <cellStyle name="Hipervínculo visitado" xfId="4769" builtinId="9" hidden="1"/>
    <cellStyle name="Hipervínculo visitado" xfId="4771" builtinId="9" hidden="1"/>
    <cellStyle name="Hipervínculo visitado" xfId="4773" builtinId="9" hidden="1"/>
    <cellStyle name="Hipervínculo visitado" xfId="4775" builtinId="9" hidden="1"/>
    <cellStyle name="Hipervínculo visitado" xfId="4777" builtinId="9" hidden="1"/>
    <cellStyle name="Hipervínculo visitado" xfId="4779" builtinId="9" hidden="1"/>
    <cellStyle name="Hipervínculo visitado" xfId="4781" builtinId="9" hidden="1"/>
    <cellStyle name="Hipervínculo visitado" xfId="4783" builtinId="9" hidden="1"/>
    <cellStyle name="Hipervínculo visitado" xfId="4785" builtinId="9" hidden="1"/>
    <cellStyle name="Hipervínculo visitado" xfId="4787" builtinId="9" hidden="1"/>
    <cellStyle name="Hipervínculo visitado" xfId="4789" builtinId="9" hidden="1"/>
    <cellStyle name="Hipervínculo visitado" xfId="4791" builtinId="9" hidden="1"/>
    <cellStyle name="Hipervínculo visitado" xfId="4793" builtinId="9" hidden="1"/>
    <cellStyle name="Hipervínculo visitado" xfId="4795" builtinId="9" hidden="1"/>
    <cellStyle name="Hipervínculo visitado" xfId="4797" builtinId="9" hidden="1"/>
    <cellStyle name="Hipervínculo visitado" xfId="4799" builtinId="9" hidden="1"/>
    <cellStyle name="Hipervínculo visitado" xfId="4801" builtinId="9" hidden="1"/>
    <cellStyle name="Hipervínculo visitado" xfId="4803" builtinId="9" hidden="1"/>
    <cellStyle name="Hipervínculo visitado" xfId="4805" builtinId="9" hidden="1"/>
    <cellStyle name="Hipervínculo visitado" xfId="4807" builtinId="9" hidden="1"/>
    <cellStyle name="Hipervínculo visitado" xfId="4809" builtinId="9" hidden="1"/>
    <cellStyle name="Hipervínculo visitado" xfId="4811" builtinId="9" hidden="1"/>
    <cellStyle name="Hipervínculo visitado" xfId="4813" builtinId="9" hidden="1"/>
    <cellStyle name="Hipervínculo visitado" xfId="4815" builtinId="9" hidden="1"/>
    <cellStyle name="Hipervínculo visitado" xfId="4817" builtinId="9" hidden="1"/>
    <cellStyle name="Hipervínculo visitado" xfId="4819" builtinId="9" hidden="1"/>
    <cellStyle name="Hipervínculo visitado" xfId="4821" builtinId="9" hidden="1"/>
    <cellStyle name="Hipervínculo visitado" xfId="4823" builtinId="9" hidden="1"/>
    <cellStyle name="Hipervínculo visitado" xfId="4825" builtinId="9" hidden="1"/>
    <cellStyle name="Hipervínculo visitado" xfId="4827" builtinId="9" hidden="1"/>
    <cellStyle name="Hipervínculo visitado" xfId="4829" builtinId="9" hidden="1"/>
    <cellStyle name="Hipervínculo visitado" xfId="4831" builtinId="9" hidden="1"/>
    <cellStyle name="Hipervínculo visitado" xfId="4833" builtinId="9" hidden="1"/>
    <cellStyle name="Hipervínculo visitado" xfId="4835" builtinId="9" hidden="1"/>
    <cellStyle name="Hipervínculo visitado" xfId="4837" builtinId="9" hidden="1"/>
    <cellStyle name="Hipervínculo visitado" xfId="4839" builtinId="9" hidden="1"/>
    <cellStyle name="Hipervínculo visitado" xfId="4841" builtinId="9" hidden="1"/>
    <cellStyle name="Hipervínculo visitado" xfId="4843" builtinId="9" hidden="1"/>
    <cellStyle name="Hipervínculo visitado" xfId="4845" builtinId="9" hidden="1"/>
    <cellStyle name="Hipervínculo visitado" xfId="4847" builtinId="9" hidden="1"/>
    <cellStyle name="Hipervínculo visitado" xfId="4849" builtinId="9" hidden="1"/>
    <cellStyle name="Hipervínculo visitado" xfId="4851" builtinId="9" hidden="1"/>
    <cellStyle name="Hipervínculo visitado" xfId="4853" builtinId="9" hidden="1"/>
    <cellStyle name="Hipervínculo visitado" xfId="4855" builtinId="9" hidden="1"/>
    <cellStyle name="Hipervínculo visitado" xfId="4857" builtinId="9" hidden="1"/>
    <cellStyle name="Hipervínculo visitado" xfId="4859" builtinId="9" hidden="1"/>
    <cellStyle name="Hipervínculo visitado" xfId="4861" builtinId="9" hidden="1"/>
    <cellStyle name="Hipervínculo visitado" xfId="4863" builtinId="9" hidden="1"/>
    <cellStyle name="Hipervínculo visitado" xfId="4865" builtinId="9" hidden="1"/>
    <cellStyle name="Hipervínculo visitado" xfId="4867" builtinId="9" hidden="1"/>
    <cellStyle name="Hipervínculo visitado" xfId="4869" builtinId="9" hidden="1"/>
    <cellStyle name="Hipervínculo visitado" xfId="4871" builtinId="9" hidden="1"/>
    <cellStyle name="Hipervínculo visitado" xfId="4873" builtinId="9" hidden="1"/>
    <cellStyle name="Hipervínculo visitado" xfId="4875" builtinId="9" hidden="1"/>
    <cellStyle name="Hipervínculo visitado" xfId="4877" builtinId="9" hidden="1"/>
    <cellStyle name="Hipervínculo visitado" xfId="4879" builtinId="9" hidden="1"/>
    <cellStyle name="Hipervínculo visitado" xfId="4881" builtinId="9" hidden="1"/>
    <cellStyle name="Hipervínculo visitado" xfId="4883" builtinId="9" hidden="1"/>
    <cellStyle name="Hipervínculo visitado" xfId="4885" builtinId="9" hidden="1"/>
    <cellStyle name="Hipervínculo visitado" xfId="4887" builtinId="9" hidden="1"/>
    <cellStyle name="Hipervínculo visitado" xfId="4889" builtinId="9" hidden="1"/>
    <cellStyle name="Hipervínculo visitado" xfId="4891" builtinId="9" hidden="1"/>
    <cellStyle name="Hipervínculo visitado" xfId="4893" builtinId="9" hidden="1"/>
    <cellStyle name="Hipervínculo visitado" xfId="4895" builtinId="9" hidden="1"/>
    <cellStyle name="Hipervínculo visitado" xfId="4897" builtinId="9" hidden="1"/>
    <cellStyle name="Hipervínculo visitado" xfId="4899" builtinId="9" hidden="1"/>
    <cellStyle name="Hipervínculo visitado" xfId="4901" builtinId="9" hidden="1"/>
    <cellStyle name="Hipervínculo visitado" xfId="4903" builtinId="9" hidden="1"/>
    <cellStyle name="Hipervínculo visitado" xfId="4905" builtinId="9" hidden="1"/>
    <cellStyle name="Hipervínculo visitado" xfId="4907" builtinId="9" hidden="1"/>
    <cellStyle name="Hipervínculo visitado" xfId="4909" builtinId="9" hidden="1"/>
    <cellStyle name="Hipervínculo visitado" xfId="4911" builtinId="9" hidden="1"/>
    <cellStyle name="Hipervínculo visitado" xfId="4913" builtinId="9" hidden="1"/>
    <cellStyle name="Hipervínculo visitado" xfId="4915" builtinId="9" hidden="1"/>
    <cellStyle name="Hipervínculo visitado" xfId="4917" builtinId="9" hidden="1"/>
    <cellStyle name="Hipervínculo visitado" xfId="4919" builtinId="9" hidden="1"/>
    <cellStyle name="Hipervínculo visitado" xfId="4921" builtinId="9" hidden="1"/>
    <cellStyle name="Hipervínculo visitado" xfId="4923" builtinId="9" hidden="1"/>
    <cellStyle name="Hipervínculo visitado" xfId="4925" builtinId="9" hidden="1"/>
    <cellStyle name="Hipervínculo visitado" xfId="4927" builtinId="9" hidden="1"/>
    <cellStyle name="Hipervínculo visitado" xfId="4929" builtinId="9" hidden="1"/>
    <cellStyle name="Hipervínculo visitado" xfId="4931" builtinId="9" hidden="1"/>
    <cellStyle name="Hipervínculo visitado" xfId="4933" builtinId="9" hidden="1"/>
    <cellStyle name="Hipervínculo visitado" xfId="4935" builtinId="9" hidden="1"/>
    <cellStyle name="Hipervínculo visitado" xfId="4937" builtinId="9" hidden="1"/>
    <cellStyle name="Hipervínculo visitado" xfId="4939" builtinId="9" hidden="1"/>
    <cellStyle name="Hipervínculo visitado" xfId="4941" builtinId="9" hidden="1"/>
    <cellStyle name="Hipervínculo visitado" xfId="4943" builtinId="9" hidden="1"/>
    <cellStyle name="Hipervínculo visitado" xfId="4945" builtinId="9" hidden="1"/>
    <cellStyle name="Hipervínculo visitado" xfId="4947" builtinId="9" hidden="1"/>
    <cellStyle name="Hipervínculo visitado" xfId="4949" builtinId="9" hidden="1"/>
    <cellStyle name="Hipervínculo visitado" xfId="4951" builtinId="9" hidden="1"/>
    <cellStyle name="Hipervínculo visitado" xfId="4953" builtinId="9" hidden="1"/>
    <cellStyle name="Hipervínculo visitado" xfId="4955" builtinId="9" hidden="1"/>
    <cellStyle name="Hipervínculo visitado" xfId="4957" builtinId="9" hidden="1"/>
    <cellStyle name="Hipervínculo visitado" xfId="4959" builtinId="9" hidden="1"/>
    <cellStyle name="Hipervínculo visitado" xfId="4961" builtinId="9" hidden="1"/>
    <cellStyle name="Hipervínculo visitado" xfId="4963" builtinId="9" hidden="1"/>
    <cellStyle name="Hipervínculo visitado" xfId="4965" builtinId="9" hidden="1"/>
    <cellStyle name="Hipervínculo visitado" xfId="4967" builtinId="9" hidden="1"/>
    <cellStyle name="Hipervínculo visitado" xfId="4969" builtinId="9" hidden="1"/>
    <cellStyle name="Hipervínculo visitado" xfId="4971" builtinId="9" hidden="1"/>
    <cellStyle name="Hipervínculo visitado" xfId="4973" builtinId="9" hidden="1"/>
    <cellStyle name="Hipervínculo visitado" xfId="4975" builtinId="9" hidden="1"/>
    <cellStyle name="Hipervínculo visitado" xfId="4977" builtinId="9" hidden="1"/>
    <cellStyle name="Hipervínculo visitado" xfId="4979" builtinId="9" hidden="1"/>
    <cellStyle name="Hipervínculo visitado" xfId="4981" builtinId="9" hidden="1"/>
    <cellStyle name="Hipervínculo visitado" xfId="4983" builtinId="9" hidden="1"/>
    <cellStyle name="Hipervínculo visitado" xfId="4985" builtinId="9" hidden="1"/>
    <cellStyle name="Hipervínculo visitado" xfId="4987" builtinId="9" hidden="1"/>
    <cellStyle name="Hipervínculo visitado" xfId="4989" builtinId="9" hidden="1"/>
    <cellStyle name="Hipervínculo visitado" xfId="4991" builtinId="9" hidden="1"/>
    <cellStyle name="Hipervínculo visitado" xfId="4993" builtinId="9" hidden="1"/>
    <cellStyle name="Hipervínculo visitado" xfId="4995" builtinId="9" hidden="1"/>
    <cellStyle name="Hipervínculo visitado" xfId="4997" builtinId="9" hidden="1"/>
    <cellStyle name="Hipervínculo visitado" xfId="4999" builtinId="9" hidden="1"/>
    <cellStyle name="Hipervínculo visitado" xfId="5001" builtinId="9" hidden="1"/>
    <cellStyle name="Hipervínculo visitado" xfId="5003" builtinId="9" hidden="1"/>
    <cellStyle name="Hipervínculo visitado" xfId="5005" builtinId="9" hidden="1"/>
    <cellStyle name="Hipervínculo visitado" xfId="5007" builtinId="9" hidden="1"/>
    <cellStyle name="Hipervínculo visitado" xfId="5009" builtinId="9" hidden="1"/>
    <cellStyle name="Hipervínculo visitado" xfId="5011" builtinId="9" hidden="1"/>
    <cellStyle name="Hipervínculo visitado" xfId="5013" builtinId="9" hidden="1"/>
    <cellStyle name="Hipervínculo visitado" xfId="5015" builtinId="9" hidden="1"/>
    <cellStyle name="Hipervínculo visitado" xfId="5017" builtinId="9" hidden="1"/>
    <cellStyle name="Hipervínculo visitado" xfId="5019" builtinId="9" hidden="1"/>
    <cellStyle name="Hipervínculo visitado" xfId="5021" builtinId="9" hidden="1"/>
    <cellStyle name="Hipervínculo visitado" xfId="5023" builtinId="9" hidden="1"/>
    <cellStyle name="Hipervínculo visitado" xfId="5025" builtinId="9" hidden="1"/>
    <cellStyle name="Hipervínculo visitado" xfId="5027" builtinId="9" hidden="1"/>
    <cellStyle name="Hipervínculo visitado" xfId="5029" builtinId="9" hidden="1"/>
    <cellStyle name="Hipervínculo visitado" xfId="5031" builtinId="9" hidden="1"/>
    <cellStyle name="Hipervínculo visitado" xfId="5033" builtinId="9" hidden="1"/>
    <cellStyle name="Hipervínculo visitado" xfId="5035" builtinId="9" hidden="1"/>
    <cellStyle name="Hipervínculo visitado" xfId="5037" builtinId="9" hidden="1"/>
    <cellStyle name="Hipervínculo visitado" xfId="5039" builtinId="9" hidden="1"/>
    <cellStyle name="Hipervínculo visitado" xfId="5041" builtinId="9" hidden="1"/>
    <cellStyle name="Hipervínculo visitado" xfId="5043" builtinId="9" hidden="1"/>
    <cellStyle name="Hipervínculo visitado" xfId="5045" builtinId="9" hidden="1"/>
    <cellStyle name="Hipervínculo visitado" xfId="5047" builtinId="9" hidden="1"/>
    <cellStyle name="Hipervínculo visitado" xfId="5049" builtinId="9" hidden="1"/>
    <cellStyle name="Hipervínculo visitado" xfId="5051" builtinId="9" hidden="1"/>
    <cellStyle name="Hipervínculo visitado" xfId="5053" builtinId="9" hidden="1"/>
    <cellStyle name="Hipervínculo visitado" xfId="5055" builtinId="9" hidden="1"/>
    <cellStyle name="Hipervínculo visitado" xfId="5057" builtinId="9" hidden="1"/>
    <cellStyle name="Hipervínculo visitado" xfId="5059" builtinId="9" hidden="1"/>
    <cellStyle name="Hipervínculo visitado" xfId="5061" builtinId="9" hidden="1"/>
    <cellStyle name="Hipervínculo visitado" xfId="5063" builtinId="9" hidden="1"/>
    <cellStyle name="Hipervínculo visitado" xfId="5065" builtinId="9" hidden="1"/>
    <cellStyle name="Hipervínculo visitado" xfId="5067" builtinId="9" hidden="1"/>
    <cellStyle name="Hipervínculo visitado" xfId="5069" builtinId="9" hidden="1"/>
    <cellStyle name="Hipervínculo visitado" xfId="5071" builtinId="9" hidden="1"/>
    <cellStyle name="Hipervínculo visitado" xfId="5073" builtinId="9" hidden="1"/>
    <cellStyle name="Hipervínculo visitado" xfId="5075" builtinId="9" hidden="1"/>
    <cellStyle name="Hipervínculo visitado" xfId="5077" builtinId="9" hidden="1"/>
    <cellStyle name="Hipervínculo visitado" xfId="5079" builtinId="9" hidden="1"/>
    <cellStyle name="Hipervínculo visitado" xfId="5081" builtinId="9" hidden="1"/>
    <cellStyle name="Hipervínculo visitado" xfId="5083" builtinId="9" hidden="1"/>
    <cellStyle name="Hipervínculo visitado" xfId="5085" builtinId="9" hidden="1"/>
    <cellStyle name="Hipervínculo visitado" xfId="5087" builtinId="9" hidden="1"/>
    <cellStyle name="Hipervínculo visitado" xfId="5089" builtinId="9" hidden="1"/>
    <cellStyle name="Hipervínculo visitado" xfId="5091" builtinId="9" hidden="1"/>
    <cellStyle name="Hipervínculo visitado" xfId="5093" builtinId="9" hidden="1"/>
    <cellStyle name="Hipervínculo visitado" xfId="5095" builtinId="9" hidden="1"/>
    <cellStyle name="Hipervínculo visitado" xfId="5097" builtinId="9" hidden="1"/>
    <cellStyle name="Hipervínculo visitado" xfId="5099" builtinId="9" hidden="1"/>
    <cellStyle name="Hipervínculo visitado" xfId="5101" builtinId="9" hidden="1"/>
    <cellStyle name="Hipervínculo visitado" xfId="5103" builtinId="9" hidden="1"/>
    <cellStyle name="Hipervínculo visitado" xfId="5105" builtinId="9" hidden="1"/>
    <cellStyle name="Hipervínculo visitado" xfId="5107" builtinId="9" hidden="1"/>
    <cellStyle name="Hipervínculo visitado" xfId="5109" builtinId="9" hidden="1"/>
    <cellStyle name="Hipervínculo visitado" xfId="5111" builtinId="9" hidden="1"/>
    <cellStyle name="Hipervínculo visitado" xfId="5113" builtinId="9" hidden="1"/>
    <cellStyle name="Hipervínculo visitado" xfId="5115" builtinId="9" hidden="1"/>
    <cellStyle name="Hipervínculo visitado" xfId="5117" builtinId="9" hidden="1"/>
    <cellStyle name="Hipervínculo visitado" xfId="5119" builtinId="9" hidden="1"/>
    <cellStyle name="Hipervínculo visitado" xfId="5121" builtinId="9" hidden="1"/>
    <cellStyle name="Hipervínculo visitado" xfId="5123" builtinId="9" hidden="1"/>
    <cellStyle name="Hipervínculo visitado" xfId="5125" builtinId="9" hidden="1"/>
    <cellStyle name="Hipervínculo visitado" xfId="5127" builtinId="9" hidden="1"/>
    <cellStyle name="Hipervínculo visitado" xfId="5129" builtinId="9" hidden="1"/>
    <cellStyle name="Hipervínculo visitado" xfId="5131" builtinId="9" hidden="1"/>
    <cellStyle name="Hipervínculo visitado" xfId="5133" builtinId="9" hidden="1"/>
    <cellStyle name="Hipervínculo visitado" xfId="5135" builtinId="9" hidden="1"/>
    <cellStyle name="Hipervínculo visitado" xfId="5137" builtinId="9" hidden="1"/>
    <cellStyle name="Hipervínculo visitado" xfId="5139" builtinId="9" hidden="1"/>
    <cellStyle name="Hipervínculo visitado" xfId="5141" builtinId="9" hidden="1"/>
    <cellStyle name="Hipervínculo visitado" xfId="5143" builtinId="9" hidden="1"/>
    <cellStyle name="Hipervínculo visitado" xfId="5145" builtinId="9" hidden="1"/>
    <cellStyle name="Hipervínculo visitado" xfId="5147" builtinId="9" hidden="1"/>
    <cellStyle name="Hipervínculo visitado" xfId="5149" builtinId="9" hidden="1"/>
    <cellStyle name="Hipervínculo visitado" xfId="5151" builtinId="9" hidden="1"/>
    <cellStyle name="Hipervínculo visitado" xfId="5153" builtinId="9" hidden="1"/>
    <cellStyle name="Hipervínculo visitado" xfId="5155" builtinId="9" hidden="1"/>
    <cellStyle name="Hipervínculo visitado" xfId="5157" builtinId="9" hidden="1"/>
    <cellStyle name="Hipervínculo visitado" xfId="5159" builtinId="9" hidden="1"/>
    <cellStyle name="Hipervínculo visitado" xfId="5161" builtinId="9" hidden="1"/>
    <cellStyle name="Hipervínculo visitado" xfId="5163" builtinId="9" hidden="1"/>
    <cellStyle name="Hipervínculo visitado" xfId="5165" builtinId="9" hidden="1"/>
    <cellStyle name="Hipervínculo visitado" xfId="5167" builtinId="9" hidden="1"/>
    <cellStyle name="Hipervínculo visitado" xfId="5169" builtinId="9" hidden="1"/>
    <cellStyle name="Hipervínculo visitado" xfId="5171" builtinId="9" hidden="1"/>
    <cellStyle name="Hipervínculo visitado" xfId="5173" builtinId="9" hidden="1"/>
    <cellStyle name="Hipervínculo visitado" xfId="5175" builtinId="9" hidden="1"/>
    <cellStyle name="Hipervínculo visitado" xfId="5177" builtinId="9" hidden="1"/>
    <cellStyle name="Hipervínculo visitado" xfId="5179" builtinId="9" hidden="1"/>
    <cellStyle name="Hipervínculo visitado" xfId="5181" builtinId="9" hidden="1"/>
    <cellStyle name="Hipervínculo visitado" xfId="5183" builtinId="9" hidden="1"/>
    <cellStyle name="Hipervínculo visitado" xfId="5185" builtinId="9" hidden="1"/>
    <cellStyle name="Hipervínculo visitado" xfId="5187" builtinId="9" hidden="1"/>
    <cellStyle name="Hipervínculo visitado" xfId="5189" builtinId="9" hidden="1"/>
    <cellStyle name="Hipervínculo visitado" xfId="5191" builtinId="9" hidden="1"/>
    <cellStyle name="Hipervínculo visitado" xfId="5193" builtinId="9" hidden="1"/>
    <cellStyle name="Hipervínculo visitado" xfId="5195" builtinId="9" hidden="1"/>
    <cellStyle name="Hipervínculo visitado" xfId="5197" builtinId="9" hidden="1"/>
    <cellStyle name="Hipervínculo visitado" xfId="5199" builtinId="9" hidden="1"/>
    <cellStyle name="Hipervínculo visitado" xfId="5201" builtinId="9" hidden="1"/>
    <cellStyle name="Hipervínculo visitado" xfId="5203" builtinId="9" hidden="1"/>
    <cellStyle name="Hipervínculo visitado" xfId="5205" builtinId="9" hidden="1"/>
    <cellStyle name="Hipervínculo visitado" xfId="5207" builtinId="9" hidden="1"/>
    <cellStyle name="Hipervínculo visitado" xfId="5209" builtinId="9" hidden="1"/>
    <cellStyle name="Hipervínculo visitado" xfId="5211" builtinId="9" hidden="1"/>
    <cellStyle name="Hipervínculo visitado" xfId="5213" builtinId="9" hidden="1"/>
    <cellStyle name="Hipervínculo visitado" xfId="5215" builtinId="9" hidden="1"/>
    <cellStyle name="Hipervínculo visitado" xfId="5217" builtinId="9" hidden="1"/>
    <cellStyle name="Hipervínculo visitado" xfId="5219" builtinId="9" hidden="1"/>
    <cellStyle name="Hipervínculo visitado" xfId="5221" builtinId="9" hidden="1"/>
    <cellStyle name="Hipervínculo visitado" xfId="5223" builtinId="9" hidden="1"/>
    <cellStyle name="Hipervínculo visitado" xfId="5225" builtinId="9" hidden="1"/>
    <cellStyle name="Hipervínculo visitado" xfId="5227" builtinId="9" hidden="1"/>
    <cellStyle name="Hipervínculo visitado" xfId="5229" builtinId="9" hidden="1"/>
    <cellStyle name="Hipervínculo visitado" xfId="5231" builtinId="9" hidden="1"/>
    <cellStyle name="Hipervínculo visitado" xfId="5233" builtinId="9" hidden="1"/>
    <cellStyle name="Hipervínculo visitado" xfId="5235" builtinId="9" hidden="1"/>
    <cellStyle name="Hipervínculo visitado" xfId="5237" builtinId="9" hidden="1"/>
    <cellStyle name="Hipervínculo visitado" xfId="5239" builtinId="9" hidden="1"/>
    <cellStyle name="Hipervínculo visitado" xfId="5241" builtinId="9" hidden="1"/>
    <cellStyle name="Hipervínculo visitado" xfId="5243" builtinId="9" hidden="1"/>
    <cellStyle name="Hipervínculo visitado" xfId="5245" builtinId="9" hidden="1"/>
    <cellStyle name="Hipervínculo visitado" xfId="5247" builtinId="9" hidden="1"/>
    <cellStyle name="Hipervínculo visitado" xfId="5249" builtinId="9" hidden="1"/>
    <cellStyle name="Hipervínculo visitado" xfId="5251" builtinId="9" hidden="1"/>
    <cellStyle name="Hipervínculo visitado" xfId="5253" builtinId="9" hidden="1"/>
    <cellStyle name="Hipervínculo visitado" xfId="5255" builtinId="9" hidden="1"/>
    <cellStyle name="Hipervínculo visitado" xfId="5257" builtinId="9" hidden="1"/>
    <cellStyle name="Hipervínculo visitado" xfId="5259" builtinId="9" hidden="1"/>
    <cellStyle name="Hipervínculo visitado" xfId="5261" builtinId="9" hidden="1"/>
    <cellStyle name="Hipervínculo visitado" xfId="5263" builtinId="9" hidden="1"/>
    <cellStyle name="Hipervínculo visitado" xfId="5265" builtinId="9" hidden="1"/>
    <cellStyle name="Hipervínculo visitado" xfId="5267" builtinId="9" hidden="1"/>
    <cellStyle name="Hipervínculo visitado" xfId="5269" builtinId="9" hidden="1"/>
    <cellStyle name="Hipervínculo visitado" xfId="5271" builtinId="9" hidden="1"/>
    <cellStyle name="Hipervínculo visitado" xfId="5273" builtinId="9" hidden="1"/>
    <cellStyle name="Hipervínculo visitado" xfId="5275" builtinId="9" hidden="1"/>
    <cellStyle name="Hipervínculo visitado" xfId="5277" builtinId="9" hidden="1"/>
    <cellStyle name="Hipervínculo visitado" xfId="5279" builtinId="9" hidden="1"/>
    <cellStyle name="Hipervínculo visitado" xfId="5281" builtinId="9" hidden="1"/>
    <cellStyle name="Hipervínculo visitado" xfId="5283" builtinId="9" hidden="1"/>
    <cellStyle name="Hipervínculo visitado" xfId="5285" builtinId="9" hidden="1"/>
    <cellStyle name="Hipervínculo visitado" xfId="5287" builtinId="9" hidden="1"/>
    <cellStyle name="Hipervínculo visitado" xfId="5289" builtinId="9" hidden="1"/>
    <cellStyle name="Hipervínculo visitado" xfId="5291" builtinId="9" hidden="1"/>
    <cellStyle name="Hipervínculo visitado" xfId="5293" builtinId="9" hidden="1"/>
    <cellStyle name="Hipervínculo visitado" xfId="5295" builtinId="9" hidden="1"/>
    <cellStyle name="Hipervínculo visitado" xfId="5297" builtinId="9" hidden="1"/>
    <cellStyle name="Hipervínculo visitado" xfId="5299" builtinId="9" hidden="1"/>
    <cellStyle name="Hipervínculo visitado" xfId="5301" builtinId="9" hidden="1"/>
    <cellStyle name="Hipervínculo visitado" xfId="5303" builtinId="9" hidden="1"/>
    <cellStyle name="Hipervínculo visitado" xfId="5305" builtinId="9" hidden="1"/>
    <cellStyle name="Hipervínculo visitado" xfId="5307" builtinId="9" hidden="1"/>
    <cellStyle name="Hipervínculo visitado" xfId="5309" builtinId="9" hidden="1"/>
    <cellStyle name="Hipervínculo visitado" xfId="5311" builtinId="9" hidden="1"/>
    <cellStyle name="Hipervínculo visitado" xfId="5313" builtinId="9" hidden="1"/>
    <cellStyle name="Hipervínculo visitado" xfId="5315" builtinId="9" hidden="1"/>
    <cellStyle name="Hipervínculo visitado" xfId="5317" builtinId="9" hidden="1"/>
    <cellStyle name="Hipervínculo visitado" xfId="5319" builtinId="9" hidden="1"/>
    <cellStyle name="Hipervínculo visitado" xfId="5321" builtinId="9" hidden="1"/>
    <cellStyle name="Hipervínculo visitado" xfId="5323" builtinId="9" hidden="1"/>
    <cellStyle name="Hipervínculo visitado" xfId="5325" builtinId="9" hidden="1"/>
    <cellStyle name="Hipervínculo visitado" xfId="5327" builtinId="9" hidden="1"/>
    <cellStyle name="Hipervínculo visitado" xfId="5329" builtinId="9" hidden="1"/>
    <cellStyle name="Hipervínculo visitado" xfId="5331" builtinId="9" hidden="1"/>
    <cellStyle name="Hipervínculo visitado" xfId="5333" builtinId="9" hidden="1"/>
    <cellStyle name="Hipervínculo visitado" xfId="5335" builtinId="9" hidden="1"/>
    <cellStyle name="Hipervínculo visitado" xfId="5337" builtinId="9" hidden="1"/>
    <cellStyle name="Hipervínculo visitado" xfId="5339" builtinId="9" hidden="1"/>
    <cellStyle name="Hipervínculo visitado" xfId="5341" builtinId="9" hidden="1"/>
    <cellStyle name="Hipervínculo visitado" xfId="5343" builtinId="9" hidden="1"/>
    <cellStyle name="Hipervínculo visitado" xfId="5345" builtinId="9" hidden="1"/>
    <cellStyle name="Hipervínculo visitado" xfId="5347" builtinId="9" hidden="1"/>
    <cellStyle name="Hipervínculo visitado" xfId="5349" builtinId="9" hidden="1"/>
    <cellStyle name="Hipervínculo visitado" xfId="5351" builtinId="9" hidden="1"/>
    <cellStyle name="Hipervínculo visitado" xfId="5353" builtinId="9" hidden="1"/>
    <cellStyle name="Hipervínculo visitado" xfId="5355" builtinId="9" hidden="1"/>
    <cellStyle name="Hipervínculo visitado" xfId="5357" builtinId="9" hidden="1"/>
    <cellStyle name="Hipervínculo visitado" xfId="5359" builtinId="9" hidden="1"/>
    <cellStyle name="Hipervínculo visitado" xfId="5361" builtinId="9" hidden="1"/>
    <cellStyle name="Hipervínculo visitado" xfId="5363" builtinId="9" hidden="1"/>
    <cellStyle name="Hipervínculo visitado" xfId="5365" builtinId="9" hidden="1"/>
    <cellStyle name="Hipervínculo visitado" xfId="5367" builtinId="9" hidden="1"/>
    <cellStyle name="Hipervínculo visitado" xfId="5369" builtinId="9" hidden="1"/>
    <cellStyle name="Hipervínculo visitado" xfId="5371" builtinId="9" hidden="1"/>
    <cellStyle name="Hipervínculo visitado" xfId="5373" builtinId="9" hidden="1"/>
    <cellStyle name="Hipervínculo visitado" xfId="5375" builtinId="9" hidden="1"/>
    <cellStyle name="Hipervínculo visitado" xfId="5377" builtinId="9" hidden="1"/>
    <cellStyle name="Hipervínculo visitado" xfId="5379" builtinId="9" hidden="1"/>
    <cellStyle name="Hipervínculo visitado" xfId="5381" builtinId="9" hidden="1"/>
    <cellStyle name="Hipervínculo visitado" xfId="5383" builtinId="9" hidden="1"/>
    <cellStyle name="Hipervínculo visitado" xfId="5385" builtinId="9" hidden="1"/>
    <cellStyle name="Hipervínculo visitado" xfId="5387" builtinId="9" hidden="1"/>
    <cellStyle name="Hipervínculo visitado" xfId="5389" builtinId="9" hidden="1"/>
    <cellStyle name="Hipervínculo visitado" xfId="5391" builtinId="9" hidden="1"/>
    <cellStyle name="Hipervínculo visitado" xfId="5393" builtinId="9" hidden="1"/>
    <cellStyle name="Hipervínculo visitado" xfId="5395" builtinId="9" hidden="1"/>
    <cellStyle name="Hipervínculo visitado" xfId="5397" builtinId="9" hidden="1"/>
    <cellStyle name="Hipervínculo visitado" xfId="5399" builtinId="9" hidden="1"/>
    <cellStyle name="Hipervínculo visitado" xfId="5401" builtinId="9" hidden="1"/>
    <cellStyle name="Hipervínculo visitado" xfId="5403" builtinId="9" hidden="1"/>
    <cellStyle name="Hipervínculo visitado" xfId="5405" builtinId="9" hidden="1"/>
    <cellStyle name="Hipervínculo visitado" xfId="5407" builtinId="9" hidden="1"/>
    <cellStyle name="Hipervínculo visitado" xfId="5409" builtinId="9" hidden="1"/>
    <cellStyle name="Hipervínculo visitado" xfId="5411" builtinId="9" hidden="1"/>
    <cellStyle name="Hipervínculo visitado" xfId="5413" builtinId="9" hidden="1"/>
    <cellStyle name="Hipervínculo visitado" xfId="5415" builtinId="9" hidden="1"/>
    <cellStyle name="Hipervínculo visitado" xfId="5417" builtinId="9" hidden="1"/>
    <cellStyle name="Hipervínculo visitado" xfId="5419" builtinId="9" hidden="1"/>
    <cellStyle name="Hipervínculo visitado" xfId="5421" builtinId="9" hidden="1"/>
    <cellStyle name="Hipervínculo visitado" xfId="5423" builtinId="9" hidden="1"/>
    <cellStyle name="Hipervínculo visitado" xfId="5425" builtinId="9" hidden="1"/>
    <cellStyle name="Hipervínculo visitado" xfId="5427" builtinId="9" hidden="1"/>
    <cellStyle name="Hipervínculo visitado" xfId="5429" builtinId="9" hidden="1"/>
    <cellStyle name="Hipervínculo visitado" xfId="5431" builtinId="9" hidden="1"/>
    <cellStyle name="Hipervínculo visitado" xfId="5433" builtinId="9" hidden="1"/>
    <cellStyle name="Hipervínculo visitado" xfId="5435" builtinId="9" hidden="1"/>
    <cellStyle name="Hipervínculo visitado" xfId="5437" builtinId="9" hidden="1"/>
    <cellStyle name="Hipervínculo visitado" xfId="5439" builtinId="9" hidden="1"/>
    <cellStyle name="Hipervínculo visitado" xfId="5441" builtinId="9" hidden="1"/>
    <cellStyle name="Hipervínculo visitado" xfId="5443" builtinId="9" hidden="1"/>
    <cellStyle name="Hipervínculo visitado" xfId="5445" builtinId="9" hidden="1"/>
    <cellStyle name="Hipervínculo visitado" xfId="5447" builtinId="9" hidden="1"/>
    <cellStyle name="Hipervínculo visitado" xfId="5449" builtinId="9" hidden="1"/>
    <cellStyle name="Hipervínculo visitado" xfId="5451" builtinId="9" hidden="1"/>
    <cellStyle name="Hipervínculo visitado" xfId="5453" builtinId="9" hidden="1"/>
    <cellStyle name="Hipervínculo visitado" xfId="5455" builtinId="9" hidden="1"/>
    <cellStyle name="Hipervínculo visitado" xfId="5457" builtinId="9" hidden="1"/>
    <cellStyle name="Hipervínculo visitado" xfId="5459" builtinId="9" hidden="1"/>
    <cellStyle name="Hipervínculo visitado" xfId="5461" builtinId="9" hidden="1"/>
    <cellStyle name="Hipervínculo visitado" xfId="5463" builtinId="9" hidden="1"/>
    <cellStyle name="Hipervínculo visitado" xfId="5465" builtinId="9" hidden="1"/>
    <cellStyle name="Hipervínculo visitado" xfId="5467" builtinId="9" hidden="1"/>
    <cellStyle name="Hipervínculo visitado" xfId="5469" builtinId="9" hidden="1"/>
    <cellStyle name="Hipervínculo visitado" xfId="5471" builtinId="9" hidden="1"/>
    <cellStyle name="Hipervínculo visitado" xfId="5473" builtinId="9" hidden="1"/>
    <cellStyle name="Hipervínculo visitado" xfId="5475" builtinId="9" hidden="1"/>
    <cellStyle name="Hipervínculo visitado" xfId="5477" builtinId="9" hidden="1"/>
    <cellStyle name="Hipervínculo visitado" xfId="5479" builtinId="9" hidden="1"/>
    <cellStyle name="Hipervínculo visitado" xfId="5481" builtinId="9" hidden="1"/>
    <cellStyle name="Hipervínculo visitado" xfId="5483" builtinId="9" hidden="1"/>
    <cellStyle name="Hipervínculo visitado" xfId="5485" builtinId="9" hidden="1"/>
    <cellStyle name="Hipervínculo visitado" xfId="5487" builtinId="9" hidden="1"/>
    <cellStyle name="Hipervínculo visitado" xfId="5489" builtinId="9" hidden="1"/>
    <cellStyle name="Hipervínculo visitado" xfId="5491" builtinId="9" hidden="1"/>
    <cellStyle name="Hipervínculo visitado" xfId="5493" builtinId="9" hidden="1"/>
    <cellStyle name="Hipervínculo visitado" xfId="5495" builtinId="9" hidden="1"/>
    <cellStyle name="Hipervínculo visitado" xfId="5497" builtinId="9" hidden="1"/>
    <cellStyle name="Hipervínculo visitado" xfId="5499" builtinId="9" hidden="1"/>
    <cellStyle name="Hipervínculo visitado" xfId="5501" builtinId="9" hidden="1"/>
    <cellStyle name="Hipervínculo visitado" xfId="5503" builtinId="9" hidden="1"/>
    <cellStyle name="Hipervínculo visitado" xfId="5505" builtinId="9" hidden="1"/>
    <cellStyle name="Hipervínculo visitado" xfId="5507" builtinId="9" hidden="1"/>
    <cellStyle name="Hipervínculo visitado" xfId="5509" builtinId="9" hidden="1"/>
    <cellStyle name="Hipervínculo visitado" xfId="5511" builtinId="9" hidden="1"/>
    <cellStyle name="Hipervínculo visitado" xfId="5513" builtinId="9" hidden="1"/>
    <cellStyle name="Hipervínculo visitado" xfId="5515" builtinId="9" hidden="1"/>
    <cellStyle name="Hipervínculo visitado" xfId="5517" builtinId="9" hidden="1"/>
    <cellStyle name="Hipervínculo visitado" xfId="5519" builtinId="9" hidden="1"/>
    <cellStyle name="Hipervínculo visitado" xfId="5521" builtinId="9" hidden="1"/>
    <cellStyle name="Hipervínculo visitado" xfId="5523" builtinId="9" hidden="1"/>
    <cellStyle name="Hipervínculo visitado" xfId="5525" builtinId="9" hidden="1"/>
    <cellStyle name="Hipervínculo visitado" xfId="5527" builtinId="9" hidden="1"/>
    <cellStyle name="Hipervínculo visitado" xfId="5529" builtinId="9" hidden="1"/>
    <cellStyle name="Hipervínculo visitado" xfId="5531" builtinId="9" hidden="1"/>
    <cellStyle name="Hipervínculo visitado" xfId="5533" builtinId="9" hidden="1"/>
    <cellStyle name="Hipervínculo visitado" xfId="5535" builtinId="9" hidden="1"/>
    <cellStyle name="Hipervínculo visitado" xfId="5537" builtinId="9" hidden="1"/>
    <cellStyle name="Hipervínculo visitado" xfId="5539" builtinId="9" hidden="1"/>
    <cellStyle name="Hipervínculo visitado" xfId="5541" builtinId="9" hidden="1"/>
    <cellStyle name="Hipervínculo visitado" xfId="5543" builtinId="9" hidden="1"/>
    <cellStyle name="Hipervínculo visitado" xfId="5545" builtinId="9" hidden="1"/>
    <cellStyle name="Hipervínculo visitado" xfId="5547" builtinId="9" hidden="1"/>
    <cellStyle name="Hipervínculo visitado" xfId="5549" builtinId="9" hidden="1"/>
    <cellStyle name="Hipervínculo visitado" xfId="5551" builtinId="9" hidden="1"/>
    <cellStyle name="Hipervínculo visitado" xfId="5553" builtinId="9" hidden="1"/>
    <cellStyle name="Hipervínculo visitado" xfId="5555" builtinId="9" hidden="1"/>
    <cellStyle name="Hipervínculo visitado" xfId="5557" builtinId="9" hidden="1"/>
    <cellStyle name="Hipervínculo visitado" xfId="5559" builtinId="9" hidden="1"/>
    <cellStyle name="Hipervínculo visitado" xfId="5561" builtinId="9" hidden="1"/>
    <cellStyle name="Hipervínculo visitado" xfId="5563" builtinId="9" hidden="1"/>
    <cellStyle name="Hipervínculo visitado" xfId="5565" builtinId="9" hidden="1"/>
    <cellStyle name="Hipervínculo visitado" xfId="5567" builtinId="9" hidden="1"/>
    <cellStyle name="Hipervínculo visitado" xfId="5569" builtinId="9" hidden="1"/>
    <cellStyle name="Hipervínculo visitado" xfId="5571" builtinId="9" hidden="1"/>
    <cellStyle name="Hipervínculo visitado" xfId="5573" builtinId="9" hidden="1"/>
    <cellStyle name="Hipervínculo visitado" xfId="5575" builtinId="9" hidden="1"/>
    <cellStyle name="Hipervínculo visitado" xfId="5577" builtinId="9" hidden="1"/>
    <cellStyle name="Hipervínculo visitado" xfId="5579" builtinId="9" hidden="1"/>
    <cellStyle name="Hipervínculo visitado" xfId="5581" builtinId="9" hidden="1"/>
    <cellStyle name="Hipervínculo visitado" xfId="5583" builtinId="9" hidden="1"/>
    <cellStyle name="Hipervínculo visitado" xfId="5585" builtinId="9" hidden="1"/>
    <cellStyle name="Hipervínculo visitado" xfId="5587" builtinId="9" hidden="1"/>
    <cellStyle name="Hipervínculo visitado" xfId="5589" builtinId="9" hidden="1"/>
    <cellStyle name="Hipervínculo visitado" xfId="5591" builtinId="9" hidden="1"/>
    <cellStyle name="Hipervínculo visitado" xfId="5593" builtinId="9" hidden="1"/>
    <cellStyle name="Hipervínculo visitado" xfId="5595" builtinId="9" hidden="1"/>
    <cellStyle name="Hipervínculo visitado" xfId="5597" builtinId="9" hidden="1"/>
    <cellStyle name="Hipervínculo visitado" xfId="5599" builtinId="9" hidden="1"/>
    <cellStyle name="Hipervínculo visitado" xfId="5601" builtinId="9" hidden="1"/>
    <cellStyle name="Hipervínculo visitado" xfId="5603" builtinId="9" hidden="1"/>
    <cellStyle name="Hipervínculo visitado" xfId="5605" builtinId="9" hidden="1"/>
    <cellStyle name="Hipervínculo visitado" xfId="5607" builtinId="9" hidden="1"/>
    <cellStyle name="Hipervínculo visitado" xfId="5609" builtinId="9" hidden="1"/>
    <cellStyle name="Hipervínculo visitado" xfId="5611" builtinId="9" hidden="1"/>
    <cellStyle name="Hipervínculo visitado" xfId="5613" builtinId="9" hidden="1"/>
    <cellStyle name="Hipervínculo visitado" xfId="5615" builtinId="9" hidden="1"/>
    <cellStyle name="Hipervínculo visitado" xfId="5617" builtinId="9" hidden="1"/>
    <cellStyle name="Hipervínculo visitado" xfId="5619" builtinId="9" hidden="1"/>
    <cellStyle name="Hipervínculo visitado" xfId="5621" builtinId="9" hidden="1"/>
    <cellStyle name="Hipervínculo visitado" xfId="5623" builtinId="9" hidden="1"/>
    <cellStyle name="Hipervínculo visitado" xfId="5625" builtinId="9" hidden="1"/>
    <cellStyle name="Hipervínculo visitado" xfId="5627" builtinId="9" hidden="1"/>
    <cellStyle name="Hipervínculo visitado" xfId="5629" builtinId="9" hidden="1"/>
    <cellStyle name="Hipervínculo visitado" xfId="5631" builtinId="9" hidden="1"/>
    <cellStyle name="Hipervínculo visitado" xfId="5633" builtinId="9" hidden="1"/>
    <cellStyle name="Hipervínculo visitado" xfId="5635" builtinId="9" hidden="1"/>
    <cellStyle name="Hipervínculo visitado" xfId="5637" builtinId="9" hidden="1"/>
    <cellStyle name="Hipervínculo visitado" xfId="5639" builtinId="9" hidden="1"/>
    <cellStyle name="Hipervínculo visitado" xfId="5641" builtinId="9" hidden="1"/>
    <cellStyle name="Hipervínculo visitado" xfId="5643" builtinId="9" hidden="1"/>
    <cellStyle name="Hipervínculo visitado" xfId="5645" builtinId="9" hidden="1"/>
    <cellStyle name="Hipervínculo visitado" xfId="5647" builtinId="9" hidden="1"/>
    <cellStyle name="Hipervínculo visitado" xfId="5649" builtinId="9" hidden="1"/>
    <cellStyle name="Hipervínculo visitado" xfId="5651" builtinId="9" hidden="1"/>
    <cellStyle name="Hipervínculo visitado" xfId="5653" builtinId="9" hidden="1"/>
    <cellStyle name="Hipervínculo visitado" xfId="5655" builtinId="9" hidden="1"/>
    <cellStyle name="Hipervínculo visitado" xfId="5657" builtinId="9" hidden="1"/>
    <cellStyle name="Hipervínculo visitado" xfId="5659" builtinId="9" hidden="1"/>
    <cellStyle name="Hipervínculo visitado" xfId="5661" builtinId="9" hidden="1"/>
    <cellStyle name="Hipervínculo visitado" xfId="5663" builtinId="9" hidden="1"/>
    <cellStyle name="Hipervínculo visitado" xfId="5665" builtinId="9" hidden="1"/>
    <cellStyle name="Hipervínculo visitado" xfId="5667" builtinId="9" hidden="1"/>
    <cellStyle name="Hipervínculo visitado" xfId="5669" builtinId="9" hidden="1"/>
    <cellStyle name="Hipervínculo visitado" xfId="5671" builtinId="9" hidden="1"/>
    <cellStyle name="Hipervínculo visitado" xfId="5673" builtinId="9" hidden="1"/>
    <cellStyle name="Hipervínculo visitado" xfId="5675" builtinId="9" hidden="1"/>
    <cellStyle name="Hipervínculo visitado" xfId="5677" builtinId="9" hidden="1"/>
    <cellStyle name="Hipervínculo visitado" xfId="5679" builtinId="9" hidden="1"/>
    <cellStyle name="Hipervínculo visitado" xfId="5681" builtinId="9" hidden="1"/>
    <cellStyle name="Hipervínculo visitado" xfId="5683" builtinId="9" hidden="1"/>
    <cellStyle name="Hipervínculo visitado" xfId="5685" builtinId="9" hidden="1"/>
    <cellStyle name="Hipervínculo visitado" xfId="5687" builtinId="9" hidden="1"/>
    <cellStyle name="Hipervínculo visitado" xfId="5689" builtinId="9" hidden="1"/>
    <cellStyle name="Hipervínculo visitado" xfId="5691" builtinId="9" hidden="1"/>
    <cellStyle name="Hipervínculo visitado" xfId="5693" builtinId="9" hidden="1"/>
    <cellStyle name="Hipervínculo visitado" xfId="5695" builtinId="9" hidden="1"/>
    <cellStyle name="Hipervínculo visitado" xfId="5697" builtinId="9" hidden="1"/>
    <cellStyle name="Hipervínculo visitado" xfId="5699" builtinId="9" hidden="1"/>
    <cellStyle name="Hipervínculo visitado" xfId="5701" builtinId="9" hidden="1"/>
    <cellStyle name="Hipervínculo visitado" xfId="5703" builtinId="9" hidden="1"/>
    <cellStyle name="Hipervínculo visitado" xfId="5705" builtinId="9" hidden="1"/>
    <cellStyle name="Hipervínculo visitado" xfId="5707" builtinId="9" hidden="1"/>
    <cellStyle name="Hipervínculo visitado" xfId="5709" builtinId="9" hidden="1"/>
    <cellStyle name="Hipervínculo visitado" xfId="5711" builtinId="9" hidden="1"/>
    <cellStyle name="Hipervínculo visitado" xfId="5713" builtinId="9" hidden="1"/>
    <cellStyle name="Hipervínculo visitado" xfId="5715" builtinId="9" hidden="1"/>
    <cellStyle name="Hipervínculo visitado" xfId="5717" builtinId="9" hidden="1"/>
    <cellStyle name="Hipervínculo visitado" xfId="5719" builtinId="9" hidden="1"/>
    <cellStyle name="Hipervínculo visitado" xfId="5721" builtinId="9" hidden="1"/>
    <cellStyle name="Hipervínculo visitado" xfId="5723" builtinId="9" hidden="1"/>
    <cellStyle name="Hipervínculo visitado" xfId="5725" builtinId="9" hidden="1"/>
    <cellStyle name="Hipervínculo visitado" xfId="5727" builtinId="9" hidden="1"/>
    <cellStyle name="Hipervínculo visitado" xfId="5729" builtinId="9" hidden="1"/>
    <cellStyle name="Hipervínculo visitado" xfId="5731" builtinId="9" hidden="1"/>
    <cellStyle name="Hipervínculo visitado" xfId="5733" builtinId="9" hidden="1"/>
    <cellStyle name="Hipervínculo visitado" xfId="5735" builtinId="9" hidden="1"/>
    <cellStyle name="Hipervínculo visitado" xfId="5737" builtinId="9" hidden="1"/>
    <cellStyle name="Hipervínculo visitado" xfId="5739" builtinId="9" hidden="1"/>
    <cellStyle name="Hipervínculo visitado" xfId="5741" builtinId="9" hidden="1"/>
    <cellStyle name="Hipervínculo visitado" xfId="5743" builtinId="9" hidden="1"/>
    <cellStyle name="Hipervínculo visitado" xfId="5745" builtinId="9" hidden="1"/>
    <cellStyle name="Hipervínculo visitado" xfId="5747" builtinId="9" hidden="1"/>
    <cellStyle name="Hipervínculo visitado" xfId="5749" builtinId="9" hidden="1"/>
    <cellStyle name="Hipervínculo visitado" xfId="5751" builtinId="9" hidden="1"/>
    <cellStyle name="Hipervínculo visitado" xfId="5753" builtinId="9" hidden="1"/>
    <cellStyle name="Hipervínculo visitado" xfId="5755" builtinId="9" hidden="1"/>
    <cellStyle name="Hipervínculo visitado" xfId="5757" builtinId="9" hidden="1"/>
    <cellStyle name="Hipervínculo visitado" xfId="5759" builtinId="9" hidden="1"/>
    <cellStyle name="Hipervínculo visitado" xfId="5761" builtinId="9" hidden="1"/>
    <cellStyle name="Hipervínculo visitado" xfId="5763" builtinId="9" hidden="1"/>
    <cellStyle name="Hipervínculo visitado" xfId="5765" builtinId="9" hidden="1"/>
    <cellStyle name="Hipervínculo visitado" xfId="5767" builtinId="9" hidden="1"/>
    <cellStyle name="Hipervínculo visitado" xfId="5769" builtinId="9" hidden="1"/>
    <cellStyle name="Hipervínculo visitado" xfId="5771" builtinId="9" hidden="1"/>
    <cellStyle name="Hipervínculo visitado" xfId="5773" builtinId="9" hidden="1"/>
    <cellStyle name="Hipervínculo visitado" xfId="5775" builtinId="9" hidden="1"/>
    <cellStyle name="Hipervínculo visitado" xfId="5777" builtinId="9" hidden="1"/>
    <cellStyle name="Hipervínculo visitado" xfId="5779" builtinId="9" hidden="1"/>
    <cellStyle name="Hipervínculo visitado" xfId="5781" builtinId="9" hidden="1"/>
    <cellStyle name="Hipervínculo visitado" xfId="5783" builtinId="9" hidden="1"/>
    <cellStyle name="Hipervínculo visitado" xfId="5785" builtinId="9" hidden="1"/>
    <cellStyle name="Hipervínculo visitado" xfId="5787" builtinId="9" hidden="1"/>
    <cellStyle name="Hipervínculo visitado" xfId="5789" builtinId="9" hidden="1"/>
    <cellStyle name="Hipervínculo visitado" xfId="5791" builtinId="9" hidden="1"/>
    <cellStyle name="Hipervínculo visitado" xfId="5793" builtinId="9" hidden="1"/>
    <cellStyle name="Hipervínculo visitado" xfId="5795" builtinId="9" hidden="1"/>
    <cellStyle name="Hipervínculo visitado" xfId="5797" builtinId="9" hidden="1"/>
    <cellStyle name="Hipervínculo visitado" xfId="5799" builtinId="9" hidden="1"/>
    <cellStyle name="Hipervínculo visitado" xfId="5801" builtinId="9" hidden="1"/>
    <cellStyle name="Hipervínculo visitado" xfId="5803" builtinId="9" hidden="1"/>
    <cellStyle name="Hipervínculo visitado" xfId="5805" builtinId="9" hidden="1"/>
    <cellStyle name="Hipervínculo visitado" xfId="5807" builtinId="9" hidden="1"/>
    <cellStyle name="Hipervínculo visitado" xfId="5809" builtinId="9" hidden="1"/>
    <cellStyle name="Hipervínculo visitado" xfId="5811" builtinId="9" hidden="1"/>
    <cellStyle name="Hipervínculo visitado" xfId="5813" builtinId="9" hidden="1"/>
    <cellStyle name="Hipervínculo visitado" xfId="5815" builtinId="9" hidden="1"/>
    <cellStyle name="Hipervínculo visitado" xfId="5817" builtinId="9" hidden="1"/>
    <cellStyle name="Hipervínculo visitado" xfId="5819" builtinId="9" hidden="1"/>
    <cellStyle name="Hipervínculo visitado" xfId="5821" builtinId="9" hidden="1"/>
    <cellStyle name="Hipervínculo visitado" xfId="5823" builtinId="9" hidden="1"/>
    <cellStyle name="Hipervínculo visitado" xfId="5825" builtinId="9" hidden="1"/>
    <cellStyle name="Hipervínculo visitado" xfId="5827" builtinId="9" hidden="1"/>
    <cellStyle name="Hipervínculo visitado" xfId="5829" builtinId="9" hidden="1"/>
    <cellStyle name="Hipervínculo visitado" xfId="5831" builtinId="9" hidden="1"/>
    <cellStyle name="Hipervínculo visitado" xfId="5833" builtinId="9" hidden="1"/>
    <cellStyle name="Hipervínculo visitado" xfId="5835" builtinId="9" hidden="1"/>
    <cellStyle name="Hipervínculo visitado" xfId="5837" builtinId="9" hidden="1"/>
    <cellStyle name="Hipervínculo visitado" xfId="5839" builtinId="9" hidden="1"/>
    <cellStyle name="Hipervínculo visitado" xfId="5841" builtinId="9" hidden="1"/>
    <cellStyle name="Hipervínculo visitado" xfId="5843" builtinId="9" hidden="1"/>
    <cellStyle name="Hipervínculo visitado" xfId="5845" builtinId="9" hidden="1"/>
    <cellStyle name="Hipervínculo visitado" xfId="5847" builtinId="9" hidden="1"/>
    <cellStyle name="Hipervínculo visitado" xfId="5849" builtinId="9" hidden="1"/>
    <cellStyle name="Hipervínculo visitado" xfId="5851" builtinId="9" hidden="1"/>
    <cellStyle name="Hipervínculo visitado" xfId="5853" builtinId="9" hidden="1"/>
    <cellStyle name="Hipervínculo visitado" xfId="5855" builtinId="9" hidden="1"/>
    <cellStyle name="Hipervínculo visitado" xfId="5857" builtinId="9" hidden="1"/>
    <cellStyle name="Hipervínculo visitado" xfId="5859" builtinId="9" hidden="1"/>
    <cellStyle name="Hipervínculo visitado" xfId="5861" builtinId="9" hidden="1"/>
    <cellStyle name="Hipervínculo visitado" xfId="5863" builtinId="9" hidden="1"/>
    <cellStyle name="Hipervínculo visitado" xfId="5865" builtinId="9" hidden="1"/>
    <cellStyle name="Hipervínculo visitado" xfId="5867" builtinId="9" hidden="1"/>
    <cellStyle name="Hipervínculo visitado" xfId="5869" builtinId="9" hidden="1"/>
    <cellStyle name="Hipervínculo visitado" xfId="5871" builtinId="9" hidden="1"/>
    <cellStyle name="Hipervínculo visitado" xfId="5873" builtinId="9" hidden="1"/>
    <cellStyle name="Hipervínculo visitado" xfId="5875" builtinId="9" hidden="1"/>
    <cellStyle name="Hipervínculo visitado" xfId="5877" builtinId="9" hidden="1"/>
    <cellStyle name="Hipervínculo visitado" xfId="5879" builtinId="9" hidden="1"/>
    <cellStyle name="Hipervínculo visitado" xfId="5881" builtinId="9" hidden="1"/>
    <cellStyle name="Hipervínculo visitado" xfId="5883" builtinId="9" hidden="1"/>
    <cellStyle name="Hipervínculo visitado" xfId="5885" builtinId="9" hidden="1"/>
    <cellStyle name="Hipervínculo visitado" xfId="5887" builtinId="9" hidden="1"/>
    <cellStyle name="Hipervínculo visitado" xfId="5889" builtinId="9" hidden="1"/>
    <cellStyle name="Hipervínculo visitado" xfId="5891" builtinId="9" hidden="1"/>
    <cellStyle name="Hipervínculo visitado" xfId="5893" builtinId="9" hidden="1"/>
    <cellStyle name="Hipervínculo visitado" xfId="5895" builtinId="9" hidden="1"/>
    <cellStyle name="Hipervínculo visitado" xfId="5897" builtinId="9" hidden="1"/>
    <cellStyle name="Hipervínculo visitado" xfId="5899" builtinId="9" hidden="1"/>
    <cellStyle name="Hipervínculo visitado" xfId="5901" builtinId="9" hidden="1"/>
    <cellStyle name="Hipervínculo visitado" xfId="5903" builtinId="9" hidden="1"/>
    <cellStyle name="Hipervínculo visitado" xfId="5905" builtinId="9" hidden="1"/>
    <cellStyle name="Hipervínculo visitado" xfId="5907" builtinId="9" hidden="1"/>
    <cellStyle name="Hipervínculo visitado" xfId="5909" builtinId="9" hidden="1"/>
    <cellStyle name="Hipervínculo visitado" xfId="5911" builtinId="9" hidden="1"/>
    <cellStyle name="Hipervínculo visitado" xfId="5913" builtinId="9" hidden="1"/>
    <cellStyle name="Hipervínculo visitado" xfId="5915" builtinId="9" hidden="1"/>
    <cellStyle name="Hipervínculo visitado" xfId="5917" builtinId="9" hidden="1"/>
    <cellStyle name="Hipervínculo visitado" xfId="5919" builtinId="9" hidden="1"/>
    <cellStyle name="Hipervínculo visitado" xfId="5921" builtinId="9" hidden="1"/>
    <cellStyle name="Hipervínculo visitado" xfId="5923" builtinId="9" hidden="1"/>
    <cellStyle name="Hipervínculo visitado" xfId="5925" builtinId="9" hidden="1"/>
    <cellStyle name="Hipervínculo visitado" xfId="5927" builtinId="9" hidden="1"/>
    <cellStyle name="Hipervínculo visitado" xfId="5929" builtinId="9" hidden="1"/>
    <cellStyle name="Hipervínculo visitado" xfId="5931" builtinId="9" hidden="1"/>
    <cellStyle name="Hipervínculo visitado" xfId="5933" builtinId="9" hidden="1"/>
    <cellStyle name="Hipervínculo visitado" xfId="5935" builtinId="9" hidden="1"/>
    <cellStyle name="Hipervínculo visitado" xfId="5937" builtinId="9" hidden="1"/>
    <cellStyle name="Hipervínculo visitado" xfId="5939" builtinId="9" hidden="1"/>
    <cellStyle name="Hipervínculo visitado" xfId="5941" builtinId="9" hidden="1"/>
    <cellStyle name="Hipervínculo visitado" xfId="5943" builtinId="9" hidden="1"/>
    <cellStyle name="Hipervínculo visitado" xfId="5945" builtinId="9" hidden="1"/>
    <cellStyle name="Hipervínculo visitado" xfId="5947" builtinId="9" hidden="1"/>
    <cellStyle name="Hipervínculo visitado" xfId="5949" builtinId="9" hidden="1"/>
    <cellStyle name="Hipervínculo visitado" xfId="5951" builtinId="9" hidden="1"/>
    <cellStyle name="Hipervínculo visitado" xfId="5953" builtinId="9" hidden="1"/>
    <cellStyle name="Hipervínculo visitado" xfId="5955" builtinId="9" hidden="1"/>
    <cellStyle name="Hipervínculo visitado" xfId="5957" builtinId="9" hidden="1"/>
    <cellStyle name="Hipervínculo visitado" xfId="5959" builtinId="9" hidden="1"/>
    <cellStyle name="Hipervínculo visitado" xfId="5961" builtinId="9" hidden="1"/>
    <cellStyle name="Hipervínculo visitado" xfId="5963" builtinId="9" hidden="1"/>
    <cellStyle name="Hipervínculo visitado" xfId="5965" builtinId="9" hidden="1"/>
    <cellStyle name="Hipervínculo visitado" xfId="5967" builtinId="9" hidden="1"/>
    <cellStyle name="Hipervínculo visitado" xfId="5969" builtinId="9" hidden="1"/>
    <cellStyle name="Hipervínculo visitado" xfId="5971" builtinId="9" hidden="1"/>
    <cellStyle name="Hipervínculo visitado" xfId="5973" builtinId="9" hidden="1"/>
    <cellStyle name="Hipervínculo visitado" xfId="5975" builtinId="9" hidden="1"/>
    <cellStyle name="Hipervínculo visitado" xfId="5977" builtinId="9" hidden="1"/>
    <cellStyle name="Hipervínculo visitado" xfId="5979" builtinId="9" hidden="1"/>
    <cellStyle name="Hipervínculo visitado" xfId="5981" builtinId="9" hidden="1"/>
    <cellStyle name="Hipervínculo visitado" xfId="5983" builtinId="9" hidden="1"/>
    <cellStyle name="Hipervínculo visitado" xfId="5985" builtinId="9" hidden="1"/>
    <cellStyle name="Hipervínculo visitado" xfId="5987" builtinId="9" hidden="1"/>
    <cellStyle name="Hipervínculo visitado" xfId="5989" builtinId="9" hidden="1"/>
    <cellStyle name="Hipervínculo visitado" xfId="5991" builtinId="9" hidden="1"/>
    <cellStyle name="Hipervínculo visitado" xfId="5993" builtinId="9" hidden="1"/>
    <cellStyle name="Hipervínculo visitado" xfId="5995" builtinId="9" hidden="1"/>
    <cellStyle name="Hipervínculo visitado" xfId="5997" builtinId="9" hidden="1"/>
    <cellStyle name="Hipervínculo visitado" xfId="5999" builtinId="9" hidden="1"/>
    <cellStyle name="Hipervínculo visitado" xfId="6001" builtinId="9" hidden="1"/>
    <cellStyle name="Hipervínculo visitado" xfId="6003" builtinId="9" hidden="1"/>
    <cellStyle name="Hipervínculo visitado" xfId="6005" builtinId="9" hidden="1"/>
    <cellStyle name="Hipervínculo visitado" xfId="6007" builtinId="9" hidden="1"/>
    <cellStyle name="Hipervínculo visitado" xfId="6009" builtinId="9" hidden="1"/>
    <cellStyle name="Hipervínculo visitado" xfId="6011" builtinId="9" hidden="1"/>
    <cellStyle name="Hipervínculo visitado" xfId="6013" builtinId="9" hidden="1"/>
    <cellStyle name="Hipervínculo visitado" xfId="6015" builtinId="9" hidden="1"/>
    <cellStyle name="Hipervínculo visitado" xfId="6017" builtinId="9" hidden="1"/>
    <cellStyle name="Hipervínculo visitado" xfId="6019" builtinId="9" hidden="1"/>
    <cellStyle name="Hipervínculo visitado" xfId="6021" builtinId="9" hidden="1"/>
    <cellStyle name="Hipervínculo visitado" xfId="6023" builtinId="9" hidden="1"/>
    <cellStyle name="Hipervínculo visitado" xfId="6025" builtinId="9" hidden="1"/>
    <cellStyle name="Hipervínculo visitado" xfId="6027" builtinId="9" hidden="1"/>
    <cellStyle name="Hipervínculo visitado" xfId="6029" builtinId="9" hidden="1"/>
    <cellStyle name="Hipervínculo visitado" xfId="6031" builtinId="9" hidden="1"/>
    <cellStyle name="Hipervínculo visitado" xfId="6033" builtinId="9" hidden="1"/>
    <cellStyle name="Hipervínculo visitado" xfId="6035" builtinId="9" hidden="1"/>
    <cellStyle name="Hipervínculo visitado" xfId="6037" builtinId="9" hidden="1"/>
    <cellStyle name="Hipervínculo visitado" xfId="6039" builtinId="9" hidden="1"/>
    <cellStyle name="Hipervínculo visitado" xfId="6041" builtinId="9" hidden="1"/>
    <cellStyle name="Hipervínculo visitado" xfId="6043" builtinId="9" hidden="1"/>
    <cellStyle name="Hipervínculo visitado" xfId="6045" builtinId="9" hidden="1"/>
    <cellStyle name="Hipervínculo visitado" xfId="6047" builtinId="9" hidden="1"/>
    <cellStyle name="Hipervínculo visitado" xfId="6049" builtinId="9" hidden="1"/>
    <cellStyle name="Hipervínculo visitado" xfId="6051" builtinId="9" hidden="1"/>
    <cellStyle name="Hipervínculo visitado" xfId="6053" builtinId="9" hidden="1"/>
    <cellStyle name="Hipervínculo visitado" xfId="6055" builtinId="9" hidden="1"/>
    <cellStyle name="Hipervínculo visitado" xfId="6057" builtinId="9" hidden="1"/>
    <cellStyle name="Hipervínculo visitado" xfId="6059" builtinId="9" hidden="1"/>
    <cellStyle name="Hipervínculo visitado" xfId="6061" builtinId="9" hidden="1"/>
    <cellStyle name="Hipervínculo visitado" xfId="6063" builtinId="9" hidden="1"/>
    <cellStyle name="Hipervínculo visitado" xfId="6065" builtinId="9" hidden="1"/>
    <cellStyle name="Hipervínculo visitado" xfId="6067" builtinId="9" hidden="1"/>
    <cellStyle name="Hipervínculo visitado" xfId="6069" builtinId="9" hidden="1"/>
    <cellStyle name="Hipervínculo visitado" xfId="6071" builtinId="9" hidden="1"/>
    <cellStyle name="Hipervínculo visitado" xfId="6073" builtinId="9" hidden="1"/>
    <cellStyle name="Hipervínculo visitado" xfId="6075" builtinId="9" hidden="1"/>
    <cellStyle name="Hipervínculo visitado" xfId="6077" builtinId="9" hidden="1"/>
    <cellStyle name="Hipervínculo visitado" xfId="6079" builtinId="9" hidden="1"/>
    <cellStyle name="Hipervínculo visitado" xfId="6081" builtinId="9" hidden="1"/>
    <cellStyle name="Hipervínculo visitado" xfId="6083" builtinId="9" hidden="1"/>
    <cellStyle name="Hipervínculo visitado" xfId="6085" builtinId="9" hidden="1"/>
    <cellStyle name="Hipervínculo visitado" xfId="6087" builtinId="9" hidden="1"/>
    <cellStyle name="Hipervínculo visitado" xfId="6089" builtinId="9" hidden="1"/>
    <cellStyle name="Hipervínculo visitado" xfId="6091" builtinId="9" hidden="1"/>
    <cellStyle name="Hipervínculo visitado" xfId="6093" builtinId="9" hidden="1"/>
    <cellStyle name="Hipervínculo visitado" xfId="6095" builtinId="9" hidden="1"/>
    <cellStyle name="Hipervínculo visitado" xfId="6097" builtinId="9" hidden="1"/>
    <cellStyle name="Hipervínculo visitado" xfId="6099" builtinId="9" hidden="1"/>
    <cellStyle name="Hipervínculo visitado" xfId="6101" builtinId="9" hidden="1"/>
    <cellStyle name="Hipervínculo visitado" xfId="6103" builtinId="9" hidden="1"/>
    <cellStyle name="Hipervínculo visitado" xfId="6105" builtinId="9" hidden="1"/>
    <cellStyle name="Hipervínculo visitado" xfId="6107" builtinId="9" hidden="1"/>
    <cellStyle name="Hipervínculo visitado" xfId="6109" builtinId="9" hidden="1"/>
    <cellStyle name="Hipervínculo visitado" xfId="6111" builtinId="9" hidden="1"/>
    <cellStyle name="Hipervínculo visitado" xfId="6113" builtinId="9" hidden="1"/>
    <cellStyle name="Hipervínculo visitado" xfId="6115" builtinId="9" hidden="1"/>
    <cellStyle name="Hipervínculo visitado" xfId="6117" builtinId="9" hidden="1"/>
    <cellStyle name="Hipervínculo visitado" xfId="6119" builtinId="9" hidden="1"/>
    <cellStyle name="Hipervínculo visitado" xfId="6121" builtinId="9" hidden="1"/>
    <cellStyle name="Hipervínculo visitado" xfId="6123" builtinId="9" hidden="1"/>
    <cellStyle name="Hipervínculo visitado" xfId="6125" builtinId="9" hidden="1"/>
    <cellStyle name="Hipervínculo visitado" xfId="6127" builtinId="9" hidden="1"/>
    <cellStyle name="Hipervínculo visitado" xfId="6129" builtinId="9" hidden="1"/>
    <cellStyle name="Hipervínculo visitado" xfId="6131" builtinId="9" hidden="1"/>
    <cellStyle name="Hipervínculo visitado" xfId="6133" builtinId="9" hidden="1"/>
    <cellStyle name="Hipervínculo visitado" xfId="6135" builtinId="9" hidden="1"/>
    <cellStyle name="Hipervínculo visitado" xfId="6137" builtinId="9" hidden="1"/>
    <cellStyle name="Hipervínculo visitado" xfId="6139" builtinId="9" hidden="1"/>
    <cellStyle name="Hipervínculo visitado" xfId="6141" builtinId="9" hidden="1"/>
    <cellStyle name="Hipervínculo visitado" xfId="6143" builtinId="9" hidden="1"/>
    <cellStyle name="Hipervínculo visitado" xfId="6145" builtinId="9" hidden="1"/>
    <cellStyle name="Hipervínculo visitado" xfId="6147" builtinId="9" hidden="1"/>
    <cellStyle name="Hipervínculo visitado" xfId="6149" builtinId="9" hidden="1"/>
    <cellStyle name="Hipervínculo visitado" xfId="6151" builtinId="9" hidden="1"/>
    <cellStyle name="Hipervínculo visitado" xfId="6153" builtinId="9" hidden="1"/>
    <cellStyle name="Hipervínculo visitado" xfId="6155" builtinId="9" hidden="1"/>
    <cellStyle name="Hipervínculo visitado" xfId="6157" builtinId="9" hidden="1"/>
    <cellStyle name="Hipervínculo visitado" xfId="6159" builtinId="9" hidden="1"/>
    <cellStyle name="Hipervínculo visitado" xfId="6161" builtinId="9" hidden="1"/>
    <cellStyle name="Hipervínculo visitado" xfId="6163" builtinId="9" hidden="1"/>
    <cellStyle name="Hipervínculo visitado" xfId="6165" builtinId="9" hidden="1"/>
    <cellStyle name="Hipervínculo visitado" xfId="6167" builtinId="9" hidden="1"/>
    <cellStyle name="Hipervínculo visitado" xfId="6169" builtinId="9" hidden="1"/>
    <cellStyle name="Hipervínculo visitado" xfId="6171" builtinId="9" hidden="1"/>
    <cellStyle name="Hipervínculo visitado" xfId="6173" builtinId="9" hidden="1"/>
    <cellStyle name="Hipervínculo visitado" xfId="6175" builtinId="9" hidden="1"/>
    <cellStyle name="Hipervínculo visitado" xfId="6177" builtinId="9" hidden="1"/>
    <cellStyle name="Hipervínculo visitado" xfId="6179" builtinId="9" hidden="1"/>
    <cellStyle name="Hipervínculo visitado" xfId="6181" builtinId="9" hidden="1"/>
    <cellStyle name="Hipervínculo visitado" xfId="6183" builtinId="9" hidden="1"/>
    <cellStyle name="Hipervínculo visitado" xfId="6185" builtinId="9" hidden="1"/>
    <cellStyle name="Hipervínculo visitado" xfId="6187" builtinId="9" hidden="1"/>
    <cellStyle name="Hipervínculo visitado" xfId="6189" builtinId="9" hidden="1"/>
    <cellStyle name="Hipervínculo visitado" xfId="6191" builtinId="9" hidden="1"/>
    <cellStyle name="Hipervínculo visitado" xfId="6193" builtinId="9" hidden="1"/>
    <cellStyle name="Hipervínculo visitado" xfId="6195" builtinId="9" hidden="1"/>
    <cellStyle name="Hipervínculo visitado" xfId="6197" builtinId="9" hidden="1"/>
    <cellStyle name="Hipervínculo visitado" xfId="6199" builtinId="9" hidden="1"/>
    <cellStyle name="Hipervínculo visitado" xfId="6201" builtinId="9" hidden="1"/>
    <cellStyle name="Hipervínculo visitado" xfId="6203" builtinId="9" hidden="1"/>
    <cellStyle name="Hipervínculo visitado" xfId="6205" builtinId="9" hidden="1"/>
    <cellStyle name="Hipervínculo visitado" xfId="6207" builtinId="9" hidden="1"/>
    <cellStyle name="Hipervínculo visitado" xfId="6209" builtinId="9" hidden="1"/>
    <cellStyle name="Hipervínculo visitado" xfId="6211" builtinId="9" hidden="1"/>
    <cellStyle name="Hipervínculo visitado" xfId="6213" builtinId="9" hidden="1"/>
    <cellStyle name="Hipervínculo visitado" xfId="6215" builtinId="9" hidden="1"/>
    <cellStyle name="Hipervínculo visitado" xfId="6217" builtinId="9" hidden="1"/>
    <cellStyle name="Hipervínculo visitado" xfId="6219" builtinId="9" hidden="1"/>
    <cellStyle name="Hipervínculo visitado" xfId="6221" builtinId="9" hidden="1"/>
    <cellStyle name="Hipervínculo visitado" xfId="6223" builtinId="9" hidden="1"/>
    <cellStyle name="Hipervínculo visitado" xfId="6225" builtinId="9" hidden="1"/>
    <cellStyle name="Hipervínculo visitado" xfId="6227" builtinId="9" hidden="1"/>
    <cellStyle name="Hipervínculo visitado" xfId="6229" builtinId="9" hidden="1"/>
    <cellStyle name="Hipervínculo visitado" xfId="6231" builtinId="9" hidden="1"/>
    <cellStyle name="Hipervínculo visitado" xfId="6233" builtinId="9" hidden="1"/>
    <cellStyle name="Hipervínculo visitado" xfId="6235" builtinId="9" hidden="1"/>
    <cellStyle name="Hipervínculo visitado" xfId="6237" builtinId="9" hidden="1"/>
    <cellStyle name="Hipervínculo visitado" xfId="6239" builtinId="9" hidden="1"/>
    <cellStyle name="Hipervínculo visitado" xfId="6241" builtinId="9" hidden="1"/>
    <cellStyle name="Hipervínculo visitado" xfId="6243" builtinId="9" hidden="1"/>
    <cellStyle name="Hipervínculo visitado" xfId="6245" builtinId="9" hidden="1"/>
    <cellStyle name="Hipervínculo visitado" xfId="6247" builtinId="9" hidden="1"/>
    <cellStyle name="Hipervínculo visitado" xfId="6249" builtinId="9" hidden="1"/>
    <cellStyle name="Hipervínculo visitado" xfId="6251" builtinId="9" hidden="1"/>
    <cellStyle name="Hipervínculo visitado" xfId="6253" builtinId="9" hidden="1"/>
    <cellStyle name="Hipervínculo visitado" xfId="6255" builtinId="9" hidden="1"/>
    <cellStyle name="Hipervínculo visitado" xfId="6257" builtinId="9" hidden="1"/>
    <cellStyle name="Hipervínculo visitado" xfId="6259" builtinId="9" hidden="1"/>
    <cellStyle name="Hipervínculo visitado" xfId="6261" builtinId="9" hidden="1"/>
    <cellStyle name="Hipervínculo visitado" xfId="6263" builtinId="9" hidden="1"/>
    <cellStyle name="Hipervínculo visitado" xfId="6265" builtinId="9" hidden="1"/>
    <cellStyle name="Hipervínculo visitado" xfId="6267" builtinId="9" hidden="1"/>
    <cellStyle name="Hipervínculo visitado" xfId="6269" builtinId="9" hidden="1"/>
    <cellStyle name="Hipervínculo visitado" xfId="6271" builtinId="9" hidden="1"/>
    <cellStyle name="Hipervínculo visitado" xfId="6273" builtinId="9" hidden="1"/>
    <cellStyle name="Hipervínculo visitado" xfId="6275" builtinId="9" hidden="1"/>
    <cellStyle name="Hipervínculo visitado" xfId="6277" builtinId="9" hidden="1"/>
    <cellStyle name="Hipervínculo visitado" xfId="6279" builtinId="9" hidden="1"/>
    <cellStyle name="Hipervínculo visitado" xfId="6281" builtinId="9" hidden="1"/>
    <cellStyle name="Hipervínculo visitado" xfId="6283" builtinId="9" hidden="1"/>
    <cellStyle name="Hipervínculo visitado" xfId="6285" builtinId="9" hidden="1"/>
    <cellStyle name="Hipervínculo visitado" xfId="6287" builtinId="9" hidden="1"/>
    <cellStyle name="Hipervínculo visitado" xfId="6289" builtinId="9" hidden="1"/>
    <cellStyle name="Hipervínculo visitado" xfId="6291" builtinId="9" hidden="1"/>
    <cellStyle name="Hipervínculo visitado" xfId="6293" builtinId="9" hidden="1"/>
    <cellStyle name="Hipervínculo visitado" xfId="6295" builtinId="9" hidden="1"/>
    <cellStyle name="Hipervínculo visitado" xfId="6297" builtinId="9" hidden="1"/>
    <cellStyle name="Hipervínculo visitado" xfId="6299" builtinId="9" hidden="1"/>
    <cellStyle name="Hipervínculo visitado" xfId="6301" builtinId="9" hidden="1"/>
    <cellStyle name="Hipervínculo visitado" xfId="6303" builtinId="9" hidden="1"/>
    <cellStyle name="Hipervínculo visitado" xfId="6305" builtinId="9" hidden="1"/>
    <cellStyle name="Hipervínculo visitado" xfId="6307" builtinId="9" hidden="1"/>
    <cellStyle name="Hipervínculo visitado" xfId="6309" builtinId="9" hidden="1"/>
    <cellStyle name="Hipervínculo visitado" xfId="6311" builtinId="9" hidden="1"/>
    <cellStyle name="Hipervínculo visitado" xfId="6313" builtinId="9" hidden="1"/>
    <cellStyle name="Hipervínculo visitado" xfId="6315" builtinId="9" hidden="1"/>
    <cellStyle name="Hipervínculo visitado" xfId="6317" builtinId="9" hidden="1"/>
    <cellStyle name="Hipervínculo visitado" xfId="6319" builtinId="9" hidden="1"/>
    <cellStyle name="Hipervínculo visitado" xfId="6321" builtinId="9" hidden="1"/>
    <cellStyle name="Hipervínculo visitado" xfId="6323" builtinId="9" hidden="1"/>
    <cellStyle name="Hipervínculo visitado" xfId="6325" builtinId="9" hidden="1"/>
    <cellStyle name="Hipervínculo visitado" xfId="6327" builtinId="9" hidden="1"/>
    <cellStyle name="Hipervínculo visitado" xfId="6329" builtinId="9" hidden="1"/>
    <cellStyle name="Hipervínculo visitado" xfId="6331" builtinId="9" hidden="1"/>
    <cellStyle name="Hipervínculo visitado" xfId="6333" builtinId="9" hidden="1"/>
    <cellStyle name="Hipervínculo visitado" xfId="6335" builtinId="9" hidden="1"/>
    <cellStyle name="Hipervínculo visitado" xfId="6337" builtinId="9" hidden="1"/>
    <cellStyle name="Hipervínculo visitado" xfId="6339" builtinId="9" hidden="1"/>
    <cellStyle name="Hipervínculo visitado" xfId="6341" builtinId="9" hidden="1"/>
    <cellStyle name="Hipervínculo visitado" xfId="6343" builtinId="9" hidden="1"/>
    <cellStyle name="Hipervínculo visitado" xfId="6345" builtinId="9" hidden="1"/>
    <cellStyle name="Hipervínculo visitado" xfId="6347" builtinId="9" hidden="1"/>
    <cellStyle name="Hipervínculo visitado" xfId="6349" builtinId="9" hidden="1"/>
    <cellStyle name="Hipervínculo visitado" xfId="6351" builtinId="9" hidden="1"/>
    <cellStyle name="Hipervínculo visitado" xfId="6353" builtinId="9" hidden="1"/>
    <cellStyle name="Hipervínculo visitado" xfId="6355" builtinId="9" hidden="1"/>
    <cellStyle name="Hipervínculo visitado" xfId="6357" builtinId="9" hidden="1"/>
    <cellStyle name="Hipervínculo visitado" xfId="6359" builtinId="9" hidden="1"/>
    <cellStyle name="Hipervínculo visitado" xfId="6361" builtinId="9" hidden="1"/>
    <cellStyle name="Hipervínculo visitado" xfId="6363" builtinId="9" hidden="1"/>
    <cellStyle name="Hipervínculo visitado" xfId="6365" builtinId="9" hidden="1"/>
    <cellStyle name="Hipervínculo visitado" xfId="6367" builtinId="9" hidden="1"/>
    <cellStyle name="Hipervínculo visitado" xfId="6369" builtinId="9" hidden="1"/>
    <cellStyle name="Hipervínculo visitado" xfId="6371" builtinId="9" hidden="1"/>
    <cellStyle name="Hipervínculo visitado" xfId="6373" builtinId="9" hidden="1"/>
    <cellStyle name="Hipervínculo visitado" xfId="6375" builtinId="9" hidden="1"/>
    <cellStyle name="Hipervínculo visitado" xfId="6377" builtinId="9" hidden="1"/>
    <cellStyle name="Hipervínculo visitado" xfId="6379" builtinId="9" hidden="1"/>
    <cellStyle name="Hipervínculo visitado" xfId="6381" builtinId="9" hidden="1"/>
    <cellStyle name="Hipervínculo visitado" xfId="6383" builtinId="9" hidden="1"/>
    <cellStyle name="Hipervínculo visitado" xfId="6385" builtinId="9" hidden="1"/>
    <cellStyle name="Hipervínculo visitado" xfId="6387" builtinId="9" hidden="1"/>
    <cellStyle name="Hipervínculo visitado" xfId="6389" builtinId="9" hidden="1"/>
    <cellStyle name="Hipervínculo visitado" xfId="6391" builtinId="9" hidden="1"/>
    <cellStyle name="Hipervínculo visitado" xfId="6393" builtinId="9" hidden="1"/>
    <cellStyle name="Hipervínculo visitado" xfId="6395" builtinId="9" hidden="1"/>
    <cellStyle name="Hipervínculo visitado" xfId="6397" builtinId="9" hidden="1"/>
    <cellStyle name="Hipervínculo visitado" xfId="6399" builtinId="9" hidden="1"/>
    <cellStyle name="Hipervínculo visitado" xfId="6401" builtinId="9" hidden="1"/>
    <cellStyle name="Hipervínculo visitado" xfId="6403" builtinId="9" hidden="1"/>
    <cellStyle name="Hipervínculo visitado" xfId="6405" builtinId="9" hidden="1"/>
    <cellStyle name="Hipervínculo visitado" xfId="6407" builtinId="9" hidden="1"/>
    <cellStyle name="Hipervínculo visitado" xfId="6409" builtinId="9" hidden="1"/>
    <cellStyle name="Hipervínculo visitado" xfId="6411" builtinId="9" hidden="1"/>
    <cellStyle name="Hipervínculo visitado" xfId="6413" builtinId="9" hidden="1"/>
    <cellStyle name="Hipervínculo visitado" xfId="6415" builtinId="9" hidden="1"/>
    <cellStyle name="Hipervínculo visitado" xfId="6417" builtinId="9" hidden="1"/>
    <cellStyle name="Hipervínculo visitado" xfId="6419" builtinId="9" hidden="1"/>
    <cellStyle name="Hipervínculo visitado" xfId="6421" builtinId="9" hidden="1"/>
    <cellStyle name="Hipervínculo visitado" xfId="6423" builtinId="9" hidden="1"/>
    <cellStyle name="Hipervínculo visitado" xfId="6425" builtinId="9" hidden="1"/>
    <cellStyle name="Hipervínculo visitado" xfId="6427" builtinId="9" hidden="1"/>
    <cellStyle name="Hipervínculo visitado" xfId="6429" builtinId="9" hidden="1"/>
    <cellStyle name="Hipervínculo visitado" xfId="6431" builtinId="9" hidden="1"/>
    <cellStyle name="Hipervínculo visitado" xfId="6433" builtinId="9" hidden="1"/>
    <cellStyle name="Hipervínculo visitado" xfId="6435" builtinId="9" hidden="1"/>
    <cellStyle name="Hipervínculo visitado" xfId="6437" builtinId="9" hidden="1"/>
    <cellStyle name="Hipervínculo visitado" xfId="6439" builtinId="9" hidden="1"/>
    <cellStyle name="Hipervínculo visitado" xfId="6441" builtinId="9" hidden="1"/>
    <cellStyle name="Hipervínculo visitado" xfId="6443" builtinId="9" hidden="1"/>
    <cellStyle name="Hipervínculo visitado" xfId="6445" builtinId="9" hidden="1"/>
    <cellStyle name="Hipervínculo visitado" xfId="6447" builtinId="9" hidden="1"/>
    <cellStyle name="Hipervínculo visitado" xfId="6449" builtinId="9" hidden="1"/>
    <cellStyle name="Hipervínculo visitado" xfId="6451" builtinId="9" hidden="1"/>
    <cellStyle name="Hipervínculo visitado" xfId="6453" builtinId="9" hidden="1"/>
    <cellStyle name="Hipervínculo visitado" xfId="6455" builtinId="9" hidden="1"/>
    <cellStyle name="Hipervínculo visitado" xfId="6457" builtinId="9" hidden="1"/>
    <cellStyle name="Hipervínculo visitado" xfId="6459" builtinId="9" hidden="1"/>
    <cellStyle name="Hipervínculo visitado" xfId="6461" builtinId="9" hidden="1"/>
    <cellStyle name="Hipervínculo visitado" xfId="6463" builtinId="9" hidden="1"/>
    <cellStyle name="Hipervínculo visitado" xfId="6465" builtinId="9" hidden="1"/>
    <cellStyle name="Hipervínculo visitado" xfId="6467" builtinId="9" hidden="1"/>
    <cellStyle name="Hipervínculo visitado" xfId="6469" builtinId="9" hidden="1"/>
    <cellStyle name="Hipervínculo visitado" xfId="6471" builtinId="9" hidden="1"/>
    <cellStyle name="Hipervínculo visitado" xfId="6473" builtinId="9" hidden="1"/>
    <cellStyle name="Hipervínculo visitado" xfId="6475" builtinId="9" hidden="1"/>
    <cellStyle name="Hipervínculo visitado" xfId="6477" builtinId="9" hidden="1"/>
    <cellStyle name="Hipervínculo visitado" xfId="6479" builtinId="9" hidden="1"/>
    <cellStyle name="Hipervínculo visitado" xfId="6481" builtinId="9" hidden="1"/>
    <cellStyle name="Hipervínculo visitado" xfId="6483" builtinId="9" hidden="1"/>
    <cellStyle name="Hipervínculo visitado" xfId="6485" builtinId="9" hidden="1"/>
    <cellStyle name="Hipervínculo visitado" xfId="6487" builtinId="9" hidden="1"/>
    <cellStyle name="Hipervínculo visitado" xfId="6489" builtinId="9" hidden="1"/>
    <cellStyle name="Hipervínculo visitado" xfId="6491" builtinId="9" hidden="1"/>
    <cellStyle name="Hipervínculo visitado" xfId="6493" builtinId="9" hidden="1"/>
    <cellStyle name="Hipervínculo visitado" xfId="6495" builtinId="9" hidden="1"/>
    <cellStyle name="Hipervínculo visitado" xfId="6497" builtinId="9" hidden="1"/>
    <cellStyle name="Hipervínculo visitado" xfId="6499" builtinId="9" hidden="1"/>
    <cellStyle name="Hipervínculo visitado" xfId="6501" builtinId="9" hidden="1"/>
    <cellStyle name="Hipervínculo visitado" xfId="6503" builtinId="9" hidden="1"/>
    <cellStyle name="Hipervínculo visitado" xfId="6505" builtinId="9" hidden="1"/>
    <cellStyle name="Hipervínculo visitado" xfId="6507" builtinId="9" hidden="1"/>
    <cellStyle name="Hipervínculo visitado" xfId="6509" builtinId="9" hidden="1"/>
    <cellStyle name="Hipervínculo visitado" xfId="6511" builtinId="9" hidden="1"/>
    <cellStyle name="Hipervínculo visitado" xfId="6513" builtinId="9" hidden="1"/>
    <cellStyle name="Hipervínculo visitado" xfId="6515" builtinId="9" hidden="1"/>
    <cellStyle name="Hipervínculo visitado" xfId="6517" builtinId="9" hidden="1"/>
    <cellStyle name="Hipervínculo visitado" xfId="6519" builtinId="9" hidden="1"/>
    <cellStyle name="Hipervínculo visitado" xfId="6521" builtinId="9" hidden="1"/>
    <cellStyle name="Hipervínculo visitado" xfId="6523" builtinId="9" hidden="1"/>
    <cellStyle name="Hipervínculo visitado" xfId="6525" builtinId="9" hidden="1"/>
    <cellStyle name="Hipervínculo visitado" xfId="6527" builtinId="9" hidden="1"/>
    <cellStyle name="Hipervínculo visitado" xfId="6529" builtinId="9" hidden="1"/>
    <cellStyle name="Hipervínculo visitado" xfId="6531" builtinId="9" hidden="1"/>
    <cellStyle name="Hipervínculo visitado" xfId="6533" builtinId="9" hidden="1"/>
    <cellStyle name="Hipervínculo visitado" xfId="6535" builtinId="9" hidden="1"/>
    <cellStyle name="Hipervínculo visitado" xfId="6537" builtinId="9" hidden="1"/>
    <cellStyle name="Hipervínculo visitado" xfId="6539" builtinId="9" hidden="1"/>
    <cellStyle name="Hipervínculo visitado" xfId="6541" builtinId="9" hidden="1"/>
    <cellStyle name="Hipervínculo visitado" xfId="6543" builtinId="9" hidden="1"/>
    <cellStyle name="Hipervínculo visitado" xfId="6545" builtinId="9" hidden="1"/>
    <cellStyle name="Hipervínculo visitado" xfId="6547" builtinId="9" hidden="1"/>
    <cellStyle name="Hipervínculo visitado" xfId="6549" builtinId="9" hidden="1"/>
    <cellStyle name="Hipervínculo visitado" xfId="6551" builtinId="9" hidden="1"/>
    <cellStyle name="Hipervínculo visitado" xfId="6553" builtinId="9" hidden="1"/>
    <cellStyle name="Hipervínculo visitado" xfId="6555" builtinId="9" hidden="1"/>
    <cellStyle name="Hipervínculo visitado" xfId="6557" builtinId="9" hidden="1"/>
    <cellStyle name="Hipervínculo visitado" xfId="6559" builtinId="9" hidden="1"/>
    <cellStyle name="Hipervínculo visitado" xfId="6561" builtinId="9" hidden="1"/>
    <cellStyle name="Hipervínculo visitado" xfId="6563" builtinId="9" hidden="1"/>
    <cellStyle name="Hipervínculo visitado" xfId="6565" builtinId="9" hidden="1"/>
    <cellStyle name="Hipervínculo visitado" xfId="6567" builtinId="9" hidden="1"/>
    <cellStyle name="Hipervínculo visitado" xfId="6569" builtinId="9" hidden="1"/>
    <cellStyle name="Hipervínculo visitado" xfId="6571" builtinId="9" hidden="1"/>
    <cellStyle name="Hipervínculo visitado" xfId="6573" builtinId="9" hidden="1"/>
    <cellStyle name="Hipervínculo visitado" xfId="6575" builtinId="9" hidden="1"/>
    <cellStyle name="Hipervínculo visitado" xfId="6577" builtinId="9" hidden="1"/>
    <cellStyle name="Hipervínculo visitado" xfId="6579" builtinId="9" hidden="1"/>
    <cellStyle name="Hipervínculo visitado" xfId="6581" builtinId="9" hidden="1"/>
    <cellStyle name="Hipervínculo visitado" xfId="6583" builtinId="9" hidden="1"/>
    <cellStyle name="Hipervínculo visitado" xfId="6585" builtinId="9" hidden="1"/>
    <cellStyle name="Hipervínculo visitado" xfId="6587" builtinId="9" hidden="1"/>
    <cellStyle name="Hipervínculo visitado" xfId="6589" builtinId="9" hidden="1"/>
    <cellStyle name="Hipervínculo visitado" xfId="6591" builtinId="9" hidden="1"/>
    <cellStyle name="Hipervínculo visitado" xfId="6593" builtinId="9" hidden="1"/>
    <cellStyle name="Hipervínculo visitado" xfId="6595" builtinId="9" hidden="1"/>
    <cellStyle name="Hipervínculo visitado" xfId="6597" builtinId="9" hidden="1"/>
    <cellStyle name="Hipervínculo visitado" xfId="6599" builtinId="9" hidden="1"/>
    <cellStyle name="Hipervínculo visitado" xfId="6601" builtinId="9" hidden="1"/>
    <cellStyle name="Hipervínculo visitado" xfId="6603" builtinId="9" hidden="1"/>
    <cellStyle name="Hipervínculo visitado" xfId="6605" builtinId="9" hidden="1"/>
    <cellStyle name="Hipervínculo visitado" xfId="6607" builtinId="9" hidden="1"/>
    <cellStyle name="Hipervínculo visitado" xfId="6609" builtinId="9" hidden="1"/>
    <cellStyle name="Hipervínculo visitado" xfId="6611" builtinId="9" hidden="1"/>
    <cellStyle name="Hipervínculo visitado" xfId="6613" builtinId="9" hidden="1"/>
    <cellStyle name="Hipervínculo visitado" xfId="6615" builtinId="9" hidden="1"/>
    <cellStyle name="Hipervínculo visitado" xfId="6617" builtinId="9" hidden="1"/>
    <cellStyle name="Hipervínculo visitado" xfId="6619" builtinId="9" hidden="1"/>
    <cellStyle name="Hipervínculo visitado" xfId="6621" builtinId="9" hidden="1"/>
    <cellStyle name="Hipervínculo visitado" xfId="6623" builtinId="9" hidden="1"/>
    <cellStyle name="Hipervínculo visitado" xfId="6625" builtinId="9" hidden="1"/>
    <cellStyle name="Hipervínculo visitado" xfId="6627" builtinId="9" hidden="1"/>
    <cellStyle name="Hipervínculo visitado" xfId="6629" builtinId="9" hidden="1"/>
    <cellStyle name="Hipervínculo visitado" xfId="6631" builtinId="9" hidden="1"/>
    <cellStyle name="Hipervínculo visitado" xfId="6633" builtinId="9" hidden="1"/>
    <cellStyle name="Hipervínculo visitado" xfId="6635" builtinId="9" hidden="1"/>
    <cellStyle name="Hipervínculo visitado" xfId="6637" builtinId="9" hidden="1"/>
    <cellStyle name="Hipervínculo visitado" xfId="6639" builtinId="9" hidden="1"/>
    <cellStyle name="Hipervínculo visitado" xfId="6641" builtinId="9" hidden="1"/>
    <cellStyle name="Hipervínculo visitado" xfId="6643" builtinId="9" hidden="1"/>
    <cellStyle name="Hipervínculo visitado" xfId="6645" builtinId="9" hidden="1"/>
    <cellStyle name="Hipervínculo visitado" xfId="6647" builtinId="9" hidden="1"/>
    <cellStyle name="Hipervínculo visitado" xfId="6649" builtinId="9" hidden="1"/>
    <cellStyle name="Hipervínculo visitado" xfId="6651" builtinId="9" hidden="1"/>
    <cellStyle name="Hipervínculo visitado" xfId="6653" builtinId="9" hidden="1"/>
    <cellStyle name="Hipervínculo visitado" xfId="6655" builtinId="9" hidden="1"/>
    <cellStyle name="Hipervínculo visitado" xfId="6657" builtinId="9" hidden="1"/>
    <cellStyle name="Hipervínculo visitado" xfId="6659" builtinId="9" hidden="1"/>
    <cellStyle name="Hipervínculo visitado" xfId="6661" builtinId="9" hidden="1"/>
    <cellStyle name="Hipervínculo visitado" xfId="6663" builtinId="9" hidden="1"/>
    <cellStyle name="Hipervínculo visitado" xfId="6665" builtinId="9" hidden="1"/>
    <cellStyle name="Hipervínculo visitado" xfId="6667" builtinId="9" hidden="1"/>
    <cellStyle name="Hipervínculo visitado" xfId="6669" builtinId="9" hidden="1"/>
    <cellStyle name="Hipervínculo visitado" xfId="6671" builtinId="9" hidden="1"/>
    <cellStyle name="Hipervínculo visitado" xfId="6673" builtinId="9" hidden="1"/>
    <cellStyle name="Hipervínculo visitado" xfId="6675" builtinId="9" hidden="1"/>
    <cellStyle name="Hipervínculo visitado" xfId="6677" builtinId="9" hidden="1"/>
    <cellStyle name="Hipervínculo visitado" xfId="6679" builtinId="9" hidden="1"/>
    <cellStyle name="Hipervínculo visitado" xfId="6681" builtinId="9" hidden="1"/>
    <cellStyle name="Hipervínculo visitado" xfId="6683" builtinId="9" hidden="1"/>
    <cellStyle name="Hipervínculo visitado" xfId="6685" builtinId="9" hidden="1"/>
    <cellStyle name="Hipervínculo visitado" xfId="6687" builtinId="9" hidden="1"/>
    <cellStyle name="Hipervínculo visitado" xfId="6689" builtinId="9" hidden="1"/>
    <cellStyle name="Hipervínculo visitado" xfId="6691" builtinId="9" hidden="1"/>
    <cellStyle name="Hipervínculo visitado" xfId="6693" builtinId="9" hidden="1"/>
    <cellStyle name="Hipervínculo visitado" xfId="6695" builtinId="9" hidden="1"/>
    <cellStyle name="Hipervínculo visitado" xfId="6697" builtinId="9" hidden="1"/>
    <cellStyle name="Hipervínculo visitado" xfId="6699" builtinId="9" hidden="1"/>
    <cellStyle name="Hipervínculo visitado" xfId="6701" builtinId="9" hidden="1"/>
    <cellStyle name="Hipervínculo visitado" xfId="6703" builtinId="9" hidden="1"/>
    <cellStyle name="Hipervínculo visitado" xfId="6705" builtinId="9" hidden="1"/>
    <cellStyle name="Hipervínculo visitado" xfId="6707" builtinId="9" hidden="1"/>
    <cellStyle name="Hipervínculo visitado" xfId="6709" builtinId="9" hidden="1"/>
    <cellStyle name="Hipervínculo visitado" xfId="6711" builtinId="9" hidden="1"/>
    <cellStyle name="Hipervínculo visitado" xfId="6713" builtinId="9" hidden="1"/>
    <cellStyle name="Hipervínculo visitado" xfId="6715" builtinId="9" hidden="1"/>
    <cellStyle name="Hipervínculo visitado" xfId="6717" builtinId="9" hidden="1"/>
    <cellStyle name="Hipervínculo visitado" xfId="6719" builtinId="9" hidden="1"/>
    <cellStyle name="Hipervínculo visitado" xfId="6721" builtinId="9" hidden="1"/>
    <cellStyle name="Hipervínculo visitado" xfId="6723" builtinId="9" hidden="1"/>
    <cellStyle name="Hipervínculo visitado" xfId="6725" builtinId="9" hidden="1"/>
    <cellStyle name="Hipervínculo visitado" xfId="6727" builtinId="9" hidden="1"/>
    <cellStyle name="Hipervínculo visitado" xfId="6729" builtinId="9" hidden="1"/>
    <cellStyle name="Hipervínculo visitado" xfId="6731" builtinId="9" hidden="1"/>
    <cellStyle name="Hipervínculo visitado" xfId="6733" builtinId="9" hidden="1"/>
    <cellStyle name="Hipervínculo visitado" xfId="6735" builtinId="9" hidden="1"/>
    <cellStyle name="Hipervínculo visitado" xfId="6737" builtinId="9" hidden="1"/>
    <cellStyle name="Hipervínculo visitado" xfId="6739" builtinId="9" hidden="1"/>
    <cellStyle name="Hipervínculo visitado" xfId="6741" builtinId="9" hidden="1"/>
    <cellStyle name="Hipervínculo visitado" xfId="6743" builtinId="9" hidden="1"/>
    <cellStyle name="Hipervínculo visitado" xfId="6745" builtinId="9" hidden="1"/>
    <cellStyle name="Hipervínculo visitado" xfId="6747" builtinId="9" hidden="1"/>
    <cellStyle name="Hipervínculo visitado" xfId="6749" builtinId="9" hidden="1"/>
    <cellStyle name="Hipervínculo visitado" xfId="6751" builtinId="9" hidden="1"/>
    <cellStyle name="Hipervínculo visitado" xfId="6753" builtinId="9" hidden="1"/>
    <cellStyle name="Hipervínculo visitado" xfId="6755" builtinId="9" hidden="1"/>
    <cellStyle name="Hipervínculo visitado" xfId="6757" builtinId="9" hidden="1"/>
    <cellStyle name="Hipervínculo visitado" xfId="6759" builtinId="9" hidden="1"/>
    <cellStyle name="Hipervínculo visitado" xfId="6761" builtinId="9" hidden="1"/>
    <cellStyle name="Hipervínculo visitado" xfId="6763" builtinId="9" hidden="1"/>
    <cellStyle name="Hipervínculo visitado" xfId="6765" builtinId="9" hidden="1"/>
    <cellStyle name="Hipervínculo visitado" xfId="6767" builtinId="9" hidden="1"/>
    <cellStyle name="Hipervínculo visitado" xfId="6769" builtinId="9" hidden="1"/>
    <cellStyle name="Hipervínculo visitado" xfId="6771" builtinId="9" hidden="1"/>
    <cellStyle name="Hipervínculo visitado" xfId="6773" builtinId="9" hidden="1"/>
    <cellStyle name="Hipervínculo visitado" xfId="6775" builtinId="9" hidden="1"/>
    <cellStyle name="Hipervínculo visitado" xfId="6777" builtinId="9" hidden="1"/>
    <cellStyle name="Hipervínculo visitado" xfId="6779" builtinId="9" hidden="1"/>
    <cellStyle name="Hipervínculo visitado" xfId="6781" builtinId="9" hidden="1"/>
    <cellStyle name="Hipervínculo visitado" xfId="6783" builtinId="9" hidden="1"/>
    <cellStyle name="Hipervínculo visitado" xfId="6785" builtinId="9" hidden="1"/>
    <cellStyle name="Hipervínculo visitado" xfId="6787" builtinId="9" hidden="1"/>
    <cellStyle name="Hipervínculo visitado" xfId="6789" builtinId="9" hidden="1"/>
    <cellStyle name="Hipervínculo visitado" xfId="6791" builtinId="9" hidden="1"/>
    <cellStyle name="Hipervínculo visitado" xfId="6793" builtinId="9" hidden="1"/>
    <cellStyle name="Hipervínculo visitado" xfId="6795" builtinId="9" hidden="1"/>
    <cellStyle name="Hipervínculo visitado" xfId="6797" builtinId="9" hidden="1"/>
    <cellStyle name="Hipervínculo visitado" xfId="6799" builtinId="9" hidden="1"/>
    <cellStyle name="Hipervínculo visitado" xfId="6801" builtinId="9" hidden="1"/>
    <cellStyle name="Hipervínculo visitado" xfId="6803" builtinId="9" hidden="1"/>
    <cellStyle name="Hipervínculo visitado" xfId="6805" builtinId="9" hidden="1"/>
    <cellStyle name="Hipervínculo visitado" xfId="6807" builtinId="9" hidden="1"/>
    <cellStyle name="Hipervínculo visitado" xfId="6809" builtinId="9" hidden="1"/>
    <cellStyle name="Hipervínculo visitado" xfId="6811" builtinId="9" hidden="1"/>
    <cellStyle name="Hipervínculo visitado" xfId="6813" builtinId="9" hidden="1"/>
    <cellStyle name="Hipervínculo visitado" xfId="6815" builtinId="9" hidden="1"/>
    <cellStyle name="Hipervínculo visitado" xfId="6817" builtinId="9" hidden="1"/>
    <cellStyle name="Hipervínculo visitado" xfId="6819" builtinId="9" hidden="1"/>
    <cellStyle name="Hipervínculo visitado" xfId="6821" builtinId="9" hidden="1"/>
    <cellStyle name="Hipervínculo visitado" xfId="6823" builtinId="9" hidden="1"/>
    <cellStyle name="Hipervínculo visitado" xfId="6825" builtinId="9" hidden="1"/>
    <cellStyle name="Hipervínculo visitado" xfId="6827" builtinId="9" hidden="1"/>
    <cellStyle name="Hipervínculo visitado" xfId="6829" builtinId="9" hidden="1"/>
    <cellStyle name="Hipervínculo visitado" xfId="6831" builtinId="9" hidden="1"/>
    <cellStyle name="Hipervínculo visitado" xfId="6833" builtinId="9" hidden="1"/>
    <cellStyle name="Hipervínculo visitado" xfId="6835" builtinId="9" hidden="1"/>
    <cellStyle name="Hipervínculo visitado" xfId="6837" builtinId="9" hidden="1"/>
    <cellStyle name="Hipervínculo visitado" xfId="6839" builtinId="9" hidden="1"/>
    <cellStyle name="Hipervínculo visitado" xfId="6841" builtinId="9" hidden="1"/>
    <cellStyle name="Hipervínculo visitado" xfId="6843" builtinId="9" hidden="1"/>
    <cellStyle name="Hipervínculo visitado" xfId="6845" builtinId="9" hidden="1"/>
    <cellStyle name="Hipervínculo visitado" xfId="6847" builtinId="9" hidden="1"/>
    <cellStyle name="Hipervínculo visitado" xfId="6849" builtinId="9" hidden="1"/>
    <cellStyle name="Hipervínculo visitado" xfId="6851" builtinId="9" hidden="1"/>
    <cellStyle name="Hipervínculo visitado" xfId="6853" builtinId="9" hidden="1"/>
    <cellStyle name="Hipervínculo visitado" xfId="6855" builtinId="9" hidden="1"/>
    <cellStyle name="Hipervínculo visitado" xfId="6857" builtinId="9" hidden="1"/>
    <cellStyle name="Hipervínculo visitado" xfId="6859" builtinId="9" hidden="1"/>
    <cellStyle name="Hipervínculo visitado" xfId="6861" builtinId="9" hidden="1"/>
    <cellStyle name="Hipervínculo visitado" xfId="6863" builtinId="9" hidden="1"/>
    <cellStyle name="Hipervínculo visitado" xfId="6865" builtinId="9" hidden="1"/>
    <cellStyle name="Hipervínculo visitado" xfId="6867" builtinId="9" hidden="1"/>
    <cellStyle name="Hipervínculo visitado" xfId="6869" builtinId="9" hidden="1"/>
    <cellStyle name="Hipervínculo visitado" xfId="6871" builtinId="9" hidden="1"/>
    <cellStyle name="Hipervínculo visitado" xfId="6873" builtinId="9" hidden="1"/>
    <cellStyle name="Hipervínculo visitado" xfId="6875" builtinId="9" hidden="1"/>
    <cellStyle name="Hipervínculo visitado" xfId="6877" builtinId="9" hidden="1"/>
    <cellStyle name="Hipervínculo visitado" xfId="6879" builtinId="9" hidden="1"/>
    <cellStyle name="Hipervínculo visitado" xfId="6881" builtinId="9" hidden="1"/>
    <cellStyle name="Hipervínculo visitado" xfId="6883" builtinId="9" hidden="1"/>
    <cellStyle name="Hipervínculo visitado" xfId="6885" builtinId="9" hidden="1"/>
    <cellStyle name="Hipervínculo visitado" xfId="6887" builtinId="9" hidden="1"/>
    <cellStyle name="Hipervínculo visitado" xfId="6889" builtinId="9" hidden="1"/>
    <cellStyle name="Hipervínculo visitado" xfId="6891" builtinId="9" hidden="1"/>
    <cellStyle name="Hipervínculo visitado" xfId="6893" builtinId="9" hidden="1"/>
    <cellStyle name="Hipervínculo visitado" xfId="6895" builtinId="9" hidden="1"/>
    <cellStyle name="Hipervínculo visitado" xfId="6897" builtinId="9" hidden="1"/>
    <cellStyle name="Hipervínculo visitado" xfId="6899" builtinId="9" hidden="1"/>
    <cellStyle name="Hipervínculo visitado" xfId="6901" builtinId="9" hidden="1"/>
    <cellStyle name="Hipervínculo visitado" xfId="6903" builtinId="9" hidden="1"/>
    <cellStyle name="Hipervínculo visitado" xfId="6905" builtinId="9" hidden="1"/>
    <cellStyle name="Hipervínculo visitado" xfId="6907" builtinId="9" hidden="1"/>
    <cellStyle name="Hipervínculo visitado" xfId="6909" builtinId="9" hidden="1"/>
    <cellStyle name="Hipervínculo visitado" xfId="6911" builtinId="9" hidden="1"/>
    <cellStyle name="Hipervínculo visitado" xfId="6913" builtinId="9" hidden="1"/>
    <cellStyle name="Hipervínculo visitado" xfId="6915" builtinId="9" hidden="1"/>
    <cellStyle name="Hipervínculo visitado" xfId="6917" builtinId="9" hidden="1"/>
    <cellStyle name="Hipervínculo visitado" xfId="6919" builtinId="9" hidden="1"/>
    <cellStyle name="Hipervínculo visitado" xfId="6921" builtinId="9" hidden="1"/>
    <cellStyle name="Hipervínculo visitado" xfId="6923" builtinId="9" hidden="1"/>
    <cellStyle name="Hipervínculo visitado" xfId="6925" builtinId="9" hidden="1"/>
    <cellStyle name="Hipervínculo visitado" xfId="6927" builtinId="9" hidden="1"/>
    <cellStyle name="Hipervínculo visitado" xfId="6929" builtinId="9" hidden="1"/>
    <cellStyle name="Hipervínculo visitado" xfId="6931" builtinId="9" hidden="1"/>
    <cellStyle name="Hipervínculo visitado" xfId="6933" builtinId="9" hidden="1"/>
    <cellStyle name="Hipervínculo visitado" xfId="6935" builtinId="9" hidden="1"/>
    <cellStyle name="Hipervínculo visitado" xfId="6937" builtinId="9" hidden="1"/>
    <cellStyle name="Hipervínculo visitado" xfId="6939" builtinId="9" hidden="1"/>
    <cellStyle name="Hipervínculo visitado" xfId="6941" builtinId="9" hidden="1"/>
    <cellStyle name="Hipervínculo visitado" xfId="6943" builtinId="9" hidden="1"/>
    <cellStyle name="Hipervínculo visitado" xfId="6945" builtinId="9" hidden="1"/>
    <cellStyle name="Hipervínculo visitado" xfId="6947" builtinId="9" hidden="1"/>
    <cellStyle name="Hipervínculo visitado" xfId="6949" builtinId="9" hidden="1"/>
    <cellStyle name="Hipervínculo visitado" xfId="6951" builtinId="9" hidden="1"/>
    <cellStyle name="Hipervínculo visitado" xfId="6953" builtinId="9" hidden="1"/>
    <cellStyle name="Hipervínculo visitado" xfId="6955" builtinId="9" hidden="1"/>
    <cellStyle name="Hipervínculo visitado" xfId="6957" builtinId="9" hidden="1"/>
    <cellStyle name="Hipervínculo visitado" xfId="6959" builtinId="9" hidden="1"/>
    <cellStyle name="Hipervínculo visitado" xfId="6961" builtinId="9" hidden="1"/>
    <cellStyle name="Hipervínculo visitado" xfId="6963" builtinId="9" hidden="1"/>
    <cellStyle name="Hipervínculo visitado" xfId="6965" builtinId="9" hidden="1"/>
    <cellStyle name="Hipervínculo visitado" xfId="6967" builtinId="9" hidden="1"/>
    <cellStyle name="Hipervínculo visitado" xfId="6969" builtinId="9" hidden="1"/>
    <cellStyle name="Hipervínculo visitado" xfId="6971" builtinId="9" hidden="1"/>
    <cellStyle name="Hipervínculo visitado" xfId="6973" builtinId="9" hidden="1"/>
    <cellStyle name="Hipervínculo visitado" xfId="6975" builtinId="9" hidden="1"/>
    <cellStyle name="Hipervínculo visitado" xfId="6977" builtinId="9" hidden="1"/>
    <cellStyle name="Hipervínculo visitado" xfId="6979" builtinId="9" hidden="1"/>
    <cellStyle name="Hipervínculo visitado" xfId="6981" builtinId="9" hidden="1"/>
    <cellStyle name="Hipervínculo visitado" xfId="6983" builtinId="9" hidden="1"/>
    <cellStyle name="Hipervínculo visitado" xfId="6985" builtinId="9" hidden="1"/>
    <cellStyle name="Hipervínculo visitado" xfId="6987" builtinId="9" hidden="1"/>
    <cellStyle name="Hipervínculo visitado" xfId="6989" builtinId="9" hidden="1"/>
    <cellStyle name="Hipervínculo visitado" xfId="6991" builtinId="9" hidden="1"/>
    <cellStyle name="Hipervínculo visitado" xfId="6993" builtinId="9" hidden="1"/>
    <cellStyle name="Hipervínculo visitado" xfId="6995" builtinId="9" hidden="1"/>
    <cellStyle name="Hipervínculo visitado" xfId="6997" builtinId="9" hidden="1"/>
    <cellStyle name="Hipervínculo visitado" xfId="6999" builtinId="9" hidden="1"/>
    <cellStyle name="Hipervínculo visitado" xfId="7001" builtinId="9" hidden="1"/>
    <cellStyle name="Hipervínculo visitado" xfId="7003" builtinId="9" hidden="1"/>
    <cellStyle name="Hipervínculo visitado" xfId="7005" builtinId="9" hidden="1"/>
    <cellStyle name="Hipervínculo visitado" xfId="7007" builtinId="9" hidden="1"/>
    <cellStyle name="Hipervínculo visitado" xfId="7009" builtinId="9" hidden="1"/>
    <cellStyle name="Hipervínculo visitado" xfId="7011" builtinId="9" hidden="1"/>
    <cellStyle name="Hipervínculo visitado" xfId="7013" builtinId="9" hidden="1"/>
    <cellStyle name="Hipervínculo visitado" xfId="7015" builtinId="9" hidden="1"/>
    <cellStyle name="Hipervínculo visitado" xfId="7017" builtinId="9" hidden="1"/>
    <cellStyle name="Hipervínculo visitado" xfId="7019" builtinId="9" hidden="1"/>
    <cellStyle name="Hipervínculo visitado" xfId="7021" builtinId="9" hidden="1"/>
    <cellStyle name="Hipervínculo visitado" xfId="7023" builtinId="9" hidden="1"/>
    <cellStyle name="Hipervínculo visitado" xfId="7025" builtinId="9" hidden="1"/>
    <cellStyle name="Hipervínculo visitado" xfId="7027" builtinId="9" hidden="1"/>
    <cellStyle name="Hipervínculo visitado" xfId="7029" builtinId="9" hidden="1"/>
    <cellStyle name="Hipervínculo visitado" xfId="7031" builtinId="9" hidden="1"/>
    <cellStyle name="Hipervínculo visitado" xfId="7033" builtinId="9" hidden="1"/>
    <cellStyle name="Hipervínculo visitado" xfId="7035" builtinId="9" hidden="1"/>
    <cellStyle name="Hipervínculo visitado" xfId="7037" builtinId="9" hidden="1"/>
    <cellStyle name="Hipervínculo visitado" xfId="7039" builtinId="9" hidden="1"/>
    <cellStyle name="Hipervínculo visitado" xfId="7041" builtinId="9" hidden="1"/>
    <cellStyle name="Hipervínculo visitado" xfId="7043" builtinId="9" hidden="1"/>
    <cellStyle name="Hipervínculo visitado" xfId="7045" builtinId="9" hidden="1"/>
    <cellStyle name="Hipervínculo visitado" xfId="7047" builtinId="9" hidden="1"/>
    <cellStyle name="Hipervínculo visitado" xfId="7049" builtinId="9" hidden="1"/>
    <cellStyle name="Hipervínculo visitado" xfId="7051" builtinId="9" hidden="1"/>
    <cellStyle name="Hipervínculo visitado" xfId="7053" builtinId="9" hidden="1"/>
    <cellStyle name="Hipervínculo visitado" xfId="7055" builtinId="9" hidden="1"/>
    <cellStyle name="Hipervínculo visitado" xfId="7057" builtinId="9" hidden="1"/>
    <cellStyle name="Hipervínculo visitado" xfId="7059" builtinId="9" hidden="1"/>
    <cellStyle name="Hipervínculo visitado" xfId="7061" builtinId="9" hidden="1"/>
    <cellStyle name="Hipervínculo visitado" xfId="7063" builtinId="9" hidden="1"/>
    <cellStyle name="Hipervínculo visitado" xfId="7065" builtinId="9" hidden="1"/>
    <cellStyle name="Hipervínculo visitado" xfId="7067" builtinId="9" hidden="1"/>
    <cellStyle name="Hipervínculo visitado" xfId="7069" builtinId="9" hidden="1"/>
    <cellStyle name="Hipervínculo visitado" xfId="7071" builtinId="9" hidden="1"/>
    <cellStyle name="Hipervínculo visitado" xfId="7073" builtinId="9" hidden="1"/>
    <cellStyle name="Hipervínculo visitado" xfId="7075" builtinId="9" hidden="1"/>
    <cellStyle name="Hipervínculo visitado" xfId="7077" builtinId="9" hidden="1"/>
    <cellStyle name="Hipervínculo visitado" xfId="7079" builtinId="9" hidden="1"/>
    <cellStyle name="Hipervínculo visitado" xfId="7081" builtinId="9" hidden="1"/>
    <cellStyle name="Hipervínculo visitado" xfId="7083" builtinId="9" hidden="1"/>
    <cellStyle name="Hipervínculo visitado" xfId="7085" builtinId="9" hidden="1"/>
    <cellStyle name="Hipervínculo visitado" xfId="7087" builtinId="9" hidden="1"/>
    <cellStyle name="Hipervínculo visitado" xfId="7089" builtinId="9" hidden="1"/>
    <cellStyle name="Hipervínculo visitado" xfId="7091" builtinId="9" hidden="1"/>
    <cellStyle name="Hipervínculo visitado" xfId="7093" builtinId="9" hidden="1"/>
    <cellStyle name="Hipervínculo visitado" xfId="7095" builtinId="9" hidden="1"/>
    <cellStyle name="Hipervínculo visitado" xfId="7097" builtinId="9" hidden="1"/>
    <cellStyle name="Hipervínculo visitado" xfId="7099" builtinId="9" hidden="1"/>
    <cellStyle name="Hipervínculo visitado" xfId="7101" builtinId="9" hidden="1"/>
    <cellStyle name="Hipervínculo visitado" xfId="7103" builtinId="9" hidden="1"/>
    <cellStyle name="Hipervínculo visitado" xfId="7105" builtinId="9" hidden="1"/>
    <cellStyle name="Hipervínculo visitado" xfId="7107" builtinId="9" hidden="1"/>
    <cellStyle name="Hipervínculo visitado" xfId="7109" builtinId="9" hidden="1"/>
    <cellStyle name="Hipervínculo visitado" xfId="7111" builtinId="9" hidden="1"/>
    <cellStyle name="Hipervínculo visitado" xfId="7113" builtinId="9" hidden="1"/>
    <cellStyle name="Hipervínculo visitado" xfId="7115" builtinId="9" hidden="1"/>
    <cellStyle name="Hipervínculo visitado" xfId="7117" builtinId="9" hidden="1"/>
    <cellStyle name="Hipervínculo visitado" xfId="7119" builtinId="9" hidden="1"/>
    <cellStyle name="Hipervínculo visitado" xfId="7121" builtinId="9" hidden="1"/>
    <cellStyle name="Hipervínculo visitado" xfId="7123" builtinId="9" hidden="1"/>
    <cellStyle name="Hipervínculo visitado" xfId="7125" builtinId="9" hidden="1"/>
    <cellStyle name="Hipervínculo visitado" xfId="7127" builtinId="9" hidden="1"/>
    <cellStyle name="Hipervínculo visitado" xfId="7129" builtinId="9" hidden="1"/>
    <cellStyle name="Hipervínculo visitado" xfId="7131" builtinId="9" hidden="1"/>
    <cellStyle name="Hipervínculo visitado" xfId="7133" builtinId="9" hidden="1"/>
    <cellStyle name="Hipervínculo visitado" xfId="7135" builtinId="9" hidden="1"/>
    <cellStyle name="Hipervínculo visitado" xfId="7137" builtinId="9" hidden="1"/>
    <cellStyle name="Hipervínculo visitado" xfId="7139" builtinId="9" hidden="1"/>
    <cellStyle name="Hipervínculo visitado" xfId="7141" builtinId="9" hidden="1"/>
    <cellStyle name="Hipervínculo visitado" xfId="7143" builtinId="9" hidden="1"/>
    <cellStyle name="Hipervínculo visitado" xfId="7145" builtinId="9" hidden="1"/>
    <cellStyle name="Hipervínculo visitado" xfId="7147" builtinId="9" hidden="1"/>
    <cellStyle name="Hipervínculo visitado" xfId="7149" builtinId="9" hidden="1"/>
    <cellStyle name="Hipervínculo visitado" xfId="7151" builtinId="9" hidden="1"/>
    <cellStyle name="Hipervínculo visitado" xfId="7153" builtinId="9" hidden="1"/>
    <cellStyle name="Hipervínculo visitado" xfId="7155" builtinId="9" hidden="1"/>
    <cellStyle name="Hipervínculo visitado" xfId="7157" builtinId="9" hidden="1"/>
    <cellStyle name="Hipervínculo visitado" xfId="7159" builtinId="9" hidden="1"/>
    <cellStyle name="Hipervínculo visitado" xfId="7161" builtinId="9" hidden="1"/>
    <cellStyle name="Hipervínculo visitado" xfId="7163" builtinId="9" hidden="1"/>
    <cellStyle name="Hipervínculo visitado" xfId="7165" builtinId="9" hidden="1"/>
    <cellStyle name="Hipervínculo visitado" xfId="7167" builtinId="9" hidden="1"/>
    <cellStyle name="Hipervínculo visitado" xfId="7169" builtinId="9" hidden="1"/>
    <cellStyle name="Hipervínculo visitado" xfId="7171" builtinId="9" hidden="1"/>
    <cellStyle name="Hipervínculo visitado" xfId="7173" builtinId="9" hidden="1"/>
    <cellStyle name="Hipervínculo visitado" xfId="7175" builtinId="9" hidden="1"/>
    <cellStyle name="Hipervínculo visitado" xfId="7177" builtinId="9" hidden="1"/>
    <cellStyle name="Hipervínculo visitado" xfId="7179" builtinId="9" hidden="1"/>
    <cellStyle name="Hipervínculo visitado" xfId="7181" builtinId="9" hidden="1"/>
    <cellStyle name="Hipervínculo visitado" xfId="7183" builtinId="9" hidden="1"/>
    <cellStyle name="Hipervínculo visitado" xfId="7185" builtinId="9" hidden="1"/>
    <cellStyle name="Hipervínculo visitado" xfId="7187" builtinId="9" hidden="1"/>
    <cellStyle name="Hipervínculo visitado" xfId="7189" builtinId="9" hidden="1"/>
    <cellStyle name="Hipervínculo visitado" xfId="7191" builtinId="9" hidden="1"/>
    <cellStyle name="Hipervínculo visitado" xfId="7193" builtinId="9" hidden="1"/>
    <cellStyle name="Hipervínculo visitado" xfId="7195" builtinId="9" hidden="1"/>
    <cellStyle name="Hipervínculo visitado" xfId="7197" builtinId="9" hidden="1"/>
    <cellStyle name="Hipervínculo visitado" xfId="7199" builtinId="9" hidden="1"/>
    <cellStyle name="Hipervínculo visitado" xfId="7201" builtinId="9" hidden="1"/>
    <cellStyle name="Hipervínculo visitado" xfId="7203" builtinId="9" hidden="1"/>
    <cellStyle name="Hipervínculo visitado" xfId="7205" builtinId="9" hidden="1"/>
    <cellStyle name="Hipervínculo visitado" xfId="7207" builtinId="9" hidden="1"/>
    <cellStyle name="Hipervínculo visitado" xfId="7209" builtinId="9" hidden="1"/>
    <cellStyle name="Hipervínculo visitado" xfId="7211" builtinId="9" hidden="1"/>
    <cellStyle name="Hipervínculo visitado" xfId="7213" builtinId="9" hidden="1"/>
    <cellStyle name="Hipervínculo visitado" xfId="7215" builtinId="9" hidden="1"/>
    <cellStyle name="Hipervínculo visitado" xfId="7217" builtinId="9" hidden="1"/>
    <cellStyle name="Hipervínculo visitado" xfId="7219" builtinId="9" hidden="1"/>
    <cellStyle name="Hipervínculo visitado" xfId="7221" builtinId="9" hidden="1"/>
    <cellStyle name="Hipervínculo visitado" xfId="7223" builtinId="9" hidden="1"/>
    <cellStyle name="Hipervínculo visitado" xfId="7225" builtinId="9" hidden="1"/>
    <cellStyle name="Hipervínculo visitado" xfId="7227" builtinId="9" hidden="1"/>
    <cellStyle name="Hipervínculo visitado" xfId="7229" builtinId="9" hidden="1"/>
    <cellStyle name="Hipervínculo visitado" xfId="7231" builtinId="9" hidden="1"/>
    <cellStyle name="Hipervínculo visitado" xfId="7233" builtinId="9" hidden="1"/>
    <cellStyle name="Hipervínculo visitado" xfId="7235" builtinId="9" hidden="1"/>
    <cellStyle name="Hipervínculo visitado" xfId="7237" builtinId="9" hidden="1"/>
    <cellStyle name="Hipervínculo visitado" xfId="7239" builtinId="9" hidden="1"/>
    <cellStyle name="Hipervínculo visitado" xfId="7241" builtinId="9" hidden="1"/>
    <cellStyle name="Hipervínculo visitado" xfId="7243" builtinId="9" hidden="1"/>
    <cellStyle name="Hipervínculo visitado" xfId="7245" builtinId="9" hidden="1"/>
    <cellStyle name="Hipervínculo visitado" xfId="7247" builtinId="9" hidden="1"/>
    <cellStyle name="Hipervínculo visitado" xfId="7249" builtinId="9" hidden="1"/>
    <cellStyle name="Hipervínculo visitado" xfId="7251" builtinId="9" hidden="1"/>
    <cellStyle name="Hipervínculo visitado" xfId="7253" builtinId="9" hidden="1"/>
    <cellStyle name="Hipervínculo visitado" xfId="7255" builtinId="9" hidden="1"/>
    <cellStyle name="Hipervínculo visitado" xfId="7257" builtinId="9" hidden="1"/>
    <cellStyle name="Hipervínculo visitado" xfId="7259" builtinId="9" hidden="1"/>
    <cellStyle name="Hipervínculo visitado" xfId="7261" builtinId="9" hidden="1"/>
    <cellStyle name="Hipervínculo visitado" xfId="7263" builtinId="9" hidden="1"/>
    <cellStyle name="Hipervínculo visitado" xfId="7265" builtinId="9" hidden="1"/>
    <cellStyle name="Hipervínculo visitado" xfId="7267" builtinId="9" hidden="1"/>
    <cellStyle name="Hipervínculo visitado" xfId="7269" builtinId="9" hidden="1"/>
    <cellStyle name="Hipervínculo visitado" xfId="7271" builtinId="9" hidden="1"/>
    <cellStyle name="Hipervínculo visitado" xfId="7273" builtinId="9" hidden="1"/>
    <cellStyle name="Hipervínculo visitado" xfId="7275" builtinId="9" hidden="1"/>
    <cellStyle name="Hipervínculo visitado" xfId="7277" builtinId="9" hidden="1"/>
    <cellStyle name="Hipervínculo visitado" xfId="7279" builtinId="9" hidden="1"/>
    <cellStyle name="Hipervínculo visitado" xfId="7281" builtinId="9" hidden="1"/>
    <cellStyle name="Hipervínculo visitado" xfId="7283" builtinId="9" hidden="1"/>
    <cellStyle name="Hipervínculo visitado" xfId="7285" builtinId="9" hidden="1"/>
    <cellStyle name="Hipervínculo visitado" xfId="7287" builtinId="9" hidden="1"/>
    <cellStyle name="Hipervínculo visitado" xfId="7289" builtinId="9" hidden="1"/>
    <cellStyle name="Hipervínculo visitado" xfId="7291" builtinId="9" hidden="1"/>
    <cellStyle name="Hipervínculo visitado" xfId="7293" builtinId="9" hidden="1"/>
    <cellStyle name="Hipervínculo visitado" xfId="7295" builtinId="9" hidden="1"/>
    <cellStyle name="Hipervínculo visitado" xfId="7297" builtinId="9" hidden="1"/>
    <cellStyle name="Hipervínculo visitado" xfId="7299" builtinId="9" hidden="1"/>
    <cellStyle name="Hipervínculo visitado" xfId="7301" builtinId="9" hidden="1"/>
    <cellStyle name="Hipervínculo visitado" xfId="7303" builtinId="9" hidden="1"/>
    <cellStyle name="Hipervínculo visitado" xfId="7305" builtinId="9" hidden="1"/>
    <cellStyle name="Hipervínculo visitado" xfId="7307" builtinId="9" hidden="1"/>
    <cellStyle name="Hipervínculo visitado" xfId="7309" builtinId="9" hidden="1"/>
    <cellStyle name="Hipervínculo visitado" xfId="7311" builtinId="9" hidden="1"/>
    <cellStyle name="Hipervínculo visitado" xfId="7313" builtinId="9" hidden="1"/>
    <cellStyle name="Hipervínculo visitado" xfId="7315" builtinId="9" hidden="1"/>
    <cellStyle name="Hipervínculo visitado" xfId="7317" builtinId="9" hidden="1"/>
    <cellStyle name="Hipervínculo visitado" xfId="7319" builtinId="9" hidden="1"/>
    <cellStyle name="Hipervínculo visitado" xfId="7321" builtinId="9" hidden="1"/>
    <cellStyle name="Hipervínculo visitado" xfId="7323" builtinId="9" hidden="1"/>
    <cellStyle name="Hipervínculo visitado" xfId="7325" builtinId="9" hidden="1"/>
    <cellStyle name="Hipervínculo visitado" xfId="7327" builtinId="9" hidden="1"/>
    <cellStyle name="Hipervínculo visitado" xfId="7329" builtinId="9" hidden="1"/>
    <cellStyle name="Hipervínculo visitado" xfId="7331" builtinId="9" hidden="1"/>
    <cellStyle name="Hipervínculo visitado" xfId="7333" builtinId="9" hidden="1"/>
    <cellStyle name="Hipervínculo visitado" xfId="7335" builtinId="9" hidden="1"/>
    <cellStyle name="Hipervínculo visitado" xfId="7337" builtinId="9" hidden="1"/>
    <cellStyle name="Hipervínculo visitado" xfId="7339" builtinId="9" hidden="1"/>
    <cellStyle name="Hipervínculo visitado" xfId="7341" builtinId="9" hidden="1"/>
    <cellStyle name="Hipervínculo visitado" xfId="7343" builtinId="9" hidden="1"/>
    <cellStyle name="Hipervínculo visitado" xfId="7345" builtinId="9" hidden="1"/>
    <cellStyle name="Hipervínculo visitado" xfId="7347" builtinId="9" hidden="1"/>
    <cellStyle name="Hipervínculo visitado" xfId="7349" builtinId="9" hidden="1"/>
    <cellStyle name="Hipervínculo visitado" xfId="7351" builtinId="9" hidden="1"/>
    <cellStyle name="Hipervínculo visitado" xfId="7353" builtinId="9" hidden="1"/>
    <cellStyle name="Hipervínculo visitado" xfId="7355" builtinId="9" hidden="1"/>
    <cellStyle name="Hipervínculo visitado" xfId="7357" builtinId="9" hidden="1"/>
    <cellStyle name="Hipervínculo visitado" xfId="7359" builtinId="9" hidden="1"/>
    <cellStyle name="Hipervínculo visitado" xfId="7361" builtinId="9" hidden="1"/>
    <cellStyle name="Hipervínculo visitado" xfId="7363" builtinId="9" hidden="1"/>
    <cellStyle name="Hipervínculo visitado" xfId="7365" builtinId="9" hidden="1"/>
    <cellStyle name="Hipervínculo visitado" xfId="7367" builtinId="9" hidden="1"/>
    <cellStyle name="Hipervínculo visitado" xfId="7369" builtinId="9" hidden="1"/>
    <cellStyle name="Hipervínculo visitado" xfId="7371" builtinId="9" hidden="1"/>
    <cellStyle name="Hipervínculo visitado" xfId="7373" builtinId="9" hidden="1"/>
    <cellStyle name="Hipervínculo visitado" xfId="7375" builtinId="9" hidden="1"/>
    <cellStyle name="Hipervínculo visitado" xfId="7377" builtinId="9" hidden="1"/>
    <cellStyle name="Hipervínculo visitado" xfId="7379" builtinId="9" hidden="1"/>
    <cellStyle name="Hipervínculo visitado" xfId="7381" builtinId="9" hidden="1"/>
    <cellStyle name="Hipervínculo visitado" xfId="7383" builtinId="9" hidden="1"/>
    <cellStyle name="Hipervínculo visitado" xfId="7385" builtinId="9" hidden="1"/>
    <cellStyle name="Hipervínculo visitado" xfId="7387" builtinId="9" hidden="1"/>
    <cellStyle name="Hipervínculo visitado" xfId="7389" builtinId="9" hidden="1"/>
    <cellStyle name="Hipervínculo visitado" xfId="7391" builtinId="9" hidden="1"/>
    <cellStyle name="Hipervínculo visitado" xfId="7393" builtinId="9" hidden="1"/>
    <cellStyle name="Hipervínculo visitado" xfId="7395" builtinId="9" hidden="1"/>
    <cellStyle name="Hipervínculo visitado" xfId="7397" builtinId="9" hidden="1"/>
    <cellStyle name="Hipervínculo visitado" xfId="7399" builtinId="9" hidden="1"/>
    <cellStyle name="Hipervínculo visitado" xfId="7401" builtinId="9" hidden="1"/>
    <cellStyle name="Hipervínculo visitado" xfId="7403" builtinId="9" hidden="1"/>
    <cellStyle name="Hipervínculo visitado" xfId="7405" builtinId="9" hidden="1"/>
    <cellStyle name="Hipervínculo visitado" xfId="7407" builtinId="9" hidden="1"/>
    <cellStyle name="Hipervínculo visitado" xfId="7409" builtinId="9" hidden="1"/>
    <cellStyle name="Hipervínculo visitado" xfId="7411" builtinId="9" hidden="1"/>
    <cellStyle name="Hipervínculo visitado" xfId="7413" builtinId="9" hidden="1"/>
    <cellStyle name="Hipervínculo visitado" xfId="7415" builtinId="9" hidden="1"/>
    <cellStyle name="Hipervínculo visitado" xfId="7417" builtinId="9" hidden="1"/>
    <cellStyle name="Hipervínculo visitado" xfId="7419" builtinId="9" hidden="1"/>
    <cellStyle name="Hipervínculo visitado" xfId="7421" builtinId="9" hidden="1"/>
    <cellStyle name="Hipervínculo visitado" xfId="7423" builtinId="9" hidden="1"/>
    <cellStyle name="Hipervínculo visitado" xfId="7425" builtinId="9" hidden="1"/>
    <cellStyle name="Hipervínculo visitado" xfId="7427" builtinId="9" hidden="1"/>
    <cellStyle name="Hipervínculo visitado" xfId="7429" builtinId="9" hidden="1"/>
    <cellStyle name="Hipervínculo visitado" xfId="7431" builtinId="9" hidden="1"/>
    <cellStyle name="Hipervínculo visitado" xfId="7433" builtinId="9" hidden="1"/>
    <cellStyle name="Hipervínculo visitado" xfId="7435" builtinId="9" hidden="1"/>
    <cellStyle name="Hipervínculo visitado" xfId="7437" builtinId="9" hidden="1"/>
    <cellStyle name="Hipervínculo visitado" xfId="7439" builtinId="9" hidden="1"/>
    <cellStyle name="Hipervínculo visitado" xfId="7441" builtinId="9" hidden="1"/>
    <cellStyle name="Hipervínculo visitado" xfId="7443" builtinId="9" hidden="1"/>
    <cellStyle name="Hipervínculo visitado" xfId="7445" builtinId="9" hidden="1"/>
    <cellStyle name="Hipervínculo visitado" xfId="7447" builtinId="9" hidden="1"/>
    <cellStyle name="Hipervínculo visitado" xfId="7449" builtinId="9" hidden="1"/>
    <cellStyle name="Hipervínculo visitado" xfId="7451" builtinId="9" hidden="1"/>
    <cellStyle name="Hipervínculo visitado" xfId="7453" builtinId="9" hidden="1"/>
    <cellStyle name="Hipervínculo visitado" xfId="7455" builtinId="9" hidden="1"/>
    <cellStyle name="Hipervínculo visitado" xfId="7457" builtinId="9" hidden="1"/>
    <cellStyle name="Hipervínculo visitado" xfId="7459" builtinId="9" hidden="1"/>
    <cellStyle name="Hipervínculo visitado" xfId="7461" builtinId="9" hidden="1"/>
    <cellStyle name="Hipervínculo visitado" xfId="7463" builtinId="9" hidden="1"/>
    <cellStyle name="Hipervínculo visitado" xfId="7465" builtinId="9" hidden="1"/>
    <cellStyle name="Hipervínculo visitado" xfId="7467" builtinId="9" hidden="1"/>
    <cellStyle name="Hipervínculo visitado" xfId="7469" builtinId="9" hidden="1"/>
    <cellStyle name="Hipervínculo visitado" xfId="7471" builtinId="9" hidden="1"/>
    <cellStyle name="Hipervínculo visitado" xfId="7473" builtinId="9" hidden="1"/>
    <cellStyle name="Hipervínculo visitado" xfId="7475" builtinId="9" hidden="1"/>
    <cellStyle name="Hipervínculo visitado" xfId="7477" builtinId="9" hidden="1"/>
    <cellStyle name="Hipervínculo visitado" xfId="7479" builtinId="9" hidden="1"/>
    <cellStyle name="Hipervínculo visitado" xfId="7481" builtinId="9" hidden="1"/>
    <cellStyle name="Hipervínculo visitado" xfId="7483" builtinId="9" hidden="1"/>
    <cellStyle name="Hipervínculo visitado" xfId="7485" builtinId="9" hidden="1"/>
    <cellStyle name="Hipervínculo visitado" xfId="7487" builtinId="9" hidden="1"/>
    <cellStyle name="Hipervínculo visitado" xfId="7489" builtinId="9" hidden="1"/>
    <cellStyle name="Hipervínculo visitado" xfId="7491" builtinId="9" hidden="1"/>
    <cellStyle name="Hipervínculo visitado" xfId="7493" builtinId="9" hidden="1"/>
    <cellStyle name="Hipervínculo visitado" xfId="7495" builtinId="9" hidden="1"/>
    <cellStyle name="Hipervínculo visitado" xfId="7497" builtinId="9" hidden="1"/>
    <cellStyle name="Hipervínculo visitado" xfId="7499" builtinId="9" hidden="1"/>
    <cellStyle name="Hipervínculo visitado" xfId="7501" builtinId="9" hidden="1"/>
    <cellStyle name="Hipervínculo visitado" xfId="7503" builtinId="9" hidden="1"/>
    <cellStyle name="Hipervínculo visitado" xfId="7505" builtinId="9" hidden="1"/>
    <cellStyle name="Hipervínculo visitado" xfId="7507" builtinId="9" hidden="1"/>
    <cellStyle name="Hipervínculo visitado" xfId="7509" builtinId="9" hidden="1"/>
    <cellStyle name="Hipervínculo visitado" xfId="7511" builtinId="9" hidden="1"/>
    <cellStyle name="Hipervínculo visitado" xfId="7513" builtinId="9" hidden="1"/>
    <cellStyle name="Hipervínculo visitado" xfId="7515" builtinId="9" hidden="1"/>
    <cellStyle name="Hipervínculo visitado" xfId="7517" builtinId="9" hidden="1"/>
    <cellStyle name="Hipervínculo visitado" xfId="7519" builtinId="9" hidden="1"/>
    <cellStyle name="Hipervínculo visitado" xfId="7521" builtinId="9" hidden="1"/>
    <cellStyle name="Hipervínculo visitado" xfId="7523" builtinId="9" hidden="1"/>
    <cellStyle name="Hipervínculo visitado" xfId="7525" builtinId="9" hidden="1"/>
    <cellStyle name="Hipervínculo visitado" xfId="7527" builtinId="9" hidden="1"/>
    <cellStyle name="Hipervínculo visitado" xfId="7529" builtinId="9" hidden="1"/>
    <cellStyle name="Hipervínculo visitado" xfId="7531" builtinId="9" hidden="1"/>
    <cellStyle name="Hipervínculo visitado" xfId="7533" builtinId="9" hidden="1"/>
    <cellStyle name="Hipervínculo visitado" xfId="7535" builtinId="9" hidden="1"/>
    <cellStyle name="Hipervínculo visitado" xfId="7537" builtinId="9" hidden="1"/>
    <cellStyle name="Hipervínculo visitado" xfId="7539" builtinId="9" hidden="1"/>
    <cellStyle name="Hipervínculo visitado" xfId="7541" builtinId="9" hidden="1"/>
    <cellStyle name="Hipervínculo visitado" xfId="7543" builtinId="9" hidden="1"/>
    <cellStyle name="Hipervínculo visitado" xfId="7545" builtinId="9" hidden="1"/>
    <cellStyle name="Hipervínculo visitado" xfId="7547" builtinId="9" hidden="1"/>
    <cellStyle name="Hipervínculo visitado" xfId="7549" builtinId="9" hidden="1"/>
    <cellStyle name="Hipervínculo visitado" xfId="7551" builtinId="9" hidden="1"/>
    <cellStyle name="Hipervínculo visitado" xfId="7553" builtinId="9" hidden="1"/>
    <cellStyle name="Hipervínculo visitado" xfId="7555" builtinId="9" hidden="1"/>
    <cellStyle name="Hipervínculo visitado" xfId="7557" builtinId="9" hidden="1"/>
    <cellStyle name="Hipervínculo visitado" xfId="7559" builtinId="9" hidden="1"/>
    <cellStyle name="Hipervínculo visitado" xfId="7561" builtinId="9" hidden="1"/>
    <cellStyle name="Hipervínculo visitado" xfId="7563" builtinId="9" hidden="1"/>
    <cellStyle name="Hipervínculo visitado" xfId="7565" builtinId="9" hidden="1"/>
    <cellStyle name="Hipervínculo visitado" xfId="7567" builtinId="9" hidden="1"/>
    <cellStyle name="Hipervínculo visitado" xfId="7569" builtinId="9" hidden="1"/>
    <cellStyle name="Hipervínculo visitado" xfId="7571" builtinId="9" hidden="1"/>
    <cellStyle name="Hipervínculo visitado" xfId="7573" builtinId="9" hidden="1"/>
    <cellStyle name="Hipervínculo visitado" xfId="7575" builtinId="9" hidden="1"/>
    <cellStyle name="Hipervínculo visitado" xfId="7577" builtinId="9" hidden="1"/>
    <cellStyle name="Hipervínculo visitado" xfId="7579" builtinId="9" hidden="1"/>
    <cellStyle name="Hipervínculo visitado" xfId="7581" builtinId="9" hidden="1"/>
    <cellStyle name="Hipervínculo visitado" xfId="7583" builtinId="9" hidden="1"/>
    <cellStyle name="Hipervínculo visitado" xfId="7585" builtinId="9" hidden="1"/>
    <cellStyle name="Hipervínculo visitado" xfId="7587" builtinId="9" hidden="1"/>
    <cellStyle name="Hipervínculo visitado" xfId="7589" builtinId="9" hidden="1"/>
    <cellStyle name="Hipervínculo visitado" xfId="7591" builtinId="9" hidden="1"/>
    <cellStyle name="Hipervínculo visitado" xfId="7593" builtinId="9" hidden="1"/>
    <cellStyle name="Hipervínculo visitado" xfId="7595" builtinId="9" hidden="1"/>
    <cellStyle name="Hipervínculo visitado" xfId="7597" builtinId="9" hidden="1"/>
    <cellStyle name="Hipervínculo visitado" xfId="7599" builtinId="9" hidden="1"/>
    <cellStyle name="Hipervínculo visitado" xfId="7601" builtinId="9" hidden="1"/>
    <cellStyle name="Hipervínculo visitado" xfId="7603" builtinId="9" hidden="1"/>
    <cellStyle name="Hipervínculo visitado" xfId="7605" builtinId="9" hidden="1"/>
    <cellStyle name="Hipervínculo visitado" xfId="7607" builtinId="9" hidden="1"/>
    <cellStyle name="Hipervínculo visitado" xfId="7609" builtinId="9" hidden="1"/>
    <cellStyle name="Hipervínculo visitado" xfId="7611" builtinId="9" hidden="1"/>
    <cellStyle name="Hipervínculo visitado" xfId="7613" builtinId="9" hidden="1"/>
    <cellStyle name="Hipervínculo visitado" xfId="7615" builtinId="9" hidden="1"/>
    <cellStyle name="Hipervínculo visitado" xfId="7617" builtinId="9" hidden="1"/>
    <cellStyle name="Hipervínculo visitado" xfId="7619" builtinId="9" hidden="1"/>
    <cellStyle name="Hipervínculo visitado" xfId="7621" builtinId="9" hidden="1"/>
    <cellStyle name="Hipervínculo visitado" xfId="7623" builtinId="9" hidden="1"/>
    <cellStyle name="Hipervínculo visitado" xfId="7625" builtinId="9" hidden="1"/>
    <cellStyle name="Hipervínculo visitado" xfId="7627" builtinId="9" hidden="1"/>
    <cellStyle name="Hipervínculo visitado" xfId="7629" builtinId="9" hidden="1"/>
    <cellStyle name="Hipervínculo visitado" xfId="7631" builtinId="9" hidden="1"/>
    <cellStyle name="Hipervínculo visitado" xfId="7633" builtinId="9" hidden="1"/>
    <cellStyle name="Hipervínculo visitado" xfId="7635" builtinId="9" hidden="1"/>
    <cellStyle name="Hipervínculo visitado" xfId="7637" builtinId="9" hidden="1"/>
    <cellStyle name="Hipervínculo visitado" xfId="7639" builtinId="9" hidden="1"/>
    <cellStyle name="Hipervínculo visitado" xfId="7641" builtinId="9" hidden="1"/>
    <cellStyle name="Hipervínculo visitado" xfId="7643" builtinId="9" hidden="1"/>
    <cellStyle name="Hipervínculo visitado" xfId="7645" builtinId="9" hidden="1"/>
    <cellStyle name="Hipervínculo visitado" xfId="7647" builtinId="9" hidden="1"/>
    <cellStyle name="Hipervínculo visitado" xfId="7649" builtinId="9" hidden="1"/>
    <cellStyle name="Hipervínculo visitado" xfId="7651" builtinId="9" hidden="1"/>
    <cellStyle name="Hipervínculo visitado" xfId="7653" builtinId="9" hidden="1"/>
    <cellStyle name="Hipervínculo visitado" xfId="7655" builtinId="9" hidden="1"/>
    <cellStyle name="Hipervínculo visitado" xfId="7657" builtinId="9" hidden="1"/>
    <cellStyle name="Hipervínculo visitado" xfId="7659" builtinId="9" hidden="1"/>
    <cellStyle name="Hipervínculo visitado" xfId="7661" builtinId="9" hidden="1"/>
    <cellStyle name="Hipervínculo visitado" xfId="7663" builtinId="9" hidden="1"/>
    <cellStyle name="Hipervínculo visitado" xfId="7665" builtinId="9" hidden="1"/>
    <cellStyle name="Hipervínculo visitado" xfId="7667" builtinId="9" hidden="1"/>
    <cellStyle name="Hipervínculo visitado" xfId="7669" builtinId="9" hidden="1"/>
    <cellStyle name="Hipervínculo visitado" xfId="7671" builtinId="9" hidden="1"/>
    <cellStyle name="Hipervínculo visitado" xfId="7673" builtinId="9" hidden="1"/>
    <cellStyle name="Hipervínculo visitado" xfId="7675" builtinId="9" hidden="1"/>
    <cellStyle name="Hipervínculo visitado" xfId="7677" builtinId="9" hidden="1"/>
    <cellStyle name="Hipervínculo visitado" xfId="7679" builtinId="9" hidden="1"/>
    <cellStyle name="Hipervínculo visitado" xfId="7681" builtinId="9" hidden="1"/>
    <cellStyle name="Hipervínculo visitado" xfId="7683" builtinId="9" hidden="1"/>
    <cellStyle name="Hipervínculo visitado" xfId="7685" builtinId="9" hidden="1"/>
    <cellStyle name="Hipervínculo visitado" xfId="7687" builtinId="9" hidden="1"/>
    <cellStyle name="Hipervínculo visitado" xfId="7689" builtinId="9" hidden="1"/>
    <cellStyle name="Hipervínculo visitado" xfId="7691" builtinId="9" hidden="1"/>
    <cellStyle name="Hipervínculo visitado" xfId="7693" builtinId="9" hidden="1"/>
    <cellStyle name="Hipervínculo visitado" xfId="7695" builtinId="9" hidden="1"/>
    <cellStyle name="Hipervínculo visitado" xfId="7697" builtinId="9" hidden="1"/>
    <cellStyle name="Hipervínculo visitado" xfId="7699" builtinId="9" hidden="1"/>
    <cellStyle name="Hipervínculo visitado" xfId="7701" builtinId="9" hidden="1"/>
    <cellStyle name="Hipervínculo visitado" xfId="7703" builtinId="9" hidden="1"/>
    <cellStyle name="Hipervínculo visitado" xfId="7705" builtinId="9" hidden="1"/>
    <cellStyle name="Hipervínculo visitado" xfId="7707" builtinId="9" hidden="1"/>
    <cellStyle name="Hipervínculo visitado" xfId="7709" builtinId="9" hidden="1"/>
    <cellStyle name="Hipervínculo visitado" xfId="7711" builtinId="9" hidden="1"/>
    <cellStyle name="Hipervínculo visitado" xfId="7713" builtinId="9" hidden="1"/>
    <cellStyle name="Hipervínculo visitado" xfId="7715" builtinId="9" hidden="1"/>
    <cellStyle name="Hipervínculo visitado" xfId="7717" builtinId="9" hidden="1"/>
    <cellStyle name="Hipervínculo visitado" xfId="7719" builtinId="9" hidden="1"/>
    <cellStyle name="Hipervínculo visitado" xfId="7721" builtinId="9" hidden="1"/>
    <cellStyle name="Hipervínculo visitado" xfId="7723" builtinId="9" hidden="1"/>
    <cellStyle name="Hipervínculo visitado" xfId="7725" builtinId="9" hidden="1"/>
    <cellStyle name="Hipervínculo visitado" xfId="7727" builtinId="9" hidden="1"/>
    <cellStyle name="Hipervínculo visitado" xfId="7729" builtinId="9" hidden="1"/>
    <cellStyle name="Hipervínculo visitado" xfId="7731" builtinId="9" hidden="1"/>
    <cellStyle name="Hipervínculo visitado" xfId="7733" builtinId="9" hidden="1"/>
    <cellStyle name="Hipervínculo visitado" xfId="7735" builtinId="9" hidden="1"/>
    <cellStyle name="Hipervínculo visitado" xfId="7737" builtinId="9" hidden="1"/>
    <cellStyle name="Hipervínculo visitado" xfId="7739" builtinId="9" hidden="1"/>
    <cellStyle name="Hipervínculo visitado" xfId="7741" builtinId="9" hidden="1"/>
    <cellStyle name="Hipervínculo visitado" xfId="7743" builtinId="9" hidden="1"/>
    <cellStyle name="Hipervínculo visitado" xfId="7745" builtinId="9" hidden="1"/>
    <cellStyle name="Hipervínculo visitado" xfId="7747" builtinId="9" hidden="1"/>
    <cellStyle name="Hipervínculo visitado" xfId="7749" builtinId="9" hidden="1"/>
    <cellStyle name="Hipervínculo visitado" xfId="7751" builtinId="9" hidden="1"/>
    <cellStyle name="Hipervínculo visitado" xfId="7753" builtinId="9" hidden="1"/>
    <cellStyle name="Hipervínculo visitado" xfId="7755" builtinId="9" hidden="1"/>
    <cellStyle name="Hipervínculo visitado" xfId="7757" builtinId="9" hidden="1"/>
    <cellStyle name="Hipervínculo visitado" xfId="7759" builtinId="9" hidden="1"/>
    <cellStyle name="Hipervínculo visitado" xfId="7761" builtinId="9" hidden="1"/>
    <cellStyle name="Hipervínculo visitado" xfId="7763" builtinId="9" hidden="1"/>
    <cellStyle name="Hipervínculo visitado" xfId="7765" builtinId="9" hidden="1"/>
    <cellStyle name="Hipervínculo visitado" xfId="7767" builtinId="9" hidden="1"/>
    <cellStyle name="Hipervínculo visitado" xfId="7769" builtinId="9" hidden="1"/>
    <cellStyle name="Hipervínculo visitado" xfId="7771" builtinId="9" hidden="1"/>
    <cellStyle name="Hipervínculo visitado" xfId="7773" builtinId="9" hidden="1"/>
    <cellStyle name="Hipervínculo visitado" xfId="7775" builtinId="9" hidden="1"/>
    <cellStyle name="Hipervínculo visitado" xfId="7777" builtinId="9" hidden="1"/>
    <cellStyle name="Hipervínculo visitado" xfId="7779" builtinId="9" hidden="1"/>
    <cellStyle name="Hipervínculo visitado" xfId="7781" builtinId="9" hidden="1"/>
    <cellStyle name="Hipervínculo visitado" xfId="7783" builtinId="9" hidden="1"/>
    <cellStyle name="Hipervínculo visitado" xfId="7785" builtinId="9" hidden="1"/>
    <cellStyle name="Hipervínculo visitado" xfId="7787" builtinId="9" hidden="1"/>
    <cellStyle name="Hipervínculo visitado" xfId="7789" builtinId="9" hidden="1"/>
    <cellStyle name="Hipervínculo visitado" xfId="7791" builtinId="9" hidden="1"/>
    <cellStyle name="Hipervínculo visitado" xfId="7793" builtinId="9" hidden="1"/>
    <cellStyle name="Hipervínculo visitado" xfId="7795" builtinId="9" hidden="1"/>
    <cellStyle name="Hipervínculo visitado" xfId="7797" builtinId="9" hidden="1"/>
    <cellStyle name="Hipervínculo visitado" xfId="7799" builtinId="9" hidden="1"/>
    <cellStyle name="Hipervínculo visitado" xfId="7801" builtinId="9" hidden="1"/>
    <cellStyle name="Hipervínculo visitado" xfId="7803" builtinId="9" hidden="1"/>
    <cellStyle name="Hipervínculo visitado" xfId="7805" builtinId="9" hidden="1"/>
    <cellStyle name="Hipervínculo visitado" xfId="7807" builtinId="9" hidden="1"/>
    <cellStyle name="Hipervínculo visitado" xfId="7809" builtinId="9" hidden="1"/>
    <cellStyle name="Hipervínculo visitado" xfId="7811" builtinId="9" hidden="1"/>
    <cellStyle name="Millares" xfId="1" builtinId="3"/>
    <cellStyle name="Moneda" xfId="7813" builtinId="4"/>
    <cellStyle name="Normal" xfId="0" builtinId="0"/>
    <cellStyle name="Porcentaje" xfId="7812" builtinId="5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F1EF91"/>
      <color rgb="FFFFA4A5"/>
      <color rgb="FFF1F1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44C79-D102-4DDF-B99B-9BA4104990AA}">
  <dimension ref="A1:Q32"/>
  <sheetViews>
    <sheetView showGridLines="0" tabSelected="1" topLeftCell="A2" zoomScale="60" zoomScaleNormal="60" workbookViewId="0">
      <selection activeCell="B4" sqref="B4"/>
    </sheetView>
  </sheetViews>
  <sheetFormatPr baseColWidth="10" defaultRowHeight="14.5" x14ac:dyDescent="0.35"/>
  <cols>
    <col min="1" max="1" width="4.1796875" bestFit="1" customWidth="1"/>
    <col min="2" max="2" width="81.7265625" bestFit="1" customWidth="1"/>
    <col min="3" max="3" width="12.36328125" bestFit="1" customWidth="1"/>
    <col min="4" max="4" width="19.36328125" bestFit="1" customWidth="1"/>
    <col min="5" max="5" width="10.1796875" bestFit="1" customWidth="1"/>
    <col min="6" max="6" width="16.1796875" bestFit="1" customWidth="1"/>
    <col min="7" max="7" width="15.81640625" bestFit="1" customWidth="1"/>
    <col min="8" max="8" width="19.453125" bestFit="1" customWidth="1"/>
    <col min="9" max="9" width="11.26953125" bestFit="1" customWidth="1"/>
    <col min="10" max="10" width="11" bestFit="1" customWidth="1"/>
    <col min="11" max="11" width="10.7265625" bestFit="1" customWidth="1"/>
    <col min="12" max="12" width="13.90625" bestFit="1" customWidth="1"/>
    <col min="13" max="13" width="26.1796875" bestFit="1" customWidth="1"/>
    <col min="14" max="14" width="14.6328125" bestFit="1" customWidth="1"/>
    <col min="15" max="15" width="9.453125" bestFit="1" customWidth="1"/>
    <col min="16" max="16" width="18.453125" bestFit="1" customWidth="1"/>
  </cols>
  <sheetData>
    <row r="1" spans="1:17" x14ac:dyDescent="0.35">
      <c r="A1" s="32"/>
      <c r="B1" s="13"/>
      <c r="C1" s="13"/>
      <c r="D1" s="1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5">
      <c r="A2" s="32"/>
      <c r="B2" s="13"/>
      <c r="C2" s="13"/>
      <c r="D2" s="13" t="s">
        <v>370</v>
      </c>
      <c r="E2" s="15" t="s">
        <v>237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5">
      <c r="A3" s="32"/>
      <c r="B3" s="13"/>
      <c r="C3" s="13"/>
      <c r="D3" s="13" t="s">
        <v>187</v>
      </c>
      <c r="E3" s="17" t="s">
        <v>247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5">
      <c r="A4" s="32"/>
      <c r="B4" s="1"/>
      <c r="C4" s="1"/>
      <c r="D4" s="13" t="s">
        <v>183</v>
      </c>
      <c r="E4" s="16">
        <v>0.15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5">
      <c r="A5" s="32"/>
      <c r="B5" s="1"/>
      <c r="C5" s="1"/>
      <c r="D5" s="13" t="s">
        <v>184</v>
      </c>
      <c r="E5" s="11" t="s">
        <v>239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5">
      <c r="A6" s="32"/>
      <c r="B6" s="7" t="s">
        <v>222</v>
      </c>
      <c r="C6" s="45" t="s">
        <v>614</v>
      </c>
      <c r="D6" s="7" t="s">
        <v>186</v>
      </c>
      <c r="E6" s="18" t="s">
        <v>238</v>
      </c>
      <c r="F6" s="33" t="s">
        <v>573</v>
      </c>
      <c r="G6" s="33" t="s">
        <v>622</v>
      </c>
      <c r="H6" s="33" t="s">
        <v>623</v>
      </c>
      <c r="I6" s="34" t="s">
        <v>574</v>
      </c>
      <c r="J6" s="34" t="s">
        <v>575</v>
      </c>
      <c r="K6" s="34" t="s">
        <v>576</v>
      </c>
      <c r="L6" s="35" t="s">
        <v>620</v>
      </c>
      <c r="M6" s="35" t="s">
        <v>628</v>
      </c>
      <c r="N6" s="36" t="s">
        <v>624</v>
      </c>
      <c r="O6" s="36" t="s">
        <v>625</v>
      </c>
      <c r="P6" s="35" t="s">
        <v>626</v>
      </c>
      <c r="Q6" s="1"/>
    </row>
    <row r="7" spans="1:17" x14ac:dyDescent="0.35">
      <c r="A7" s="26">
        <v>20</v>
      </c>
      <c r="B7" s="40" t="s">
        <v>548</v>
      </c>
      <c r="C7" s="7" t="s">
        <v>618</v>
      </c>
      <c r="D7" s="4" t="s">
        <v>543</v>
      </c>
      <c r="E7" s="19">
        <v>86000</v>
      </c>
      <c r="F7" s="29">
        <v>59800</v>
      </c>
      <c r="G7" s="29">
        <v>26200</v>
      </c>
      <c r="H7" s="29">
        <v>131000</v>
      </c>
      <c r="I7" s="29">
        <v>12000</v>
      </c>
      <c r="J7" s="29">
        <v>120399.99999999999</v>
      </c>
      <c r="K7" s="29">
        <v>132400</v>
      </c>
      <c r="L7" s="1">
        <v>5</v>
      </c>
      <c r="M7" s="29">
        <v>601999.99999999988</v>
      </c>
      <c r="N7" s="5">
        <v>86000</v>
      </c>
      <c r="O7" s="29">
        <v>95000</v>
      </c>
      <c r="P7" s="37">
        <v>-37400</v>
      </c>
      <c r="Q7" s="1"/>
    </row>
    <row r="8" spans="1:17" x14ac:dyDescent="0.35">
      <c r="A8" s="26">
        <v>27</v>
      </c>
      <c r="B8" s="40" t="s">
        <v>553</v>
      </c>
      <c r="C8" s="7" t="s">
        <v>618</v>
      </c>
      <c r="D8" s="4" t="s">
        <v>543</v>
      </c>
      <c r="E8" s="19">
        <v>69000</v>
      </c>
      <c r="F8" s="29">
        <v>47900</v>
      </c>
      <c r="G8" s="29">
        <v>21100</v>
      </c>
      <c r="H8" s="29">
        <v>105500</v>
      </c>
      <c r="I8" s="29">
        <v>12000</v>
      </c>
      <c r="J8" s="29">
        <v>96600</v>
      </c>
      <c r="K8" s="29">
        <v>108600</v>
      </c>
      <c r="L8" s="1">
        <v>5</v>
      </c>
      <c r="M8" s="29">
        <v>483000</v>
      </c>
      <c r="N8" s="5">
        <v>69000</v>
      </c>
      <c r="O8" s="29">
        <v>78000</v>
      </c>
      <c r="P8" s="37">
        <v>-30600</v>
      </c>
      <c r="Q8" s="1"/>
    </row>
    <row r="9" spans="1:17" x14ac:dyDescent="0.35">
      <c r="A9" s="26">
        <v>29</v>
      </c>
      <c r="B9" s="2" t="s">
        <v>554</v>
      </c>
      <c r="C9" s="7" t="s">
        <v>618</v>
      </c>
      <c r="D9" s="4" t="s">
        <v>543</v>
      </c>
      <c r="E9" s="19">
        <v>67000</v>
      </c>
      <c r="F9" s="29">
        <v>46500</v>
      </c>
      <c r="G9" s="29">
        <v>20500</v>
      </c>
      <c r="H9" s="29">
        <v>102500</v>
      </c>
      <c r="I9" s="29">
        <v>12000</v>
      </c>
      <c r="J9" s="29">
        <v>93800</v>
      </c>
      <c r="K9" s="29">
        <v>105800</v>
      </c>
      <c r="L9" s="1">
        <v>5</v>
      </c>
      <c r="M9" s="29">
        <v>469000</v>
      </c>
      <c r="N9" s="5">
        <v>67000</v>
      </c>
      <c r="O9" s="29">
        <v>76000</v>
      </c>
      <c r="P9" s="37">
        <v>-29800</v>
      </c>
      <c r="Q9" s="1"/>
    </row>
    <row r="10" spans="1:17" x14ac:dyDescent="0.35">
      <c r="A10" s="26">
        <v>39</v>
      </c>
      <c r="B10" s="2" t="s">
        <v>555</v>
      </c>
      <c r="C10" s="7" t="s">
        <v>618</v>
      </c>
      <c r="D10" s="4" t="s">
        <v>543</v>
      </c>
      <c r="E10" s="19">
        <v>62000</v>
      </c>
      <c r="F10" s="29">
        <v>43200</v>
      </c>
      <c r="G10" s="29">
        <v>18800</v>
      </c>
      <c r="H10" s="29">
        <v>94000</v>
      </c>
      <c r="I10" s="29">
        <v>12000</v>
      </c>
      <c r="J10" s="29">
        <v>86800</v>
      </c>
      <c r="K10" s="29">
        <v>98800</v>
      </c>
      <c r="L10" s="1">
        <v>5</v>
      </c>
      <c r="M10" s="29">
        <v>434000</v>
      </c>
      <c r="N10" s="5">
        <v>62000</v>
      </c>
      <c r="O10" s="29">
        <v>71000</v>
      </c>
      <c r="P10" s="37">
        <v>-27800</v>
      </c>
      <c r="Q10" s="1"/>
    </row>
    <row r="11" spans="1:17" x14ac:dyDescent="0.35">
      <c r="A11" s="26">
        <v>41</v>
      </c>
      <c r="B11" s="2" t="s">
        <v>25</v>
      </c>
      <c r="C11" s="7" t="s">
        <v>618</v>
      </c>
      <c r="D11" s="4" t="s">
        <v>24</v>
      </c>
      <c r="E11" s="19">
        <v>60000</v>
      </c>
      <c r="F11" s="29">
        <v>41900</v>
      </c>
      <c r="G11" s="29">
        <v>18100</v>
      </c>
      <c r="H11" s="29">
        <v>90500</v>
      </c>
      <c r="I11" s="29">
        <v>12000</v>
      </c>
      <c r="J11" s="29">
        <v>84000</v>
      </c>
      <c r="K11" s="29">
        <v>96000</v>
      </c>
      <c r="L11" s="1">
        <v>5</v>
      </c>
      <c r="M11" s="29">
        <v>420000</v>
      </c>
      <c r="N11" s="29">
        <v>70780</v>
      </c>
      <c r="O11" s="29">
        <v>79780</v>
      </c>
      <c r="P11" s="37">
        <v>-16220</v>
      </c>
      <c r="Q11" s="1"/>
    </row>
    <row r="12" spans="1:17" x14ac:dyDescent="0.35">
      <c r="A12" s="26">
        <v>42</v>
      </c>
      <c r="B12" s="2" t="s">
        <v>545</v>
      </c>
      <c r="C12" s="7" t="s">
        <v>618</v>
      </c>
      <c r="D12" s="4" t="s">
        <v>543</v>
      </c>
      <c r="E12" s="19">
        <v>59000</v>
      </c>
      <c r="F12" s="29">
        <v>41200</v>
      </c>
      <c r="G12" s="29">
        <v>17800</v>
      </c>
      <c r="H12" s="29">
        <v>89000</v>
      </c>
      <c r="I12" s="29">
        <v>12000</v>
      </c>
      <c r="J12" s="29">
        <v>82600</v>
      </c>
      <c r="K12" s="29">
        <v>94600</v>
      </c>
      <c r="L12" s="1">
        <v>5</v>
      </c>
      <c r="M12" s="29">
        <v>413000</v>
      </c>
      <c r="N12" s="5">
        <v>59000</v>
      </c>
      <c r="O12" s="29">
        <v>68000</v>
      </c>
      <c r="P12" s="37">
        <v>-26600</v>
      </c>
      <c r="Q12" s="1"/>
    </row>
    <row r="13" spans="1:17" x14ac:dyDescent="0.35">
      <c r="A13" s="26">
        <v>43</v>
      </c>
      <c r="B13" s="4" t="s">
        <v>546</v>
      </c>
      <c r="C13" s="7" t="s">
        <v>618</v>
      </c>
      <c r="D13" s="4" t="s">
        <v>543</v>
      </c>
      <c r="E13" s="19">
        <v>59000</v>
      </c>
      <c r="F13" s="29">
        <v>41200</v>
      </c>
      <c r="G13" s="29">
        <v>17800</v>
      </c>
      <c r="H13" s="29">
        <v>89000</v>
      </c>
      <c r="I13" s="29">
        <v>12000</v>
      </c>
      <c r="J13" s="29">
        <v>82600</v>
      </c>
      <c r="K13" s="29">
        <v>94600</v>
      </c>
      <c r="L13" s="1">
        <v>5</v>
      </c>
      <c r="M13" s="29">
        <v>413000</v>
      </c>
      <c r="N13" s="5">
        <v>59000</v>
      </c>
      <c r="O13" s="29">
        <v>68000</v>
      </c>
      <c r="P13" s="37">
        <v>-26600</v>
      </c>
      <c r="Q13" s="1"/>
    </row>
    <row r="14" spans="1:17" x14ac:dyDescent="0.35">
      <c r="A14" s="26">
        <v>64</v>
      </c>
      <c r="B14" s="4" t="s">
        <v>520</v>
      </c>
      <c r="C14" s="7" t="s">
        <v>618</v>
      </c>
      <c r="D14" s="4" t="s">
        <v>516</v>
      </c>
      <c r="E14" s="19">
        <v>43000</v>
      </c>
      <c r="F14" s="29">
        <v>30000</v>
      </c>
      <c r="G14" s="29">
        <v>13000</v>
      </c>
      <c r="H14" s="29">
        <v>65000</v>
      </c>
      <c r="I14" s="29">
        <v>12000</v>
      </c>
      <c r="J14" s="29">
        <v>60199.999999999993</v>
      </c>
      <c r="K14" s="29">
        <v>72200</v>
      </c>
      <c r="L14" s="1">
        <v>5</v>
      </c>
      <c r="M14" s="29">
        <v>300999.99999999994</v>
      </c>
      <c r="N14" s="29">
        <v>60900</v>
      </c>
      <c r="O14" s="29">
        <v>69900</v>
      </c>
      <c r="P14" s="37">
        <v>-2300</v>
      </c>
      <c r="Q14" s="1"/>
    </row>
    <row r="15" spans="1:17" x14ac:dyDescent="0.35">
      <c r="A15" s="26">
        <v>65</v>
      </c>
      <c r="B15" s="4" t="s">
        <v>521</v>
      </c>
      <c r="C15" s="7" t="s">
        <v>618</v>
      </c>
      <c r="D15" s="4" t="s">
        <v>516</v>
      </c>
      <c r="E15" s="19">
        <v>43000</v>
      </c>
      <c r="F15" s="29">
        <v>30000</v>
      </c>
      <c r="G15" s="29">
        <v>13000</v>
      </c>
      <c r="H15" s="29">
        <v>65000</v>
      </c>
      <c r="I15" s="29">
        <v>12000</v>
      </c>
      <c r="J15" s="29">
        <v>60199.999999999993</v>
      </c>
      <c r="K15" s="29">
        <v>72200</v>
      </c>
      <c r="L15" s="1">
        <v>5</v>
      </c>
      <c r="M15" s="29">
        <v>300999.99999999994</v>
      </c>
      <c r="N15" s="29">
        <v>60900</v>
      </c>
      <c r="O15" s="29">
        <v>69900</v>
      </c>
      <c r="P15" s="37">
        <v>-2300</v>
      </c>
      <c r="Q15" s="1"/>
    </row>
    <row r="16" spans="1:17" x14ac:dyDescent="0.35">
      <c r="A16" s="26">
        <v>68</v>
      </c>
      <c r="B16" s="4" t="s">
        <v>523</v>
      </c>
      <c r="C16" s="7" t="s">
        <v>618</v>
      </c>
      <c r="D16" s="4" t="s">
        <v>516</v>
      </c>
      <c r="E16" s="19">
        <v>43000</v>
      </c>
      <c r="F16" s="29">
        <v>30000</v>
      </c>
      <c r="G16" s="29">
        <v>13000</v>
      </c>
      <c r="H16" s="29">
        <v>65000</v>
      </c>
      <c r="I16" s="29">
        <v>12000</v>
      </c>
      <c r="J16" s="29">
        <v>60199.999999999993</v>
      </c>
      <c r="K16" s="29">
        <v>72200</v>
      </c>
      <c r="L16" s="1">
        <v>5</v>
      </c>
      <c r="M16" s="29">
        <v>300999.99999999994</v>
      </c>
      <c r="N16" s="29">
        <v>60900</v>
      </c>
      <c r="O16" s="29">
        <v>69900</v>
      </c>
      <c r="P16" s="37">
        <v>-2300</v>
      </c>
      <c r="Q16" s="1"/>
    </row>
    <row r="17" spans="1:17" x14ac:dyDescent="0.35">
      <c r="A17" s="26">
        <v>94</v>
      </c>
      <c r="B17" s="2" t="s">
        <v>424</v>
      </c>
      <c r="C17" s="7" t="s">
        <v>618</v>
      </c>
      <c r="D17" s="4" t="s">
        <v>468</v>
      </c>
      <c r="E17" s="19">
        <v>37000</v>
      </c>
      <c r="F17" s="29">
        <v>25800</v>
      </c>
      <c r="G17" s="29">
        <v>11200</v>
      </c>
      <c r="H17" s="29">
        <v>56000</v>
      </c>
      <c r="I17" s="29">
        <v>12000</v>
      </c>
      <c r="J17" s="29">
        <v>51800</v>
      </c>
      <c r="K17" s="29">
        <v>63800</v>
      </c>
      <c r="L17" s="1">
        <v>5</v>
      </c>
      <c r="M17" s="29">
        <v>259000</v>
      </c>
      <c r="N17" s="29">
        <v>57900</v>
      </c>
      <c r="O17" s="29">
        <v>66900</v>
      </c>
      <c r="P17" s="37">
        <v>3100</v>
      </c>
      <c r="Q17" s="1"/>
    </row>
    <row r="18" spans="1:17" x14ac:dyDescent="0.35">
      <c r="A18" s="26">
        <v>95</v>
      </c>
      <c r="B18" s="2" t="s">
        <v>455</v>
      </c>
      <c r="C18" s="7" t="s">
        <v>618</v>
      </c>
      <c r="D18" s="4" t="s">
        <v>468</v>
      </c>
      <c r="E18" s="19">
        <v>37000</v>
      </c>
      <c r="F18" s="29">
        <v>25800</v>
      </c>
      <c r="G18" s="29">
        <v>11200</v>
      </c>
      <c r="H18" s="29">
        <v>56000</v>
      </c>
      <c r="I18" s="29">
        <v>12000</v>
      </c>
      <c r="J18" s="29">
        <v>51800</v>
      </c>
      <c r="K18" s="29">
        <v>63800</v>
      </c>
      <c r="L18" s="1">
        <v>5</v>
      </c>
      <c r="M18" s="29">
        <v>259000</v>
      </c>
      <c r="N18" s="29">
        <v>83850</v>
      </c>
      <c r="O18" s="29">
        <v>92850</v>
      </c>
      <c r="P18" s="37">
        <v>29050</v>
      </c>
      <c r="Q18" s="1"/>
    </row>
    <row r="19" spans="1:17" x14ac:dyDescent="0.35">
      <c r="A19" s="26">
        <v>158</v>
      </c>
      <c r="B19" s="4" t="s">
        <v>419</v>
      </c>
      <c r="C19" s="7" t="s">
        <v>618</v>
      </c>
      <c r="D19" s="4" t="s">
        <v>468</v>
      </c>
      <c r="E19" s="19">
        <v>27000</v>
      </c>
      <c r="F19" s="29">
        <v>18900</v>
      </c>
      <c r="G19" s="29">
        <v>8100</v>
      </c>
      <c r="H19" s="29">
        <v>40500</v>
      </c>
      <c r="I19" s="29">
        <v>12000</v>
      </c>
      <c r="J19" s="29">
        <v>37800</v>
      </c>
      <c r="K19" s="29">
        <v>49800</v>
      </c>
      <c r="L19" s="1">
        <v>5</v>
      </c>
      <c r="M19" s="29">
        <v>189000</v>
      </c>
      <c r="N19" s="29">
        <v>45000</v>
      </c>
      <c r="O19" s="29">
        <v>54000</v>
      </c>
      <c r="P19" s="37">
        <v>4200</v>
      </c>
      <c r="Q19" s="1"/>
    </row>
    <row r="20" spans="1:17" x14ac:dyDescent="0.35">
      <c r="A20" s="26">
        <v>168</v>
      </c>
      <c r="B20" s="2" t="s">
        <v>517</v>
      </c>
      <c r="C20" s="7" t="s">
        <v>618</v>
      </c>
      <c r="D20" s="4" t="s">
        <v>516</v>
      </c>
      <c r="E20" s="19">
        <v>26000</v>
      </c>
      <c r="F20" s="29">
        <v>18000</v>
      </c>
      <c r="G20" s="29">
        <v>8000</v>
      </c>
      <c r="H20" s="29">
        <v>40000</v>
      </c>
      <c r="I20" s="29">
        <v>12000</v>
      </c>
      <c r="J20" s="29">
        <v>36400</v>
      </c>
      <c r="K20" s="29">
        <v>48400</v>
      </c>
      <c r="L20" s="1">
        <v>5</v>
      </c>
      <c r="M20" s="29">
        <v>182000</v>
      </c>
      <c r="N20" s="29">
        <v>32000</v>
      </c>
      <c r="O20" s="29">
        <v>41000</v>
      </c>
      <c r="P20" s="37">
        <v>-7400</v>
      </c>
      <c r="Q20" s="1"/>
    </row>
    <row r="21" spans="1:17" x14ac:dyDescent="0.35">
      <c r="A21" s="26">
        <v>182</v>
      </c>
      <c r="B21" s="4" t="s">
        <v>426</v>
      </c>
      <c r="C21" s="7" t="s">
        <v>618</v>
      </c>
      <c r="D21" s="4" t="s">
        <v>468</v>
      </c>
      <c r="E21" s="19">
        <v>25000</v>
      </c>
      <c r="F21" s="29">
        <v>17000</v>
      </c>
      <c r="G21" s="29">
        <v>8000</v>
      </c>
      <c r="H21" s="29">
        <v>40000</v>
      </c>
      <c r="I21" s="29">
        <v>12000</v>
      </c>
      <c r="J21" s="29">
        <v>35000</v>
      </c>
      <c r="K21" s="29">
        <v>47000</v>
      </c>
      <c r="L21" s="1">
        <v>5</v>
      </c>
      <c r="M21" s="29">
        <v>175000</v>
      </c>
      <c r="N21" s="29">
        <v>25900</v>
      </c>
      <c r="O21" s="29">
        <v>34900</v>
      </c>
      <c r="P21" s="37">
        <v>-12100</v>
      </c>
      <c r="Q21" s="1"/>
    </row>
    <row r="22" spans="1:17" x14ac:dyDescent="0.35">
      <c r="A22" s="26">
        <v>192</v>
      </c>
      <c r="B22" s="4" t="s">
        <v>519</v>
      </c>
      <c r="C22" s="7" t="s">
        <v>618</v>
      </c>
      <c r="D22" s="4" t="s">
        <v>516</v>
      </c>
      <c r="E22" s="19">
        <v>25000</v>
      </c>
      <c r="F22" s="29">
        <v>17200</v>
      </c>
      <c r="G22" s="29">
        <v>7800</v>
      </c>
      <c r="H22" s="29">
        <v>39000</v>
      </c>
      <c r="I22" s="29">
        <v>12000</v>
      </c>
      <c r="J22" s="29">
        <v>35000</v>
      </c>
      <c r="K22" s="29">
        <v>47000</v>
      </c>
      <c r="L22" s="1">
        <v>5</v>
      </c>
      <c r="M22" s="29">
        <v>175000</v>
      </c>
      <c r="N22" s="29">
        <v>25900</v>
      </c>
      <c r="O22" s="29">
        <v>34900</v>
      </c>
      <c r="P22" s="37">
        <v>-12100</v>
      </c>
      <c r="Q22" s="1"/>
    </row>
    <row r="23" spans="1:17" x14ac:dyDescent="0.35">
      <c r="A23" s="26">
        <v>193</v>
      </c>
      <c r="B23" s="4" t="s">
        <v>522</v>
      </c>
      <c r="C23" s="7" t="s">
        <v>618</v>
      </c>
      <c r="D23" s="4" t="s">
        <v>516</v>
      </c>
      <c r="E23" s="19">
        <v>25000</v>
      </c>
      <c r="F23" s="29">
        <v>17000</v>
      </c>
      <c r="G23" s="29">
        <v>8000</v>
      </c>
      <c r="H23" s="29">
        <v>40000</v>
      </c>
      <c r="I23" s="29">
        <v>12000</v>
      </c>
      <c r="J23" s="29">
        <v>35000</v>
      </c>
      <c r="K23" s="29">
        <v>47000</v>
      </c>
      <c r="L23" s="1">
        <v>5</v>
      </c>
      <c r="M23" s="29">
        <v>175000</v>
      </c>
      <c r="N23" s="29">
        <v>25900</v>
      </c>
      <c r="O23" s="29">
        <v>34900</v>
      </c>
      <c r="P23" s="37">
        <v>-12100</v>
      </c>
      <c r="Q23" s="1"/>
    </row>
    <row r="24" spans="1:17" x14ac:dyDescent="0.35">
      <c r="A24" s="26">
        <v>45</v>
      </c>
      <c r="B24" s="4" t="s">
        <v>156</v>
      </c>
      <c r="C24" s="7" t="s">
        <v>618</v>
      </c>
      <c r="D24" s="4" t="s">
        <v>137</v>
      </c>
      <c r="E24" s="19">
        <v>15000</v>
      </c>
      <c r="F24" s="29">
        <v>10500</v>
      </c>
      <c r="G24" s="29">
        <v>4500</v>
      </c>
      <c r="H24" s="29">
        <v>22500</v>
      </c>
      <c r="I24" s="29">
        <v>12000</v>
      </c>
      <c r="J24" s="29">
        <v>21000</v>
      </c>
      <c r="K24" s="29">
        <v>33000</v>
      </c>
      <c r="L24" s="1">
        <v>5</v>
      </c>
      <c r="M24" s="29">
        <v>105000</v>
      </c>
      <c r="N24" s="29">
        <v>19900</v>
      </c>
      <c r="O24" s="29">
        <v>28900</v>
      </c>
      <c r="P24" s="37">
        <v>-4100</v>
      </c>
      <c r="Q24" s="1"/>
    </row>
    <row r="25" spans="1:17" x14ac:dyDescent="0.35">
      <c r="A25" s="26">
        <v>46</v>
      </c>
      <c r="B25" s="4" t="s">
        <v>198</v>
      </c>
      <c r="C25" s="7" t="s">
        <v>618</v>
      </c>
      <c r="D25" s="4" t="s">
        <v>137</v>
      </c>
      <c r="E25" s="19">
        <v>15000</v>
      </c>
      <c r="F25" s="29">
        <v>10500</v>
      </c>
      <c r="G25" s="29">
        <v>4500</v>
      </c>
      <c r="H25" s="29">
        <v>22500</v>
      </c>
      <c r="I25" s="29">
        <v>12000</v>
      </c>
      <c r="J25" s="29">
        <v>21000</v>
      </c>
      <c r="K25" s="29">
        <v>33000</v>
      </c>
      <c r="L25" s="1">
        <v>5</v>
      </c>
      <c r="M25" s="29">
        <v>105000</v>
      </c>
      <c r="N25" s="29">
        <v>19900</v>
      </c>
      <c r="O25" s="29">
        <v>28900</v>
      </c>
      <c r="P25" s="37">
        <v>-4100</v>
      </c>
      <c r="Q25" s="1"/>
    </row>
    <row r="26" spans="1:17" x14ac:dyDescent="0.35">
      <c r="A26" s="26">
        <v>66</v>
      </c>
      <c r="B26" s="4" t="s">
        <v>244</v>
      </c>
      <c r="C26" s="7" t="s">
        <v>618</v>
      </c>
      <c r="D26" s="4" t="s">
        <v>13</v>
      </c>
      <c r="E26" s="19">
        <v>12000</v>
      </c>
      <c r="F26" s="29">
        <v>8200</v>
      </c>
      <c r="G26" s="29">
        <v>3800</v>
      </c>
      <c r="H26" s="29">
        <v>19000</v>
      </c>
      <c r="I26" s="29">
        <v>12000</v>
      </c>
      <c r="J26" s="29">
        <v>16800</v>
      </c>
      <c r="K26" s="29">
        <v>28800</v>
      </c>
      <c r="L26" s="1">
        <v>5</v>
      </c>
      <c r="M26" s="29">
        <v>84000</v>
      </c>
      <c r="N26" s="29">
        <v>15000</v>
      </c>
      <c r="O26" s="29">
        <v>24000</v>
      </c>
      <c r="P26" s="37">
        <v>-4800</v>
      </c>
      <c r="Q26" s="1"/>
    </row>
    <row r="27" spans="1:17" x14ac:dyDescent="0.35">
      <c r="A27" s="26">
        <v>118</v>
      </c>
      <c r="B27" s="2" t="s">
        <v>542</v>
      </c>
      <c r="C27" s="7" t="s">
        <v>618</v>
      </c>
      <c r="D27" s="4" t="s">
        <v>14</v>
      </c>
      <c r="E27" s="19">
        <v>6000</v>
      </c>
      <c r="F27" s="29">
        <v>4000</v>
      </c>
      <c r="G27" s="29">
        <v>2000</v>
      </c>
      <c r="H27" s="29">
        <v>10000</v>
      </c>
      <c r="I27" s="29">
        <v>12000</v>
      </c>
      <c r="J27" s="29">
        <v>8400</v>
      </c>
      <c r="K27" s="29">
        <v>20400</v>
      </c>
      <c r="L27" s="1">
        <v>5</v>
      </c>
      <c r="M27" s="29">
        <v>42000</v>
      </c>
      <c r="N27" s="29">
        <v>6000</v>
      </c>
      <c r="O27" s="29">
        <v>15000</v>
      </c>
      <c r="P27" s="37">
        <v>-5400</v>
      </c>
      <c r="Q27" s="1"/>
    </row>
    <row r="28" spans="1:17" x14ac:dyDescent="0.35">
      <c r="A28" s="26">
        <v>123</v>
      </c>
      <c r="B28" s="4" t="s">
        <v>215</v>
      </c>
      <c r="C28" s="7" t="s">
        <v>618</v>
      </c>
      <c r="D28" s="4" t="s">
        <v>22</v>
      </c>
      <c r="E28" s="19">
        <v>3000</v>
      </c>
      <c r="F28" s="29">
        <v>1500</v>
      </c>
      <c r="G28" s="29">
        <v>1500</v>
      </c>
      <c r="H28" s="29">
        <v>7500</v>
      </c>
      <c r="I28" s="29">
        <v>12000</v>
      </c>
      <c r="J28" s="29">
        <v>4200</v>
      </c>
      <c r="K28" s="29">
        <v>16200</v>
      </c>
      <c r="L28" s="1">
        <v>5</v>
      </c>
      <c r="M28" s="29">
        <v>21000</v>
      </c>
      <c r="N28" s="29">
        <v>3750</v>
      </c>
      <c r="O28" s="29">
        <v>12750</v>
      </c>
      <c r="P28" s="37">
        <v>-3450</v>
      </c>
      <c r="Q28" s="1"/>
    </row>
    <row r="29" spans="1:17" x14ac:dyDescent="0.35">
      <c r="A29" s="26">
        <v>124</v>
      </c>
      <c r="B29" s="4" t="s">
        <v>175</v>
      </c>
      <c r="C29" s="7" t="s">
        <v>618</v>
      </c>
      <c r="D29" s="4" t="s">
        <v>22</v>
      </c>
      <c r="E29" s="19">
        <v>3000</v>
      </c>
      <c r="F29" s="29">
        <v>1900</v>
      </c>
      <c r="G29" s="29">
        <v>1100</v>
      </c>
      <c r="H29" s="29">
        <v>5500</v>
      </c>
      <c r="I29" s="29">
        <v>12000</v>
      </c>
      <c r="J29" s="29">
        <v>4200</v>
      </c>
      <c r="K29" s="29">
        <v>16200</v>
      </c>
      <c r="L29" s="1">
        <v>5</v>
      </c>
      <c r="M29" s="29">
        <v>21000</v>
      </c>
      <c r="N29" s="29">
        <v>24000</v>
      </c>
      <c r="O29" s="29">
        <v>33000</v>
      </c>
      <c r="P29" s="37">
        <v>16800</v>
      </c>
      <c r="Q29" s="1"/>
    </row>
    <row r="30" spans="1:17" x14ac:dyDescent="0.35">
      <c r="A30" s="26">
        <v>128</v>
      </c>
      <c r="B30" s="4" t="s">
        <v>556</v>
      </c>
      <c r="C30" s="7" t="s">
        <v>618</v>
      </c>
      <c r="D30" s="4" t="s">
        <v>543</v>
      </c>
      <c r="E30" s="19">
        <v>0</v>
      </c>
      <c r="F30" s="29">
        <v>0</v>
      </c>
      <c r="G30" s="29">
        <v>0</v>
      </c>
      <c r="H30" s="29">
        <v>0</v>
      </c>
      <c r="I30" s="29">
        <v>12000</v>
      </c>
      <c r="J30" s="29">
        <v>0</v>
      </c>
      <c r="K30" s="29">
        <v>12000</v>
      </c>
      <c r="L30" s="1">
        <v>5</v>
      </c>
      <c r="M30" s="29">
        <v>0</v>
      </c>
      <c r="N30" s="1"/>
      <c r="O30" s="1"/>
      <c r="P30" s="1"/>
      <c r="Q30" s="1"/>
    </row>
    <row r="31" spans="1:17" x14ac:dyDescent="0.35">
      <c r="A31" s="3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s="41" customFormat="1" ht="18.5" x14ac:dyDescent="0.45">
      <c r="D32" s="42" t="s">
        <v>627</v>
      </c>
      <c r="H32" s="43">
        <f>SUM(H7:H31)</f>
        <v>1295000</v>
      </c>
      <c r="M32" s="44">
        <f>SUM(M7:M31)</f>
        <v>5929000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7DA2-A29E-BC44-90B5-1CD778BA2819}">
  <sheetPr codeName="Hoja1" filterMode="1">
    <pageSetUpPr autoPageBreaks="0" fitToPage="1"/>
  </sheetPr>
  <dimension ref="A1:P427"/>
  <sheetViews>
    <sheetView topLeftCell="D45" zoomScale="70" zoomScaleNormal="70" zoomScalePageLayoutView="130" workbookViewId="0">
      <selection sqref="A1:Q427"/>
    </sheetView>
  </sheetViews>
  <sheetFormatPr baseColWidth="10" defaultColWidth="10.81640625" defaultRowHeight="12.5" x14ac:dyDescent="0.25"/>
  <cols>
    <col min="1" max="1" width="4.36328125" style="32" customWidth="1"/>
    <col min="2" max="2" width="78" style="1" bestFit="1" customWidth="1"/>
    <col min="3" max="3" width="12.1796875" style="1" customWidth="1"/>
    <col min="4" max="4" width="22" style="1" customWidth="1"/>
    <col min="5" max="5" width="10" style="1" customWidth="1"/>
    <col min="6" max="6" width="16.08984375" style="1" customWidth="1"/>
    <col min="7" max="7" width="14.08984375" style="1" customWidth="1"/>
    <col min="8" max="8" width="25.1796875" style="1" customWidth="1"/>
    <col min="9" max="9" width="14.08984375" style="1" customWidth="1"/>
    <col min="10" max="11" width="15.26953125" style="1" customWidth="1"/>
    <col min="12" max="12" width="16.54296875" style="1" customWidth="1"/>
    <col min="13" max="13" width="13.08984375" style="1" customWidth="1"/>
    <col min="14" max="14" width="15.453125" style="1" customWidth="1"/>
    <col min="15" max="15" width="11.81640625" style="1" customWidth="1"/>
    <col min="16" max="16" width="18" style="1" bestFit="1" customWidth="1"/>
    <col min="17" max="16384" width="10.81640625" style="1"/>
  </cols>
  <sheetData>
    <row r="1" spans="1:16" ht="13" customHeight="1" x14ac:dyDescent="0.25">
      <c r="B1" s="13"/>
      <c r="C1" s="13"/>
      <c r="D1" s="14"/>
    </row>
    <row r="2" spans="1:16" ht="13" customHeight="1" x14ac:dyDescent="0.25">
      <c r="B2" s="13"/>
      <c r="C2" s="13"/>
      <c r="D2" s="13" t="s">
        <v>370</v>
      </c>
      <c r="E2" s="15" t="s">
        <v>237</v>
      </c>
    </row>
    <row r="3" spans="1:16" ht="13" customHeight="1" x14ac:dyDescent="0.25">
      <c r="B3" s="13"/>
      <c r="C3" s="13"/>
      <c r="D3" s="13" t="s">
        <v>187</v>
      </c>
      <c r="E3" s="17" t="s">
        <v>247</v>
      </c>
    </row>
    <row r="4" spans="1:16" ht="13" x14ac:dyDescent="0.3">
      <c r="D4" s="13" t="s">
        <v>183</v>
      </c>
      <c r="E4" s="16">
        <v>0.15</v>
      </c>
    </row>
    <row r="5" spans="1:16" ht="13" x14ac:dyDescent="0.3">
      <c r="D5" s="13" t="s">
        <v>184</v>
      </c>
      <c r="E5" s="11" t="s">
        <v>239</v>
      </c>
    </row>
    <row r="6" spans="1:16" ht="13" customHeight="1" x14ac:dyDescent="0.3">
      <c r="B6" s="7" t="s">
        <v>222</v>
      </c>
      <c r="C6" s="31" t="s">
        <v>614</v>
      </c>
      <c r="D6" s="7" t="s">
        <v>186</v>
      </c>
      <c r="E6" s="18" t="s">
        <v>238</v>
      </c>
      <c r="F6" s="33" t="s">
        <v>573</v>
      </c>
      <c r="G6" s="33" t="s">
        <v>622</v>
      </c>
      <c r="H6" s="33" t="s">
        <v>623</v>
      </c>
      <c r="I6" s="34" t="s">
        <v>574</v>
      </c>
      <c r="J6" s="34" t="s">
        <v>575</v>
      </c>
      <c r="K6" s="34" t="s">
        <v>576</v>
      </c>
      <c r="L6" s="35" t="s">
        <v>620</v>
      </c>
      <c r="M6" s="35" t="s">
        <v>621</v>
      </c>
      <c r="N6" s="36" t="s">
        <v>624</v>
      </c>
      <c r="O6" s="36" t="s">
        <v>625</v>
      </c>
      <c r="P6" s="35" t="s">
        <v>626</v>
      </c>
    </row>
    <row r="7" spans="1:16" ht="13" hidden="1" x14ac:dyDescent="0.25">
      <c r="A7" s="26">
        <f t="shared" ref="A7:A70" si="0">+A6+1</f>
        <v>1</v>
      </c>
      <c r="B7" s="2" t="s">
        <v>217</v>
      </c>
      <c r="C7" s="7"/>
      <c r="D7" s="4" t="s">
        <v>22</v>
      </c>
      <c r="E7" s="19">
        <v>243000</v>
      </c>
      <c r="F7" s="29">
        <f>+VLOOKUP(B7,Distribuidor!$B$7:$D$533,3,0)</f>
        <v>170000</v>
      </c>
      <c r="G7" s="29">
        <f t="shared" ref="G7:G70" si="1">+E7-F7</f>
        <v>73000</v>
      </c>
      <c r="H7" s="29"/>
      <c r="I7" s="29">
        <v>12000</v>
      </c>
      <c r="J7" s="29">
        <f t="shared" ref="J7:J70" si="2">+E7*1.4</f>
        <v>340200</v>
      </c>
      <c r="K7" s="29">
        <f t="shared" ref="K7:K70" si="3">+J7+I7</f>
        <v>352200</v>
      </c>
    </row>
    <row r="8" spans="1:16" ht="13" hidden="1" x14ac:dyDescent="0.25">
      <c r="A8" s="26">
        <f t="shared" si="0"/>
        <v>2</v>
      </c>
      <c r="B8" s="2" t="s">
        <v>255</v>
      </c>
      <c r="C8" s="7"/>
      <c r="D8" s="4" t="s">
        <v>0</v>
      </c>
      <c r="E8" s="19">
        <v>229000</v>
      </c>
      <c r="F8" s="29">
        <f>+VLOOKUP(B8,Distribuidor!$B$7:$D$533,3,0)</f>
        <v>160000</v>
      </c>
      <c r="G8" s="29">
        <f t="shared" si="1"/>
        <v>69000</v>
      </c>
      <c r="H8" s="29"/>
      <c r="I8" s="29">
        <v>12000</v>
      </c>
      <c r="J8" s="29">
        <f t="shared" si="2"/>
        <v>320600</v>
      </c>
      <c r="K8" s="29">
        <f t="shared" si="3"/>
        <v>332600</v>
      </c>
    </row>
    <row r="9" spans="1:16" ht="13" hidden="1" x14ac:dyDescent="0.25">
      <c r="A9" s="26">
        <f t="shared" si="0"/>
        <v>3</v>
      </c>
      <c r="B9" s="2" t="s">
        <v>511</v>
      </c>
      <c r="C9" s="7"/>
      <c r="D9" s="4" t="s">
        <v>103</v>
      </c>
      <c r="E9" s="19">
        <v>194000</v>
      </c>
      <c r="F9" s="29">
        <f>+VLOOKUP(B9,Distribuidor!$B$7:$D$533,3,0)</f>
        <v>135400</v>
      </c>
      <c r="G9" s="29">
        <f t="shared" si="1"/>
        <v>58600</v>
      </c>
      <c r="H9" s="29"/>
      <c r="I9" s="29">
        <v>12000</v>
      </c>
      <c r="J9" s="29">
        <f t="shared" si="2"/>
        <v>271600</v>
      </c>
      <c r="K9" s="29">
        <f t="shared" si="3"/>
        <v>283600</v>
      </c>
    </row>
    <row r="10" spans="1:16" ht="13" hidden="1" x14ac:dyDescent="0.25">
      <c r="A10" s="26">
        <f t="shared" si="0"/>
        <v>4</v>
      </c>
      <c r="B10" s="2" t="s">
        <v>216</v>
      </c>
      <c r="C10" s="7"/>
      <c r="D10" s="4" t="s">
        <v>22</v>
      </c>
      <c r="E10" s="19">
        <v>186000</v>
      </c>
      <c r="F10" s="29">
        <f>+VLOOKUP(B10,Distribuidor!$B$7:$D$533,3,0)</f>
        <v>130000</v>
      </c>
      <c r="G10" s="29">
        <f t="shared" si="1"/>
        <v>56000</v>
      </c>
      <c r="H10" s="29"/>
      <c r="I10" s="29">
        <v>12000</v>
      </c>
      <c r="J10" s="29">
        <f t="shared" si="2"/>
        <v>260399.99999999997</v>
      </c>
      <c r="K10" s="29">
        <f t="shared" si="3"/>
        <v>272400</v>
      </c>
    </row>
    <row r="11" spans="1:16" ht="13" hidden="1" x14ac:dyDescent="0.25">
      <c r="A11" s="26">
        <f t="shared" si="0"/>
        <v>5</v>
      </c>
      <c r="B11" s="2" t="s">
        <v>534</v>
      </c>
      <c r="C11" s="7"/>
      <c r="D11" s="4" t="s">
        <v>529</v>
      </c>
      <c r="E11" s="19">
        <v>152000</v>
      </c>
      <c r="F11" s="29">
        <f>+VLOOKUP(B11,Distribuidor!$B$7:$D$533,3,0)</f>
        <v>106400</v>
      </c>
      <c r="G11" s="29">
        <f t="shared" si="1"/>
        <v>45600</v>
      </c>
      <c r="H11" s="29"/>
      <c r="I11" s="29">
        <v>12000</v>
      </c>
      <c r="J11" s="29">
        <f t="shared" si="2"/>
        <v>212800</v>
      </c>
      <c r="K11" s="29">
        <f t="shared" si="3"/>
        <v>224800</v>
      </c>
    </row>
    <row r="12" spans="1:16" ht="13" hidden="1" x14ac:dyDescent="0.25">
      <c r="A12" s="26">
        <f t="shared" si="0"/>
        <v>6</v>
      </c>
      <c r="B12" s="2" t="s">
        <v>75</v>
      </c>
      <c r="C12" s="7"/>
      <c r="D12" s="4" t="s">
        <v>0</v>
      </c>
      <c r="E12" s="19">
        <v>143000</v>
      </c>
      <c r="F12" s="29">
        <f>+VLOOKUP(B12,Distribuidor!$B$7:$D$533,3,0)</f>
        <v>100000</v>
      </c>
      <c r="G12" s="29">
        <f t="shared" si="1"/>
        <v>43000</v>
      </c>
      <c r="H12" s="29"/>
      <c r="I12" s="29">
        <v>12000</v>
      </c>
      <c r="J12" s="29">
        <f t="shared" si="2"/>
        <v>200200</v>
      </c>
      <c r="K12" s="29">
        <f t="shared" si="3"/>
        <v>212200</v>
      </c>
    </row>
    <row r="13" spans="1:16" ht="13" hidden="1" x14ac:dyDescent="0.25">
      <c r="A13" s="26">
        <f t="shared" si="0"/>
        <v>7</v>
      </c>
      <c r="B13" s="2" t="s">
        <v>39</v>
      </c>
      <c r="C13" s="7"/>
      <c r="D13" s="4" t="s">
        <v>24</v>
      </c>
      <c r="E13" s="19">
        <v>132000</v>
      </c>
      <c r="F13" s="29">
        <f>+VLOOKUP(B13,Distribuidor!$B$7:$D$533,3,0)</f>
        <v>92200</v>
      </c>
      <c r="G13" s="29">
        <f t="shared" si="1"/>
        <v>39800</v>
      </c>
      <c r="H13" s="29"/>
      <c r="I13" s="29">
        <v>12000</v>
      </c>
      <c r="J13" s="29">
        <f t="shared" si="2"/>
        <v>184800</v>
      </c>
      <c r="K13" s="29">
        <f t="shared" si="3"/>
        <v>196800</v>
      </c>
    </row>
    <row r="14" spans="1:16" ht="13" hidden="1" x14ac:dyDescent="0.25">
      <c r="A14" s="26">
        <f t="shared" si="0"/>
        <v>8</v>
      </c>
      <c r="B14" s="2" t="s">
        <v>38</v>
      </c>
      <c r="C14" s="7"/>
      <c r="D14" s="4" t="s">
        <v>24</v>
      </c>
      <c r="E14" s="19">
        <v>132000</v>
      </c>
      <c r="F14" s="29">
        <f>+VLOOKUP(B14,Distribuidor!$B$7:$D$533,3,0)</f>
        <v>92200</v>
      </c>
      <c r="G14" s="29">
        <f t="shared" si="1"/>
        <v>39800</v>
      </c>
      <c r="H14" s="29"/>
      <c r="I14" s="29">
        <v>12000</v>
      </c>
      <c r="J14" s="29">
        <f t="shared" si="2"/>
        <v>184800</v>
      </c>
      <c r="K14" s="29">
        <f t="shared" si="3"/>
        <v>196800</v>
      </c>
    </row>
    <row r="15" spans="1:16" ht="13" hidden="1" x14ac:dyDescent="0.25">
      <c r="A15" s="26">
        <f t="shared" si="0"/>
        <v>9</v>
      </c>
      <c r="B15" s="2" t="s">
        <v>510</v>
      </c>
      <c r="C15" s="7"/>
      <c r="D15" s="4" t="s">
        <v>103</v>
      </c>
      <c r="E15" s="19">
        <v>126000</v>
      </c>
      <c r="F15" s="29">
        <f>+VLOOKUP(B15,Distribuidor!$B$7:$D$533,3,0)</f>
        <v>88000</v>
      </c>
      <c r="G15" s="29">
        <f t="shared" si="1"/>
        <v>38000</v>
      </c>
      <c r="H15" s="29"/>
      <c r="I15" s="29">
        <v>12000</v>
      </c>
      <c r="J15" s="29">
        <f t="shared" si="2"/>
        <v>176400</v>
      </c>
      <c r="K15" s="29">
        <f t="shared" si="3"/>
        <v>188400</v>
      </c>
    </row>
    <row r="16" spans="1:16" ht="13" hidden="1" x14ac:dyDescent="0.25">
      <c r="A16" s="26">
        <f t="shared" si="0"/>
        <v>10</v>
      </c>
      <c r="B16" s="2" t="s">
        <v>409</v>
      </c>
      <c r="C16" s="7"/>
      <c r="D16" s="4" t="s">
        <v>24</v>
      </c>
      <c r="E16" s="19">
        <v>114000</v>
      </c>
      <c r="F16" s="29">
        <f>+VLOOKUP(B16,Distribuidor!$B$7:$D$533,3,0)</f>
        <v>79500</v>
      </c>
      <c r="G16" s="29">
        <f t="shared" si="1"/>
        <v>34500</v>
      </c>
      <c r="H16" s="29"/>
      <c r="I16" s="29">
        <v>12000</v>
      </c>
      <c r="J16" s="29">
        <f t="shared" si="2"/>
        <v>159600</v>
      </c>
      <c r="K16" s="29">
        <f t="shared" si="3"/>
        <v>171600</v>
      </c>
    </row>
    <row r="17" spans="1:16" ht="13" hidden="1" x14ac:dyDescent="0.25">
      <c r="A17" s="26">
        <f t="shared" si="0"/>
        <v>11</v>
      </c>
      <c r="B17" s="4" t="s">
        <v>441</v>
      </c>
      <c r="C17" s="7"/>
      <c r="D17" s="4" t="s">
        <v>24</v>
      </c>
      <c r="E17" s="19">
        <v>114000</v>
      </c>
      <c r="F17" s="29">
        <f>+VLOOKUP(B17,Distribuidor!$B$7:$D$533,3,0)</f>
        <v>79500</v>
      </c>
      <c r="G17" s="29">
        <f t="shared" si="1"/>
        <v>34500</v>
      </c>
      <c r="H17" s="29"/>
      <c r="I17" s="29">
        <v>12000</v>
      </c>
      <c r="J17" s="29">
        <f t="shared" si="2"/>
        <v>159600</v>
      </c>
      <c r="K17" s="29">
        <f t="shared" si="3"/>
        <v>171600</v>
      </c>
    </row>
    <row r="18" spans="1:16" ht="13" hidden="1" x14ac:dyDescent="0.25">
      <c r="A18" s="26">
        <f t="shared" si="0"/>
        <v>12</v>
      </c>
      <c r="B18" s="2" t="s">
        <v>410</v>
      </c>
      <c r="C18" s="7"/>
      <c r="D18" s="4" t="s">
        <v>24</v>
      </c>
      <c r="E18" s="19">
        <v>114000</v>
      </c>
      <c r="F18" s="29">
        <f>+VLOOKUP(B18,Distribuidor!$B$7:$D$533,3,0)</f>
        <v>79500</v>
      </c>
      <c r="G18" s="29">
        <f t="shared" si="1"/>
        <v>34500</v>
      </c>
      <c r="H18" s="29"/>
      <c r="I18" s="29">
        <v>12000</v>
      </c>
      <c r="J18" s="29">
        <f t="shared" si="2"/>
        <v>159600</v>
      </c>
      <c r="K18" s="29">
        <f t="shared" si="3"/>
        <v>171600</v>
      </c>
    </row>
    <row r="19" spans="1:16" ht="13" hidden="1" x14ac:dyDescent="0.25">
      <c r="A19" s="26">
        <f>+A18+1</f>
        <v>13</v>
      </c>
      <c r="B19" s="39" t="s">
        <v>547</v>
      </c>
      <c r="C19" s="7" t="s">
        <v>618</v>
      </c>
      <c r="D19" s="4" t="s">
        <v>543</v>
      </c>
      <c r="E19" s="19">
        <v>98000</v>
      </c>
      <c r="F19" s="29">
        <f>+VLOOKUP(B19,Distribuidor!$B$7:$D$533,3,0)</f>
        <v>68100</v>
      </c>
      <c r="G19" s="29">
        <f>+E19-F19</f>
        <v>29900</v>
      </c>
      <c r="H19" s="29">
        <f>+G19*L19</f>
        <v>149500</v>
      </c>
      <c r="I19" s="29">
        <v>12000</v>
      </c>
      <c r="J19" s="29">
        <f>+E19*1.4</f>
        <v>137200</v>
      </c>
      <c r="K19" s="29">
        <f>+J19+I19</f>
        <v>149200</v>
      </c>
      <c r="L19" s="1">
        <v>5</v>
      </c>
      <c r="M19" s="29">
        <f>+J19*L19</f>
        <v>686000</v>
      </c>
      <c r="N19" s="5">
        <f>+E19</f>
        <v>98000</v>
      </c>
      <c r="O19" s="29">
        <f>9000+N19</f>
        <v>107000</v>
      </c>
      <c r="P19" s="37">
        <f>+O19-K19</f>
        <v>-42200</v>
      </c>
    </row>
    <row r="20" spans="1:16" ht="13" hidden="1" x14ac:dyDescent="0.25">
      <c r="A20" s="26">
        <f>+A19+1</f>
        <v>14</v>
      </c>
      <c r="B20" s="2" t="s">
        <v>201</v>
      </c>
      <c r="C20" s="7"/>
      <c r="D20" s="4" t="s">
        <v>3</v>
      </c>
      <c r="E20" s="19">
        <v>97000</v>
      </c>
      <c r="F20" s="29">
        <f>+VLOOKUP(B20,Distribuidor!$B$7:$D$533,3,0)</f>
        <v>67700</v>
      </c>
      <c r="G20" s="29">
        <f>+E20-F20</f>
        <v>29300</v>
      </c>
      <c r="H20" s="29"/>
      <c r="I20" s="29">
        <v>12000</v>
      </c>
      <c r="J20" s="29">
        <f>+E20*1.4</f>
        <v>135800</v>
      </c>
      <c r="K20" s="29">
        <f>+J20+I20</f>
        <v>147800</v>
      </c>
    </row>
    <row r="21" spans="1:16" ht="13" hidden="1" x14ac:dyDescent="0.25">
      <c r="A21" s="26">
        <f>+A20+1</f>
        <v>15</v>
      </c>
      <c r="B21" s="2" t="s">
        <v>507</v>
      </c>
      <c r="C21" s="7"/>
      <c r="D21" s="4" t="s">
        <v>103</v>
      </c>
      <c r="E21" s="19">
        <v>97000</v>
      </c>
      <c r="F21" s="29">
        <f>+VLOOKUP(B21,Distribuidor!$B$7:$D$533,3,0)</f>
        <v>67700</v>
      </c>
      <c r="G21" s="29">
        <f>+E21-F21</f>
        <v>29300</v>
      </c>
      <c r="H21" s="29"/>
      <c r="I21" s="29">
        <v>12000</v>
      </c>
      <c r="J21" s="29">
        <f>+E21*1.4</f>
        <v>135800</v>
      </c>
      <c r="K21" s="29">
        <f>+J21+I21</f>
        <v>147800</v>
      </c>
    </row>
    <row r="22" spans="1:16" ht="13" hidden="1" x14ac:dyDescent="0.25">
      <c r="A22" s="26">
        <f>+A21+1</f>
        <v>16</v>
      </c>
      <c r="B22" s="2" t="s">
        <v>28</v>
      </c>
      <c r="C22" s="7"/>
      <c r="D22" s="4" t="s">
        <v>24</v>
      </c>
      <c r="E22" s="19">
        <v>94000</v>
      </c>
      <c r="F22" s="29">
        <f>+VLOOKUP(B22,Distribuidor!$B$7:$D$533,3,0)</f>
        <v>65200</v>
      </c>
      <c r="G22" s="29">
        <f>+E22-F22</f>
        <v>28800</v>
      </c>
      <c r="H22" s="29"/>
      <c r="I22" s="29">
        <v>12000</v>
      </c>
      <c r="J22" s="29">
        <f>+E22*1.4</f>
        <v>131600</v>
      </c>
      <c r="K22" s="29">
        <f>+J22+I22</f>
        <v>143600</v>
      </c>
    </row>
    <row r="23" spans="1:16" ht="13" hidden="1" x14ac:dyDescent="0.25">
      <c r="A23" s="26">
        <f>+A22+1</f>
        <v>17</v>
      </c>
      <c r="B23" s="38" t="s">
        <v>550</v>
      </c>
      <c r="C23" s="7" t="s">
        <v>618</v>
      </c>
      <c r="D23" s="4" t="s">
        <v>543</v>
      </c>
      <c r="E23" s="19">
        <v>93000</v>
      </c>
      <c r="F23" s="29">
        <f>+VLOOKUP(B23,Distribuidor!$B$7:$D$533,3,0)</f>
        <v>65100</v>
      </c>
      <c r="G23" s="29">
        <f>+E23-F23</f>
        <v>27900</v>
      </c>
      <c r="H23" s="29">
        <f>+G23*L23</f>
        <v>139500</v>
      </c>
      <c r="I23" s="29">
        <v>12000</v>
      </c>
      <c r="J23" s="29">
        <f>+E23*1.4</f>
        <v>130199.99999999999</v>
      </c>
      <c r="K23" s="29">
        <f>+J23+I23</f>
        <v>142200</v>
      </c>
      <c r="L23" s="1">
        <v>5</v>
      </c>
      <c r="M23" s="29">
        <f>+J23*L23</f>
        <v>650999.99999999988</v>
      </c>
      <c r="N23" s="5">
        <f>+E23</f>
        <v>93000</v>
      </c>
      <c r="O23" s="29">
        <f>9000+N23</f>
        <v>102000</v>
      </c>
      <c r="P23" s="37">
        <f>+O23-K23</f>
        <v>-40200</v>
      </c>
    </row>
    <row r="24" spans="1:16" ht="13" hidden="1" x14ac:dyDescent="0.25">
      <c r="A24" s="26">
        <f>+A23+1</f>
        <v>18</v>
      </c>
      <c r="B24" s="2" t="s">
        <v>27</v>
      </c>
      <c r="C24" s="7"/>
      <c r="D24" s="4" t="s">
        <v>24</v>
      </c>
      <c r="E24" s="19">
        <v>91000</v>
      </c>
      <c r="F24" s="29">
        <f>+VLOOKUP(B24,Distribuidor!$B$7:$D$533,3,0)</f>
        <v>63700</v>
      </c>
      <c r="G24" s="29">
        <f>+E24-F24</f>
        <v>27300</v>
      </c>
      <c r="H24" s="29"/>
      <c r="I24" s="29">
        <v>12000</v>
      </c>
      <c r="J24" s="29">
        <f>+E24*1.4</f>
        <v>127399.99999999999</v>
      </c>
      <c r="K24" s="29">
        <f>+J24+I24</f>
        <v>139400</v>
      </c>
    </row>
    <row r="25" spans="1:16" ht="13" hidden="1" x14ac:dyDescent="0.25">
      <c r="A25" s="26">
        <f>+A24+1</f>
        <v>19</v>
      </c>
      <c r="B25" s="2" t="s">
        <v>202</v>
      </c>
      <c r="C25" s="7"/>
      <c r="D25" s="4" t="s">
        <v>3</v>
      </c>
      <c r="E25" s="19">
        <v>89000</v>
      </c>
      <c r="F25" s="29">
        <f>+VLOOKUP(B25,Distribuidor!$B$7:$D$533,3,0)</f>
        <v>62200</v>
      </c>
      <c r="G25" s="29">
        <f>+E25-F25</f>
        <v>26800</v>
      </c>
      <c r="H25" s="29"/>
      <c r="I25" s="29">
        <v>12000</v>
      </c>
      <c r="J25" s="29">
        <f>+E25*1.4</f>
        <v>124599.99999999999</v>
      </c>
      <c r="K25" s="29">
        <f>+J25+I25</f>
        <v>136600</v>
      </c>
    </row>
    <row r="26" spans="1:16" ht="13" x14ac:dyDescent="0.25">
      <c r="A26" s="26">
        <f>+A25+1</f>
        <v>20</v>
      </c>
      <c r="B26" s="40" t="s">
        <v>548</v>
      </c>
      <c r="C26" s="7" t="s">
        <v>618</v>
      </c>
      <c r="D26" s="4" t="s">
        <v>543</v>
      </c>
      <c r="E26" s="19">
        <v>86000</v>
      </c>
      <c r="F26" s="29">
        <f>+VLOOKUP(B26,Distribuidor!$B$7:$D$533,3,0)</f>
        <v>59800</v>
      </c>
      <c r="G26" s="29">
        <f>+E26-F26</f>
        <v>26200</v>
      </c>
      <c r="H26" s="29">
        <f>+G26*L26</f>
        <v>131000</v>
      </c>
      <c r="I26" s="29">
        <v>12000</v>
      </c>
      <c r="J26" s="29">
        <f>+E26*1.4</f>
        <v>120399.99999999999</v>
      </c>
      <c r="K26" s="29">
        <f>+J26+I26</f>
        <v>132400</v>
      </c>
      <c r="L26" s="1">
        <v>5</v>
      </c>
      <c r="M26" s="29">
        <f>+J26*L26</f>
        <v>601999.99999999988</v>
      </c>
      <c r="N26" s="5">
        <f>+E26</f>
        <v>86000</v>
      </c>
      <c r="O26" s="29">
        <f>9000+N26</f>
        <v>95000</v>
      </c>
      <c r="P26" s="37">
        <f>+O26-K26</f>
        <v>-37400</v>
      </c>
    </row>
    <row r="27" spans="1:16" ht="13" hidden="1" x14ac:dyDescent="0.25">
      <c r="A27" s="26">
        <f>+A26+1</f>
        <v>21</v>
      </c>
      <c r="B27" s="4" t="s">
        <v>506</v>
      </c>
      <c r="C27" s="7"/>
      <c r="D27" s="4" t="s">
        <v>103</v>
      </c>
      <c r="E27" s="19">
        <v>78000</v>
      </c>
      <c r="F27" s="29">
        <f>+VLOOKUP(B27,Distribuidor!$B$7:$D$533,3,0)</f>
        <v>54200</v>
      </c>
      <c r="G27" s="29">
        <f>+E27-F27</f>
        <v>23800</v>
      </c>
      <c r="H27" s="29"/>
      <c r="I27" s="29">
        <v>12000</v>
      </c>
      <c r="J27" s="29">
        <f>+E27*1.4</f>
        <v>109200</v>
      </c>
      <c r="K27" s="29">
        <f>+J27+I27</f>
        <v>121200</v>
      </c>
    </row>
    <row r="28" spans="1:16" ht="13" hidden="1" x14ac:dyDescent="0.25">
      <c r="A28" s="26">
        <f>+A27+1</f>
        <v>22</v>
      </c>
      <c r="B28" s="4" t="s">
        <v>508</v>
      </c>
      <c r="C28" s="7"/>
      <c r="D28" s="4" t="s">
        <v>103</v>
      </c>
      <c r="E28" s="19">
        <v>78000</v>
      </c>
      <c r="F28" s="29">
        <f>+VLOOKUP(B28,Distribuidor!$B$7:$D$533,3,0)</f>
        <v>54200</v>
      </c>
      <c r="G28" s="29">
        <f>+E28-F28</f>
        <v>23800</v>
      </c>
      <c r="H28" s="29"/>
      <c r="I28" s="29">
        <v>12000</v>
      </c>
      <c r="J28" s="29">
        <f>+E28*1.4</f>
        <v>109200</v>
      </c>
      <c r="K28" s="29">
        <f>+J28+I28</f>
        <v>121200</v>
      </c>
    </row>
    <row r="29" spans="1:16" ht="13" hidden="1" x14ac:dyDescent="0.25">
      <c r="A29" s="26">
        <f>+A28+1</f>
        <v>23</v>
      </c>
      <c r="B29" s="39" t="s">
        <v>549</v>
      </c>
      <c r="C29" s="7" t="s">
        <v>618</v>
      </c>
      <c r="D29" s="4" t="s">
        <v>543</v>
      </c>
      <c r="E29" s="19">
        <v>73000</v>
      </c>
      <c r="F29" s="29">
        <f>+VLOOKUP(B29,Distribuidor!$B$7:$D$533,3,0)</f>
        <v>50500</v>
      </c>
      <c r="G29" s="29">
        <f>+E29-F29</f>
        <v>22500</v>
      </c>
      <c r="H29" s="29">
        <f>+G29*L29</f>
        <v>112500</v>
      </c>
      <c r="I29" s="29">
        <v>12000</v>
      </c>
      <c r="J29" s="29">
        <f>+E29*1.4</f>
        <v>102200</v>
      </c>
      <c r="K29" s="29">
        <f>+J29+I29</f>
        <v>114200</v>
      </c>
      <c r="L29" s="1">
        <v>5</v>
      </c>
      <c r="M29" s="29">
        <f>+J29*L29</f>
        <v>511000</v>
      </c>
      <c r="N29" s="5">
        <f>+E29</f>
        <v>73000</v>
      </c>
      <c r="O29" s="29">
        <f>9000+N29</f>
        <v>82000</v>
      </c>
      <c r="P29" s="37">
        <f>+O29-K29</f>
        <v>-32200</v>
      </c>
    </row>
    <row r="30" spans="1:16" ht="13" hidden="1" x14ac:dyDescent="0.25">
      <c r="A30" s="26">
        <f>+A29+1</f>
        <v>24</v>
      </c>
      <c r="B30" s="39" t="s">
        <v>551</v>
      </c>
      <c r="C30" s="7" t="s">
        <v>618</v>
      </c>
      <c r="D30" s="4" t="s">
        <v>543</v>
      </c>
      <c r="E30" s="19">
        <v>73000</v>
      </c>
      <c r="F30" s="29">
        <f>+VLOOKUP(B30,Distribuidor!$B$7:$D$533,3,0)</f>
        <v>50500</v>
      </c>
      <c r="G30" s="29">
        <f>+E30-F30</f>
        <v>22500</v>
      </c>
      <c r="H30" s="29">
        <f>+G30*L30</f>
        <v>112500</v>
      </c>
      <c r="I30" s="29">
        <v>12000</v>
      </c>
      <c r="J30" s="29">
        <f>+E30*1.4</f>
        <v>102200</v>
      </c>
      <c r="K30" s="29">
        <f>+J30+I30</f>
        <v>114200</v>
      </c>
      <c r="L30" s="1">
        <v>5</v>
      </c>
      <c r="M30" s="29">
        <f>+J30*L30</f>
        <v>511000</v>
      </c>
      <c r="N30" s="5">
        <f>+E30</f>
        <v>73000</v>
      </c>
      <c r="O30" s="29">
        <f>9000+N30</f>
        <v>82000</v>
      </c>
      <c r="P30" s="37">
        <f>+O30-K30</f>
        <v>-32200</v>
      </c>
    </row>
    <row r="31" spans="1:16" ht="13" hidden="1" x14ac:dyDescent="0.25">
      <c r="A31" s="26">
        <f>+A30+1</f>
        <v>25</v>
      </c>
      <c r="B31" s="39" t="s">
        <v>552</v>
      </c>
      <c r="C31" s="7" t="s">
        <v>618</v>
      </c>
      <c r="D31" s="4" t="s">
        <v>543</v>
      </c>
      <c r="E31" s="19">
        <v>73000</v>
      </c>
      <c r="F31" s="29">
        <f>+VLOOKUP(B31,Distribuidor!$B$7:$D$533,3,0)</f>
        <v>50500</v>
      </c>
      <c r="G31" s="29">
        <f>+E31-F31</f>
        <v>22500</v>
      </c>
      <c r="H31" s="29">
        <f>+G31*L31</f>
        <v>112500</v>
      </c>
      <c r="I31" s="29">
        <v>12000</v>
      </c>
      <c r="J31" s="29">
        <f>+E31*1.4</f>
        <v>102200</v>
      </c>
      <c r="K31" s="29">
        <f>+J31+I31</f>
        <v>114200</v>
      </c>
      <c r="L31" s="1">
        <v>5</v>
      </c>
      <c r="M31" s="29">
        <f>+J31*L31</f>
        <v>511000</v>
      </c>
      <c r="N31" s="5">
        <f>+E31</f>
        <v>73000</v>
      </c>
      <c r="O31" s="29">
        <f>9000+N31</f>
        <v>82000</v>
      </c>
      <c r="P31" s="37">
        <f>+O31-K31</f>
        <v>-32200</v>
      </c>
    </row>
    <row r="32" spans="1:16" ht="13" hidden="1" x14ac:dyDescent="0.25">
      <c r="A32" s="26">
        <f>+A31+1</f>
        <v>26</v>
      </c>
      <c r="B32" s="2" t="s">
        <v>500</v>
      </c>
      <c r="C32" s="7"/>
      <c r="D32" s="4" t="s">
        <v>468</v>
      </c>
      <c r="E32" s="19">
        <v>72000</v>
      </c>
      <c r="F32" s="29">
        <f>+VLOOKUP(B32,Distribuidor!$B$7:$D$533,3,0)</f>
        <v>50000</v>
      </c>
      <c r="G32" s="29">
        <f>+E32-F32</f>
        <v>22000</v>
      </c>
      <c r="H32" s="29"/>
      <c r="I32" s="29">
        <v>12000</v>
      </c>
      <c r="J32" s="29">
        <f>+E32*1.4</f>
        <v>100800</v>
      </c>
      <c r="K32" s="29">
        <f>+J32+I32</f>
        <v>112800</v>
      </c>
    </row>
    <row r="33" spans="1:16" ht="13" x14ac:dyDescent="0.25">
      <c r="A33" s="26">
        <f>+A32+1</f>
        <v>27</v>
      </c>
      <c r="B33" s="40" t="s">
        <v>553</v>
      </c>
      <c r="C33" s="7" t="s">
        <v>618</v>
      </c>
      <c r="D33" s="4" t="s">
        <v>543</v>
      </c>
      <c r="E33" s="19">
        <v>69000</v>
      </c>
      <c r="F33" s="29">
        <f>+VLOOKUP(B33,Distribuidor!$B$7:$D$533,3,0)</f>
        <v>47900</v>
      </c>
      <c r="G33" s="29">
        <f>+E33-F33</f>
        <v>21100</v>
      </c>
      <c r="H33" s="29">
        <f>+G33*L33</f>
        <v>105500</v>
      </c>
      <c r="I33" s="29">
        <v>12000</v>
      </c>
      <c r="J33" s="29">
        <f>+E33*1.4</f>
        <v>96600</v>
      </c>
      <c r="K33" s="29">
        <f>+J33+I33</f>
        <v>108600</v>
      </c>
      <c r="L33" s="1">
        <v>5</v>
      </c>
      <c r="M33" s="29">
        <f>+J33*L33</f>
        <v>483000</v>
      </c>
      <c r="N33" s="5">
        <f>+E33</f>
        <v>69000</v>
      </c>
      <c r="O33" s="29">
        <f>9000+N33</f>
        <v>78000</v>
      </c>
      <c r="P33" s="37">
        <f>+O33-K33</f>
        <v>-30600</v>
      </c>
    </row>
    <row r="34" spans="1:16" ht="13" hidden="1" x14ac:dyDescent="0.25">
      <c r="A34" s="26">
        <f>+A33+1</f>
        <v>28</v>
      </c>
      <c r="B34" s="2" t="s">
        <v>512</v>
      </c>
      <c r="C34" s="7"/>
      <c r="D34" s="4" t="s">
        <v>103</v>
      </c>
      <c r="E34" s="19">
        <v>68000</v>
      </c>
      <c r="F34" s="29">
        <f>+VLOOKUP(B34,Distribuidor!$B$7:$D$533,3,0)</f>
        <v>47400</v>
      </c>
      <c r="G34" s="29">
        <f>+E34-F34</f>
        <v>20600</v>
      </c>
      <c r="H34" s="29"/>
      <c r="I34" s="29">
        <v>12000</v>
      </c>
      <c r="J34" s="29">
        <f>+E34*1.4</f>
        <v>95200</v>
      </c>
      <c r="K34" s="29">
        <f>+J34+I34</f>
        <v>107200</v>
      </c>
    </row>
    <row r="35" spans="1:16" ht="13" x14ac:dyDescent="0.25">
      <c r="A35" s="26">
        <f>+A34+1</f>
        <v>29</v>
      </c>
      <c r="B35" s="2" t="s">
        <v>554</v>
      </c>
      <c r="C35" s="7" t="s">
        <v>618</v>
      </c>
      <c r="D35" s="4" t="s">
        <v>543</v>
      </c>
      <c r="E35" s="19">
        <v>67000</v>
      </c>
      <c r="F35" s="29">
        <f>+VLOOKUP(B35,Distribuidor!$B$7:$D$533,3,0)</f>
        <v>46500</v>
      </c>
      <c r="G35" s="29">
        <f>+E35-F35</f>
        <v>20500</v>
      </c>
      <c r="H35" s="29">
        <f>+G35*L35</f>
        <v>102500</v>
      </c>
      <c r="I35" s="29">
        <v>12000</v>
      </c>
      <c r="J35" s="29">
        <f>+E35*1.4</f>
        <v>93800</v>
      </c>
      <c r="K35" s="29">
        <f>+J35+I35</f>
        <v>105800</v>
      </c>
      <c r="L35" s="1">
        <v>5</v>
      </c>
      <c r="M35" s="29">
        <f>+J35*L35</f>
        <v>469000</v>
      </c>
      <c r="N35" s="5">
        <f>+E35</f>
        <v>67000</v>
      </c>
      <c r="O35" s="29">
        <f>9000+N35</f>
        <v>76000</v>
      </c>
      <c r="P35" s="37">
        <f>+O35-K35</f>
        <v>-29800</v>
      </c>
    </row>
    <row r="36" spans="1:16" ht="13" hidden="1" x14ac:dyDescent="0.25">
      <c r="A36" s="26">
        <f>+A35+1</f>
        <v>30</v>
      </c>
      <c r="B36" s="2" t="s">
        <v>307</v>
      </c>
      <c r="C36" s="7"/>
      <c r="D36" s="4" t="s">
        <v>265</v>
      </c>
      <c r="E36" s="19">
        <v>66000</v>
      </c>
      <c r="F36" s="29">
        <f>+VLOOKUP(B36,Distribuidor!$B$7:$D$533,3,0)</f>
        <v>46200</v>
      </c>
      <c r="G36" s="29">
        <f>+E36-F36</f>
        <v>19800</v>
      </c>
      <c r="H36" s="29"/>
      <c r="I36" s="29">
        <v>12000</v>
      </c>
      <c r="J36" s="29">
        <f>+E36*1.4</f>
        <v>92400</v>
      </c>
      <c r="K36" s="29">
        <f>+J36+I36</f>
        <v>104400</v>
      </c>
    </row>
    <row r="37" spans="1:16" ht="13" hidden="1" x14ac:dyDescent="0.25">
      <c r="A37" s="26">
        <f>+A36+1</f>
        <v>31</v>
      </c>
      <c r="B37" s="4" t="s">
        <v>538</v>
      </c>
      <c r="C37" s="7"/>
      <c r="D37" s="4" t="s">
        <v>485</v>
      </c>
      <c r="E37" s="19">
        <v>65000</v>
      </c>
      <c r="F37" s="29">
        <f>+VLOOKUP(B37,Distribuidor!$B$7:$D$533,3,0)</f>
        <v>45000</v>
      </c>
      <c r="G37" s="29">
        <f>+E37-F37</f>
        <v>20000</v>
      </c>
      <c r="H37" s="29"/>
      <c r="I37" s="29">
        <v>12000</v>
      </c>
      <c r="J37" s="29">
        <f>+E37*1.4</f>
        <v>91000</v>
      </c>
      <c r="K37" s="29">
        <f>+J37+I37</f>
        <v>103000</v>
      </c>
    </row>
    <row r="38" spans="1:16" ht="13" hidden="1" x14ac:dyDescent="0.25">
      <c r="A38" s="26">
        <f>+A37+1</f>
        <v>32</v>
      </c>
      <c r="B38" s="4" t="s">
        <v>404</v>
      </c>
      <c r="C38" s="7"/>
      <c r="D38" s="4" t="s">
        <v>265</v>
      </c>
      <c r="E38" s="19">
        <v>64000</v>
      </c>
      <c r="F38" s="29">
        <f>+VLOOKUP(B38,Distribuidor!$B$7:$D$533,3,0)</f>
        <v>44300</v>
      </c>
      <c r="G38" s="29">
        <f>+E38-F38</f>
        <v>19700</v>
      </c>
      <c r="H38" s="29"/>
      <c r="I38" s="29">
        <v>12000</v>
      </c>
      <c r="J38" s="29">
        <f>+E38*1.4</f>
        <v>89600</v>
      </c>
      <c r="K38" s="29">
        <f>+J38+I38</f>
        <v>101600</v>
      </c>
    </row>
    <row r="39" spans="1:16" ht="13" hidden="1" x14ac:dyDescent="0.25">
      <c r="A39" s="26">
        <f>+A38+1</f>
        <v>33</v>
      </c>
      <c r="B39" s="4" t="s">
        <v>509</v>
      </c>
      <c r="C39" s="7"/>
      <c r="D39" s="4" t="s">
        <v>103</v>
      </c>
      <c r="E39" s="19">
        <v>63000</v>
      </c>
      <c r="F39" s="29">
        <f>+VLOOKUP(B39,Distribuidor!$B$7:$D$533,3,0)</f>
        <v>44000</v>
      </c>
      <c r="G39" s="29">
        <f>+E39-F39</f>
        <v>19000</v>
      </c>
      <c r="H39" s="29"/>
      <c r="I39" s="29">
        <v>12000</v>
      </c>
      <c r="J39" s="29">
        <f>+E39*1.4</f>
        <v>88200</v>
      </c>
      <c r="K39" s="29">
        <f>+J39+I39</f>
        <v>100200</v>
      </c>
    </row>
    <row r="40" spans="1:16" ht="13" hidden="1" x14ac:dyDescent="0.25">
      <c r="A40" s="26">
        <f>+A39+1</f>
        <v>34</v>
      </c>
      <c r="B40" s="2" t="s">
        <v>401</v>
      </c>
      <c r="C40" s="7"/>
      <c r="D40" s="4" t="s">
        <v>265</v>
      </c>
      <c r="E40" s="19">
        <v>63000</v>
      </c>
      <c r="F40" s="29">
        <f>+VLOOKUP(B40,Distribuidor!$B$7:$D$533,3,0)</f>
        <v>43700</v>
      </c>
      <c r="G40" s="29">
        <f>+E40-F40</f>
        <v>19300</v>
      </c>
      <c r="H40" s="29"/>
      <c r="I40" s="29">
        <v>12000</v>
      </c>
      <c r="J40" s="29">
        <f>+E40*1.4</f>
        <v>88200</v>
      </c>
      <c r="K40" s="29">
        <f>+J40+I40</f>
        <v>100200</v>
      </c>
    </row>
    <row r="41" spans="1:16" ht="13" hidden="1" x14ac:dyDescent="0.25">
      <c r="A41" s="26">
        <f>+A40+1</f>
        <v>35</v>
      </c>
      <c r="B41" s="4" t="s">
        <v>413</v>
      </c>
      <c r="C41" s="7"/>
      <c r="D41" s="4" t="s">
        <v>14</v>
      </c>
      <c r="E41" s="19">
        <v>63000</v>
      </c>
      <c r="F41" s="29">
        <f>+VLOOKUP(B41,Distribuidor!$B$7:$D$533,3,0)</f>
        <v>43500</v>
      </c>
      <c r="G41" s="29">
        <f>+E41-F41</f>
        <v>19500</v>
      </c>
      <c r="H41" s="29"/>
      <c r="I41" s="29">
        <v>12000</v>
      </c>
      <c r="J41" s="29">
        <f>+E41*1.4</f>
        <v>88200</v>
      </c>
      <c r="K41" s="29">
        <f>+J41+I41</f>
        <v>100200</v>
      </c>
    </row>
    <row r="42" spans="1:16" ht="13" hidden="1" x14ac:dyDescent="0.25">
      <c r="A42" s="26">
        <f>+A41+1</f>
        <v>36</v>
      </c>
      <c r="B42" s="4" t="s">
        <v>412</v>
      </c>
      <c r="C42" s="7"/>
      <c r="D42" s="4" t="s">
        <v>14</v>
      </c>
      <c r="E42" s="19">
        <v>63000</v>
      </c>
      <c r="F42" s="29">
        <f>+VLOOKUP(B42,Distribuidor!$B$7:$D$533,3,0)</f>
        <v>43500</v>
      </c>
      <c r="G42" s="29">
        <f>+E42-F42</f>
        <v>19500</v>
      </c>
      <c r="H42" s="29"/>
      <c r="I42" s="29">
        <v>12000</v>
      </c>
      <c r="J42" s="29">
        <f>+E42*1.4</f>
        <v>88200</v>
      </c>
      <c r="K42" s="29">
        <f>+J42+I42</f>
        <v>100200</v>
      </c>
    </row>
    <row r="43" spans="1:16" ht="13" hidden="1" x14ac:dyDescent="0.25">
      <c r="A43" s="26">
        <f>+A42+1</f>
        <v>37</v>
      </c>
      <c r="B43" s="2" t="s">
        <v>78</v>
      </c>
      <c r="C43" s="7"/>
      <c r="D43" s="4" t="s">
        <v>0</v>
      </c>
      <c r="E43" s="19">
        <v>62000</v>
      </c>
      <c r="F43" s="29">
        <f>+VLOOKUP(B43,Distribuidor!$B$7:$D$533,3,0)</f>
        <v>43000</v>
      </c>
      <c r="G43" s="29">
        <f>+E43-F43</f>
        <v>19000</v>
      </c>
      <c r="H43" s="29"/>
      <c r="I43" s="29">
        <v>12000</v>
      </c>
      <c r="J43" s="29">
        <f>+E43*1.4</f>
        <v>86800</v>
      </c>
      <c r="K43" s="29">
        <f>+J43+I43</f>
        <v>98800</v>
      </c>
    </row>
    <row r="44" spans="1:16" ht="13" hidden="1" x14ac:dyDescent="0.25">
      <c r="A44" s="26">
        <f>+A43+1</f>
        <v>38</v>
      </c>
      <c r="B44" s="2" t="s">
        <v>200</v>
      </c>
      <c r="C44" s="7"/>
      <c r="D44" s="4" t="s">
        <v>3</v>
      </c>
      <c r="E44" s="19">
        <v>62000</v>
      </c>
      <c r="F44" s="29">
        <f>+VLOOKUP(B44,Distribuidor!$B$7:$D$533,3,0)</f>
        <v>42800</v>
      </c>
      <c r="G44" s="29">
        <f>+E44-F44</f>
        <v>19200</v>
      </c>
      <c r="H44" s="29"/>
      <c r="I44" s="29">
        <v>12000</v>
      </c>
      <c r="J44" s="29">
        <f>+E44*1.4</f>
        <v>86800</v>
      </c>
      <c r="K44" s="29">
        <f>+J44+I44</f>
        <v>98800</v>
      </c>
    </row>
    <row r="45" spans="1:16" ht="13" x14ac:dyDescent="0.25">
      <c r="A45" s="26">
        <f>+A44+1</f>
        <v>39</v>
      </c>
      <c r="B45" s="2" t="s">
        <v>555</v>
      </c>
      <c r="C45" s="7" t="s">
        <v>618</v>
      </c>
      <c r="D45" s="4" t="s">
        <v>543</v>
      </c>
      <c r="E45" s="19">
        <v>62000</v>
      </c>
      <c r="F45" s="29">
        <f>+VLOOKUP(B45,Distribuidor!$B$7:$D$533,3,0)</f>
        <v>43200</v>
      </c>
      <c r="G45" s="29">
        <f>+E45-F45</f>
        <v>18800</v>
      </c>
      <c r="H45" s="29">
        <f>+G45*L45</f>
        <v>94000</v>
      </c>
      <c r="I45" s="29">
        <v>12000</v>
      </c>
      <c r="J45" s="29">
        <f>+E45*1.4</f>
        <v>86800</v>
      </c>
      <c r="K45" s="29">
        <f>+J45+I45</f>
        <v>98800</v>
      </c>
      <c r="L45" s="1">
        <v>5</v>
      </c>
      <c r="M45" s="29">
        <f>+J45*L45</f>
        <v>434000</v>
      </c>
      <c r="N45" s="5">
        <f>+E45</f>
        <v>62000</v>
      </c>
      <c r="O45" s="29">
        <f>9000+N45</f>
        <v>71000</v>
      </c>
      <c r="P45" s="37">
        <f>+O45-K45</f>
        <v>-27800</v>
      </c>
    </row>
    <row r="46" spans="1:16" ht="13" hidden="1" x14ac:dyDescent="0.25">
      <c r="A46" s="26">
        <f>+A45+1</f>
        <v>40</v>
      </c>
      <c r="B46" s="2" t="s">
        <v>26</v>
      </c>
      <c r="C46" s="7"/>
      <c r="D46" s="4" t="s">
        <v>24</v>
      </c>
      <c r="E46" s="19">
        <v>60000</v>
      </c>
      <c r="F46" s="29">
        <f>+VLOOKUP(B46,Distribuidor!$B$7:$D$533,3,0)</f>
        <v>41900</v>
      </c>
      <c r="G46" s="29">
        <f>+E46-F46</f>
        <v>18100</v>
      </c>
      <c r="H46" s="29"/>
      <c r="I46" s="29">
        <v>12000</v>
      </c>
      <c r="J46" s="29">
        <f>+E46*1.4</f>
        <v>84000</v>
      </c>
      <c r="K46" s="29">
        <f>+J46+I46</f>
        <v>96000</v>
      </c>
    </row>
    <row r="47" spans="1:16" ht="13" x14ac:dyDescent="0.25">
      <c r="A47" s="26">
        <f>+A46+1</f>
        <v>41</v>
      </c>
      <c r="B47" s="2" t="s">
        <v>25</v>
      </c>
      <c r="C47" s="7" t="s">
        <v>618</v>
      </c>
      <c r="D47" s="4" t="s">
        <v>24</v>
      </c>
      <c r="E47" s="19">
        <v>60000</v>
      </c>
      <c r="F47" s="29">
        <f>+VLOOKUP(B47,Distribuidor!$B$7:$D$533,3,0)</f>
        <v>41900</v>
      </c>
      <c r="G47" s="29">
        <f>+E47-F47</f>
        <v>18100</v>
      </c>
      <c r="H47" s="29">
        <f>+G47*L47</f>
        <v>90500</v>
      </c>
      <c r="I47" s="29">
        <v>12000</v>
      </c>
      <c r="J47" s="29">
        <f>+E47*1.4</f>
        <v>84000</v>
      </c>
      <c r="K47" s="29">
        <f>+J47+I47</f>
        <v>96000</v>
      </c>
      <c r="L47" s="1">
        <v>5</v>
      </c>
      <c r="M47" s="29">
        <f>+J47*L47</f>
        <v>420000</v>
      </c>
      <c r="N47" s="29">
        <v>70780</v>
      </c>
      <c r="O47" s="29">
        <f>9000+N47</f>
        <v>79780</v>
      </c>
      <c r="P47" s="37">
        <f>+O47-K47</f>
        <v>-16220</v>
      </c>
    </row>
    <row r="48" spans="1:16" ht="13" x14ac:dyDescent="0.25">
      <c r="A48" s="26">
        <f>+A47+1</f>
        <v>42</v>
      </c>
      <c r="B48" s="2" t="s">
        <v>545</v>
      </c>
      <c r="C48" s="7" t="s">
        <v>618</v>
      </c>
      <c r="D48" s="4" t="s">
        <v>543</v>
      </c>
      <c r="E48" s="19">
        <v>59000</v>
      </c>
      <c r="F48" s="29">
        <f>+VLOOKUP(B48,Distribuidor!$B$7:$D$533,3,0)</f>
        <v>41200</v>
      </c>
      <c r="G48" s="29">
        <f>+E48-F48</f>
        <v>17800</v>
      </c>
      <c r="H48" s="29">
        <f>+G48*L48</f>
        <v>89000</v>
      </c>
      <c r="I48" s="29">
        <v>12000</v>
      </c>
      <c r="J48" s="29">
        <f>+E48*1.4</f>
        <v>82600</v>
      </c>
      <c r="K48" s="29">
        <f>+J48+I48</f>
        <v>94600</v>
      </c>
      <c r="L48" s="1">
        <v>5</v>
      </c>
      <c r="M48" s="29">
        <f>+J48*L48</f>
        <v>413000</v>
      </c>
      <c r="N48" s="5">
        <f>+E48</f>
        <v>59000</v>
      </c>
      <c r="O48" s="29">
        <f>9000+N48</f>
        <v>68000</v>
      </c>
      <c r="P48" s="37">
        <f>+O48-K48</f>
        <v>-26600</v>
      </c>
    </row>
    <row r="49" spans="1:16" ht="13" x14ac:dyDescent="0.25">
      <c r="A49" s="26">
        <f>+A48+1</f>
        <v>43</v>
      </c>
      <c r="B49" s="4" t="s">
        <v>546</v>
      </c>
      <c r="C49" s="7" t="s">
        <v>618</v>
      </c>
      <c r="D49" s="4" t="s">
        <v>543</v>
      </c>
      <c r="E49" s="19">
        <v>59000</v>
      </c>
      <c r="F49" s="29">
        <f>+VLOOKUP(B49,Distribuidor!$B$7:$D$533,3,0)</f>
        <v>41200</v>
      </c>
      <c r="G49" s="29">
        <f>+E49-F49</f>
        <v>17800</v>
      </c>
      <c r="H49" s="29">
        <f>+G49*L49</f>
        <v>89000</v>
      </c>
      <c r="I49" s="29">
        <v>12000</v>
      </c>
      <c r="J49" s="29">
        <f>+E49*1.4</f>
        <v>82600</v>
      </c>
      <c r="K49" s="29">
        <f>+J49+I49</f>
        <v>94600</v>
      </c>
      <c r="L49" s="1">
        <v>5</v>
      </c>
      <c r="M49" s="29">
        <f>+J49*L49</f>
        <v>413000</v>
      </c>
      <c r="N49" s="5">
        <f>+E49</f>
        <v>59000</v>
      </c>
      <c r="O49" s="29">
        <f>9000+N49</f>
        <v>68000</v>
      </c>
      <c r="P49" s="37">
        <f>+O49-K49</f>
        <v>-26600</v>
      </c>
    </row>
    <row r="50" spans="1:16" ht="13" hidden="1" x14ac:dyDescent="0.25">
      <c r="A50" s="26">
        <f>+A49+1</f>
        <v>44</v>
      </c>
      <c r="B50" s="2" t="s">
        <v>402</v>
      </c>
      <c r="C50" s="7"/>
      <c r="D50" s="4" t="s">
        <v>265</v>
      </c>
      <c r="E50" s="19">
        <v>56000</v>
      </c>
      <c r="F50" s="29">
        <f>+VLOOKUP(B50,Distribuidor!$B$7:$D$533,3,0)</f>
        <v>39100</v>
      </c>
      <c r="G50" s="29">
        <f>+E50-F50</f>
        <v>16900</v>
      </c>
      <c r="H50" s="29"/>
      <c r="I50" s="29">
        <v>12000</v>
      </c>
      <c r="J50" s="29">
        <f>+E50*1.4</f>
        <v>78400</v>
      </c>
      <c r="K50" s="29">
        <f>+J50+I50</f>
        <v>90400</v>
      </c>
    </row>
    <row r="51" spans="1:16" ht="13" hidden="1" x14ac:dyDescent="0.25">
      <c r="A51" s="26">
        <f>+A50+1</f>
        <v>45</v>
      </c>
      <c r="B51" s="2" t="s">
        <v>539</v>
      </c>
      <c r="C51" s="7"/>
      <c r="D51" s="4" t="s">
        <v>265</v>
      </c>
      <c r="E51" s="19">
        <v>55000</v>
      </c>
      <c r="F51" s="29">
        <f>+VLOOKUP(B51,Distribuidor!$B$7:$D$533,3,0)</f>
        <v>38500</v>
      </c>
      <c r="G51" s="29">
        <f>+E51-F51</f>
        <v>16500</v>
      </c>
      <c r="H51" s="29"/>
      <c r="I51" s="29">
        <v>12000</v>
      </c>
      <c r="J51" s="29">
        <f>+E51*1.4</f>
        <v>77000</v>
      </c>
      <c r="K51" s="29">
        <f>+J51+I51</f>
        <v>89000</v>
      </c>
    </row>
    <row r="52" spans="1:16" ht="13" hidden="1" x14ac:dyDescent="0.25">
      <c r="A52" s="26">
        <f>+A51+1</f>
        <v>46</v>
      </c>
      <c r="B52" s="2" t="s">
        <v>530</v>
      </c>
      <c r="C52" s="7"/>
      <c r="D52" s="4" t="s">
        <v>529</v>
      </c>
      <c r="E52" s="19">
        <v>54000</v>
      </c>
      <c r="F52" s="29">
        <f>+VLOOKUP(B52,Distribuidor!$B$7:$D$533,3,0)</f>
        <v>37200</v>
      </c>
      <c r="G52" s="29">
        <f>+E52-F52</f>
        <v>16800</v>
      </c>
      <c r="H52" s="29"/>
      <c r="I52" s="29">
        <v>12000</v>
      </c>
      <c r="J52" s="29">
        <f>+E52*1.4</f>
        <v>75600</v>
      </c>
      <c r="K52" s="29">
        <f>+J52+I52</f>
        <v>87600</v>
      </c>
    </row>
    <row r="53" spans="1:16" ht="13" hidden="1" x14ac:dyDescent="0.25">
      <c r="A53" s="26">
        <f>+A52+1</f>
        <v>47</v>
      </c>
      <c r="B53" s="2" t="s">
        <v>400</v>
      </c>
      <c r="C53" s="7"/>
      <c r="D53" s="4" t="s">
        <v>265</v>
      </c>
      <c r="E53" s="19">
        <v>54000</v>
      </c>
      <c r="F53" s="29">
        <f>+VLOOKUP(B53,Distribuidor!$B$7:$D$533,3,0)</f>
        <v>37800</v>
      </c>
      <c r="G53" s="29">
        <f>+E53-F53</f>
        <v>16200</v>
      </c>
      <c r="H53" s="29"/>
      <c r="I53" s="29">
        <v>12000</v>
      </c>
      <c r="J53" s="29">
        <f>+E53*1.4</f>
        <v>75600</v>
      </c>
      <c r="K53" s="29">
        <f>+J53+I53</f>
        <v>87600</v>
      </c>
    </row>
    <row r="54" spans="1:16" ht="13" hidden="1" x14ac:dyDescent="0.25">
      <c r="A54" s="26">
        <f>+A53+1</f>
        <v>48</v>
      </c>
      <c r="B54" s="2" t="s">
        <v>382</v>
      </c>
      <c r="C54" s="7"/>
      <c r="D54" s="4" t="s">
        <v>265</v>
      </c>
      <c r="E54" s="19">
        <v>54000</v>
      </c>
      <c r="F54" s="29">
        <f>+VLOOKUP(B54,Distribuidor!$B$7:$D$533,3,0)</f>
        <v>37800</v>
      </c>
      <c r="G54" s="29">
        <f>+E54-F54</f>
        <v>16200</v>
      </c>
      <c r="H54" s="29"/>
      <c r="I54" s="29">
        <v>12000</v>
      </c>
      <c r="J54" s="29">
        <f>+E54*1.4</f>
        <v>75600</v>
      </c>
      <c r="K54" s="29">
        <f>+J54+I54</f>
        <v>87600</v>
      </c>
    </row>
    <row r="55" spans="1:16" ht="13" hidden="1" x14ac:dyDescent="0.25">
      <c r="A55" s="26">
        <f>+A54+1</f>
        <v>49</v>
      </c>
      <c r="B55" s="2" t="s">
        <v>568</v>
      </c>
      <c r="C55" s="7"/>
      <c r="D55" s="4" t="s">
        <v>265</v>
      </c>
      <c r="E55" s="19">
        <v>54000</v>
      </c>
      <c r="F55" s="29">
        <f>+VLOOKUP(B55,Distribuidor!$B$7:$D$533,3,0)</f>
        <v>37800</v>
      </c>
      <c r="G55" s="29">
        <f>+E55-F55</f>
        <v>16200</v>
      </c>
      <c r="H55" s="29"/>
      <c r="I55" s="29">
        <v>12000</v>
      </c>
      <c r="J55" s="29">
        <f>+E55*1.4</f>
        <v>75600</v>
      </c>
      <c r="K55" s="29">
        <f>+J55+I55</f>
        <v>87600</v>
      </c>
    </row>
    <row r="56" spans="1:16" ht="13" hidden="1" x14ac:dyDescent="0.25">
      <c r="A56" s="26">
        <f>+A55+1</f>
        <v>50</v>
      </c>
      <c r="B56" s="2" t="s">
        <v>266</v>
      </c>
      <c r="C56" s="7"/>
      <c r="D56" s="4" t="s">
        <v>265</v>
      </c>
      <c r="E56" s="19">
        <v>54000</v>
      </c>
      <c r="F56" s="29">
        <f>+VLOOKUP(B56,Distribuidor!$B$7:$D$533,3,0)</f>
        <v>37800</v>
      </c>
      <c r="G56" s="29">
        <f>+E56-F56</f>
        <v>16200</v>
      </c>
      <c r="H56" s="29"/>
      <c r="I56" s="29">
        <v>12000</v>
      </c>
      <c r="J56" s="29">
        <f>+E56*1.4</f>
        <v>75600</v>
      </c>
      <c r="K56" s="29">
        <f>+J56+I56</f>
        <v>87600</v>
      </c>
    </row>
    <row r="57" spans="1:16" ht="13" hidden="1" x14ac:dyDescent="0.25">
      <c r="A57" s="26">
        <f>+A56+1</f>
        <v>51</v>
      </c>
      <c r="B57" s="4" t="s">
        <v>514</v>
      </c>
      <c r="C57" s="7"/>
      <c r="D57" s="4" t="s">
        <v>24</v>
      </c>
      <c r="E57" s="19">
        <v>53000</v>
      </c>
      <c r="F57" s="29">
        <f>+VLOOKUP(B57,Distribuidor!$B$7:$D$533,3,0)</f>
        <v>36600</v>
      </c>
      <c r="G57" s="29">
        <f>+E57-F57</f>
        <v>16400</v>
      </c>
      <c r="H57" s="29"/>
      <c r="I57" s="29">
        <v>12000</v>
      </c>
      <c r="J57" s="29">
        <f>+E57*1.4</f>
        <v>74200</v>
      </c>
      <c r="K57" s="29">
        <f>+J57+I57</f>
        <v>86200</v>
      </c>
    </row>
    <row r="58" spans="1:16" ht="13" hidden="1" x14ac:dyDescent="0.25">
      <c r="A58" s="26">
        <f>+A57+1</f>
        <v>52</v>
      </c>
      <c r="B58" s="4" t="s">
        <v>326</v>
      </c>
      <c r="C58" s="7"/>
      <c r="D58" s="4" t="s">
        <v>0</v>
      </c>
      <c r="E58" s="19">
        <v>52000</v>
      </c>
      <c r="F58" s="29">
        <f>+VLOOKUP(B58,Distribuidor!$B$7:$D$533,3,0)</f>
        <v>36000</v>
      </c>
      <c r="G58" s="29">
        <f>+E58-F58</f>
        <v>16000</v>
      </c>
      <c r="H58" s="29"/>
      <c r="I58" s="29">
        <v>12000</v>
      </c>
      <c r="J58" s="29">
        <f>+E58*1.4</f>
        <v>72800</v>
      </c>
      <c r="K58" s="29">
        <f>+J58+I58</f>
        <v>84800</v>
      </c>
    </row>
    <row r="59" spans="1:16" ht="13" hidden="1" x14ac:dyDescent="0.25">
      <c r="A59" s="26">
        <f>+A58+1</f>
        <v>53</v>
      </c>
      <c r="B59" s="4" t="s">
        <v>444</v>
      </c>
      <c r="C59" s="7"/>
      <c r="D59" s="4" t="s">
        <v>14</v>
      </c>
      <c r="E59" s="19">
        <v>52000</v>
      </c>
      <c r="F59" s="29">
        <f>+VLOOKUP(B59,Distribuidor!$B$7:$D$533,3,0)</f>
        <v>36100</v>
      </c>
      <c r="G59" s="29">
        <f>+E59-F59</f>
        <v>15900</v>
      </c>
      <c r="H59" s="29"/>
      <c r="I59" s="29">
        <v>12000</v>
      </c>
      <c r="J59" s="29">
        <f>+E59*1.4</f>
        <v>72800</v>
      </c>
      <c r="K59" s="29">
        <f>+J59+I59</f>
        <v>84800</v>
      </c>
    </row>
    <row r="60" spans="1:16" ht="13" hidden="1" x14ac:dyDescent="0.25">
      <c r="A60" s="26">
        <f>+A59+1</f>
        <v>54</v>
      </c>
      <c r="B60" s="4" t="s">
        <v>567</v>
      </c>
      <c r="C60" s="7"/>
      <c r="D60" s="4" t="s">
        <v>265</v>
      </c>
      <c r="E60" s="19">
        <v>51000</v>
      </c>
      <c r="F60" s="29">
        <f>+VLOOKUP(B60,Distribuidor!$B$7:$D$533,3,0)</f>
        <v>35200</v>
      </c>
      <c r="G60" s="29">
        <f>+E60-F60</f>
        <v>15800</v>
      </c>
      <c r="H60" s="29"/>
      <c r="I60" s="29">
        <v>12000</v>
      </c>
      <c r="J60" s="29">
        <f>+E60*1.4</f>
        <v>71400</v>
      </c>
      <c r="K60" s="29">
        <f>+J60+I60</f>
        <v>83400</v>
      </c>
    </row>
    <row r="61" spans="1:16" ht="13" hidden="1" x14ac:dyDescent="0.25">
      <c r="A61" s="26">
        <f>+A60+1</f>
        <v>55</v>
      </c>
      <c r="B61" s="4" t="s">
        <v>566</v>
      </c>
      <c r="C61" s="7"/>
      <c r="D61" s="4" t="s">
        <v>265</v>
      </c>
      <c r="E61" s="19">
        <v>51000</v>
      </c>
      <c r="F61" s="29">
        <f>+VLOOKUP(B61,Distribuidor!$B$7:$D$533,3,0)</f>
        <v>35200</v>
      </c>
      <c r="G61" s="29">
        <f>+E61-F61</f>
        <v>15800</v>
      </c>
      <c r="H61" s="29"/>
      <c r="I61" s="29">
        <v>12000</v>
      </c>
      <c r="J61" s="29">
        <f>+E61*1.4</f>
        <v>71400</v>
      </c>
      <c r="K61" s="29">
        <f>+J61+I61</f>
        <v>83400</v>
      </c>
    </row>
    <row r="62" spans="1:16" ht="13" hidden="1" x14ac:dyDescent="0.25">
      <c r="A62" s="26">
        <f>+A61+1</f>
        <v>56</v>
      </c>
      <c r="B62" s="4" t="s">
        <v>525</v>
      </c>
      <c r="C62" s="7"/>
      <c r="D62" s="4" t="s">
        <v>516</v>
      </c>
      <c r="E62" s="19">
        <v>50000</v>
      </c>
      <c r="F62" s="29">
        <f>+VLOOKUP(B62,Distribuidor!$B$7:$D$533,3,0)</f>
        <v>34900</v>
      </c>
      <c r="G62" s="29">
        <f>+E62-F62</f>
        <v>15100</v>
      </c>
      <c r="H62" s="29"/>
      <c r="I62" s="29">
        <v>12000</v>
      </c>
      <c r="J62" s="29">
        <f>+E62*1.4</f>
        <v>70000</v>
      </c>
      <c r="K62" s="29">
        <f>+J62+I62</f>
        <v>82000</v>
      </c>
    </row>
    <row r="63" spans="1:16" ht="13" hidden="1" x14ac:dyDescent="0.25">
      <c r="A63" s="26">
        <f>+A62+1</f>
        <v>57</v>
      </c>
      <c r="B63" s="4" t="s">
        <v>498</v>
      </c>
      <c r="C63" s="7"/>
      <c r="D63" s="4" t="s">
        <v>468</v>
      </c>
      <c r="E63" s="19">
        <v>49000</v>
      </c>
      <c r="F63" s="29">
        <f>+VLOOKUP(B63,Distribuidor!$B$7:$D$533,3,0)</f>
        <v>34000</v>
      </c>
      <c r="G63" s="29">
        <f>+E63-F63</f>
        <v>15000</v>
      </c>
      <c r="H63" s="29"/>
      <c r="I63" s="29">
        <v>12000</v>
      </c>
      <c r="J63" s="29">
        <f>+E63*1.4</f>
        <v>68600</v>
      </c>
      <c r="K63" s="29">
        <f>+J63+I63</f>
        <v>80600</v>
      </c>
    </row>
    <row r="64" spans="1:16" ht="13" hidden="1" x14ac:dyDescent="0.25">
      <c r="A64" s="26">
        <f>+A63+1</f>
        <v>58</v>
      </c>
      <c r="B64" s="4" t="s">
        <v>124</v>
      </c>
      <c r="C64" s="7"/>
      <c r="D64" s="4" t="s">
        <v>22</v>
      </c>
      <c r="E64" s="19">
        <v>49000</v>
      </c>
      <c r="F64" s="29">
        <f>+VLOOKUP(B64,Distribuidor!$B$7:$D$533,3,0)</f>
        <v>34100</v>
      </c>
      <c r="G64" s="29">
        <f>+E64-F64</f>
        <v>14900</v>
      </c>
      <c r="H64" s="29"/>
      <c r="I64" s="29">
        <v>12000</v>
      </c>
      <c r="J64" s="29">
        <f>+E64*1.4</f>
        <v>68600</v>
      </c>
      <c r="K64" s="29">
        <f>+J64+I64</f>
        <v>80600</v>
      </c>
    </row>
    <row r="65" spans="1:16" ht="13" hidden="1" x14ac:dyDescent="0.25">
      <c r="A65" s="26">
        <f>+A64+1</f>
        <v>59</v>
      </c>
      <c r="B65" s="4" t="s">
        <v>403</v>
      </c>
      <c r="C65" s="7"/>
      <c r="D65" s="4" t="s">
        <v>265</v>
      </c>
      <c r="E65" s="19">
        <v>49000</v>
      </c>
      <c r="F65" s="29">
        <f>+VLOOKUP(B65,Distribuidor!$B$7:$D$533,3,0)</f>
        <v>34200</v>
      </c>
      <c r="G65" s="29">
        <f>+E65-F65</f>
        <v>14800</v>
      </c>
      <c r="H65" s="29"/>
      <c r="I65" s="29">
        <v>12000</v>
      </c>
      <c r="J65" s="29">
        <f>+E65*1.4</f>
        <v>68600</v>
      </c>
      <c r="K65" s="29">
        <f>+J65+I65</f>
        <v>80600</v>
      </c>
    </row>
    <row r="66" spans="1:16" ht="13" hidden="1" x14ac:dyDescent="0.25">
      <c r="A66" s="26">
        <f>+A65+1</f>
        <v>60</v>
      </c>
      <c r="B66" s="4" t="s">
        <v>86</v>
      </c>
      <c r="C66" s="7"/>
      <c r="D66" s="4" t="s">
        <v>2</v>
      </c>
      <c r="E66" s="19">
        <v>46000</v>
      </c>
      <c r="F66" s="29">
        <f>+VLOOKUP(B66,Distribuidor!$B$7:$D$533,3,0)</f>
        <v>31800</v>
      </c>
      <c r="G66" s="29">
        <f>+E66-F66</f>
        <v>14200</v>
      </c>
      <c r="H66" s="29"/>
      <c r="I66" s="29">
        <v>12000</v>
      </c>
      <c r="J66" s="29">
        <f>+E66*1.4</f>
        <v>64399.999999999993</v>
      </c>
      <c r="K66" s="29">
        <f>+J66+I66</f>
        <v>76400</v>
      </c>
    </row>
    <row r="67" spans="1:16" ht="13" hidden="1" x14ac:dyDescent="0.25">
      <c r="A67" s="26">
        <f>+A66+1</f>
        <v>61</v>
      </c>
      <c r="B67" s="4" t="s">
        <v>518</v>
      </c>
      <c r="C67" s="7"/>
      <c r="D67" s="4" t="s">
        <v>516</v>
      </c>
      <c r="E67" s="19">
        <v>46000</v>
      </c>
      <c r="F67" s="29">
        <f>+VLOOKUP(B67,Distribuidor!$B$7:$D$533,3,0)</f>
        <v>32000</v>
      </c>
      <c r="G67" s="29">
        <f>+E67-F67</f>
        <v>14000</v>
      </c>
      <c r="H67" s="29"/>
      <c r="I67" s="29">
        <v>12000</v>
      </c>
      <c r="J67" s="29">
        <f>+E67*1.4</f>
        <v>64399.999999999993</v>
      </c>
      <c r="K67" s="29">
        <f>+J67+I67</f>
        <v>76400</v>
      </c>
    </row>
    <row r="68" spans="1:16" ht="13" hidden="1" x14ac:dyDescent="0.25">
      <c r="A68" s="26">
        <f>+A67+1</f>
        <v>62</v>
      </c>
      <c r="B68" s="4" t="s">
        <v>20</v>
      </c>
      <c r="C68" s="7"/>
      <c r="D68" s="4" t="s">
        <v>8</v>
      </c>
      <c r="E68" s="19">
        <v>45000</v>
      </c>
      <c r="F68" s="29">
        <f>+VLOOKUP(B68,Distribuidor!$B$7:$D$533,3,0)</f>
        <v>31000</v>
      </c>
      <c r="G68" s="29">
        <f>+E68-F68</f>
        <v>14000</v>
      </c>
      <c r="H68" s="29"/>
      <c r="I68" s="29">
        <v>12000</v>
      </c>
      <c r="J68" s="29">
        <f>+E68*1.4</f>
        <v>62999.999999999993</v>
      </c>
      <c r="K68" s="29">
        <f>+J68+I68</f>
        <v>75000</v>
      </c>
    </row>
    <row r="69" spans="1:16" ht="13" hidden="1" x14ac:dyDescent="0.25">
      <c r="A69" s="26">
        <f>+A68+1</f>
        <v>63</v>
      </c>
      <c r="B69" s="4" t="s">
        <v>457</v>
      </c>
      <c r="C69" s="7"/>
      <c r="D69" s="4" t="s">
        <v>468</v>
      </c>
      <c r="E69" s="19">
        <v>43000</v>
      </c>
      <c r="F69" s="29">
        <f>+VLOOKUP(B69,Distribuidor!$B$7:$D$533,3,0)</f>
        <v>30000</v>
      </c>
      <c r="G69" s="29">
        <f>+E69-F69</f>
        <v>13000</v>
      </c>
      <c r="H69" s="29"/>
      <c r="I69" s="29">
        <v>12000</v>
      </c>
      <c r="J69" s="29">
        <f>+E69*1.4</f>
        <v>60199.999999999993</v>
      </c>
      <c r="K69" s="29">
        <f>+J69+I69</f>
        <v>72200</v>
      </c>
    </row>
    <row r="70" spans="1:16" ht="13" x14ac:dyDescent="0.25">
      <c r="A70" s="26">
        <f>+A69+1</f>
        <v>64</v>
      </c>
      <c r="B70" s="4" t="s">
        <v>520</v>
      </c>
      <c r="C70" s="7" t="s">
        <v>618</v>
      </c>
      <c r="D70" s="4" t="s">
        <v>516</v>
      </c>
      <c r="E70" s="19">
        <v>43000</v>
      </c>
      <c r="F70" s="29">
        <f>+VLOOKUP(B70,Distribuidor!$B$7:$D$533,3,0)</f>
        <v>30000</v>
      </c>
      <c r="G70" s="29">
        <f>+E70-F70</f>
        <v>13000</v>
      </c>
      <c r="H70" s="29">
        <f>+G70*L70</f>
        <v>65000</v>
      </c>
      <c r="I70" s="29">
        <v>12000</v>
      </c>
      <c r="J70" s="29">
        <f>+E70*1.4</f>
        <v>60199.999999999993</v>
      </c>
      <c r="K70" s="29">
        <f>+J70+I70</f>
        <v>72200</v>
      </c>
      <c r="L70" s="1">
        <v>5</v>
      </c>
      <c r="M70" s="29">
        <f>+J70*L70</f>
        <v>300999.99999999994</v>
      </c>
      <c r="N70" s="29">
        <v>60900</v>
      </c>
      <c r="O70" s="29">
        <f>9000+N70</f>
        <v>69900</v>
      </c>
      <c r="P70" s="37">
        <f>+O70-K70</f>
        <v>-2300</v>
      </c>
    </row>
    <row r="71" spans="1:16" ht="13" x14ac:dyDescent="0.25">
      <c r="A71" s="26">
        <f>+A70+1</f>
        <v>65</v>
      </c>
      <c r="B71" s="4" t="s">
        <v>521</v>
      </c>
      <c r="C71" s="7" t="s">
        <v>618</v>
      </c>
      <c r="D71" s="4" t="s">
        <v>516</v>
      </c>
      <c r="E71" s="19">
        <v>43000</v>
      </c>
      <c r="F71" s="29">
        <f>+VLOOKUP(B71,Distribuidor!$B$7:$D$533,3,0)</f>
        <v>30000</v>
      </c>
      <c r="G71" s="29">
        <f>+E71-F71</f>
        <v>13000</v>
      </c>
      <c r="H71" s="29">
        <f>+G71*L71</f>
        <v>65000</v>
      </c>
      <c r="I71" s="29">
        <v>12000</v>
      </c>
      <c r="J71" s="29">
        <f>+E71*1.4</f>
        <v>60199.999999999993</v>
      </c>
      <c r="K71" s="29">
        <f>+J71+I71</f>
        <v>72200</v>
      </c>
      <c r="L71" s="1">
        <v>5</v>
      </c>
      <c r="M71" s="29">
        <f>+J71*L71</f>
        <v>300999.99999999994</v>
      </c>
      <c r="N71" s="29">
        <v>60900</v>
      </c>
      <c r="O71" s="29">
        <f>9000+N71</f>
        <v>69900</v>
      </c>
      <c r="P71" s="37">
        <f>+O71-K71</f>
        <v>-2300</v>
      </c>
    </row>
    <row r="72" spans="1:16" ht="13" hidden="1" x14ac:dyDescent="0.25">
      <c r="A72" s="26">
        <f>+A71+1</f>
        <v>66</v>
      </c>
      <c r="B72" s="4" t="s">
        <v>535</v>
      </c>
      <c r="C72" s="7"/>
      <c r="D72" s="4" t="s">
        <v>516</v>
      </c>
      <c r="E72" s="19">
        <v>43000</v>
      </c>
      <c r="F72" s="29">
        <f>+VLOOKUP(B72,Distribuidor!$B$7:$D$533,3,0)</f>
        <v>30000</v>
      </c>
      <c r="G72" s="29">
        <f>+E72-F72</f>
        <v>13000</v>
      </c>
      <c r="H72" s="29"/>
      <c r="I72" s="29">
        <v>12000</v>
      </c>
      <c r="J72" s="29">
        <f>+E72*1.4</f>
        <v>60199.999999999993</v>
      </c>
      <c r="K72" s="29">
        <f>+J72+I72</f>
        <v>72200</v>
      </c>
    </row>
    <row r="73" spans="1:16" ht="13" hidden="1" x14ac:dyDescent="0.25">
      <c r="A73" s="26">
        <f>+A72+1</f>
        <v>67</v>
      </c>
      <c r="B73" s="4" t="s">
        <v>562</v>
      </c>
      <c r="C73" s="7"/>
      <c r="D73" s="4" t="s">
        <v>516</v>
      </c>
      <c r="E73" s="19">
        <v>43000</v>
      </c>
      <c r="F73" s="29">
        <f>+VLOOKUP(B73,Distribuidor!$B$7:$D$533,3,0)</f>
        <v>30000</v>
      </c>
      <c r="G73" s="29">
        <f>+E73-F73</f>
        <v>13000</v>
      </c>
      <c r="H73" s="29"/>
      <c r="I73" s="29">
        <v>12000</v>
      </c>
      <c r="J73" s="29">
        <f>+E73*1.4</f>
        <v>60199.999999999993</v>
      </c>
      <c r="K73" s="29">
        <f>+J73+I73</f>
        <v>72200</v>
      </c>
    </row>
    <row r="74" spans="1:16" ht="13" x14ac:dyDescent="0.25">
      <c r="A74" s="26">
        <f>+A73+1</f>
        <v>68</v>
      </c>
      <c r="B74" s="4" t="s">
        <v>523</v>
      </c>
      <c r="C74" s="7" t="s">
        <v>618</v>
      </c>
      <c r="D74" s="4" t="s">
        <v>516</v>
      </c>
      <c r="E74" s="19">
        <v>43000</v>
      </c>
      <c r="F74" s="29">
        <f>+VLOOKUP(B74,Distribuidor!$B$7:$D$533,3,0)</f>
        <v>30000</v>
      </c>
      <c r="G74" s="29">
        <f>+E74-F74</f>
        <v>13000</v>
      </c>
      <c r="H74" s="29">
        <f>+G74*L74</f>
        <v>65000</v>
      </c>
      <c r="I74" s="29">
        <v>12000</v>
      </c>
      <c r="J74" s="29">
        <f>+E74*1.4</f>
        <v>60199.999999999993</v>
      </c>
      <c r="K74" s="29">
        <f>+J74+I74</f>
        <v>72200</v>
      </c>
      <c r="L74" s="1">
        <v>5</v>
      </c>
      <c r="M74" s="29">
        <f>+J74*L74</f>
        <v>300999.99999999994</v>
      </c>
      <c r="N74" s="29">
        <v>60900</v>
      </c>
      <c r="O74" s="29">
        <f>9000+N74</f>
        <v>69900</v>
      </c>
      <c r="P74" s="37">
        <f>+O74-K74</f>
        <v>-2300</v>
      </c>
    </row>
    <row r="75" spans="1:16" ht="13" hidden="1" x14ac:dyDescent="0.25">
      <c r="A75" s="26">
        <f>+A74+1</f>
        <v>69</v>
      </c>
      <c r="B75" s="4" t="s">
        <v>338</v>
      </c>
      <c r="C75" s="7"/>
      <c r="D75" s="4" t="s">
        <v>1</v>
      </c>
      <c r="E75" s="19">
        <v>43000</v>
      </c>
      <c r="F75" s="29">
        <f>+VLOOKUP(B75,Distribuidor!$B$7:$D$533,3,0)</f>
        <v>29500</v>
      </c>
      <c r="G75" s="29">
        <f>+E75-F75</f>
        <v>13500</v>
      </c>
      <c r="H75" s="29"/>
      <c r="I75" s="29">
        <v>12000</v>
      </c>
      <c r="J75" s="29">
        <f>+E75*1.4</f>
        <v>60199.999999999993</v>
      </c>
      <c r="K75" s="29">
        <f>+J75+I75</f>
        <v>72200</v>
      </c>
    </row>
    <row r="76" spans="1:16" ht="13" hidden="1" x14ac:dyDescent="0.25">
      <c r="A76" s="26">
        <f>+A75+1</f>
        <v>70</v>
      </c>
      <c r="B76" s="2" t="s">
        <v>339</v>
      </c>
      <c r="C76" s="7"/>
      <c r="D76" s="4" t="s">
        <v>1</v>
      </c>
      <c r="E76" s="19">
        <v>43000</v>
      </c>
      <c r="F76" s="29">
        <f>+VLOOKUP(B76,Distribuidor!$B$7:$D$533,3,0)</f>
        <v>29500</v>
      </c>
      <c r="G76" s="29">
        <f>+E76-F76</f>
        <v>13500</v>
      </c>
      <c r="H76" s="29"/>
      <c r="I76" s="29">
        <v>12000</v>
      </c>
      <c r="J76" s="29">
        <f>+E76*1.4</f>
        <v>60199.999999999993</v>
      </c>
      <c r="K76" s="29">
        <f>+J76+I76</f>
        <v>72200</v>
      </c>
    </row>
    <row r="77" spans="1:16" ht="13" hidden="1" x14ac:dyDescent="0.25">
      <c r="A77" s="26">
        <f>+A76+1</f>
        <v>71</v>
      </c>
      <c r="B77" s="4" t="s">
        <v>268</v>
      </c>
      <c r="C77" s="7"/>
      <c r="D77" s="4" t="s">
        <v>0</v>
      </c>
      <c r="E77" s="19">
        <v>42000</v>
      </c>
      <c r="F77" s="29">
        <f>+VLOOKUP(B77,Distribuidor!$B$7:$D$533,3,0)</f>
        <v>29000</v>
      </c>
      <c r="G77" s="29">
        <f>+E77-F77</f>
        <v>13000</v>
      </c>
      <c r="H77" s="29"/>
      <c r="I77" s="29">
        <v>12000</v>
      </c>
      <c r="J77" s="29">
        <f>+E77*1.4</f>
        <v>58799.999999999993</v>
      </c>
      <c r="K77" s="29">
        <f>+J77+I77</f>
        <v>70800</v>
      </c>
    </row>
    <row r="78" spans="1:16" ht="13" hidden="1" x14ac:dyDescent="0.25">
      <c r="A78" s="26">
        <f>+A77+1</f>
        <v>72</v>
      </c>
      <c r="B78" s="2" t="s">
        <v>463</v>
      </c>
      <c r="C78" s="7"/>
      <c r="D78" s="4" t="s">
        <v>468</v>
      </c>
      <c r="E78" s="19">
        <v>42000</v>
      </c>
      <c r="F78" s="29">
        <f>+VLOOKUP(B78,Distribuidor!$B$7:$D$533,3,0)</f>
        <v>29400</v>
      </c>
      <c r="G78" s="29">
        <f>+E78-F78</f>
        <v>12600</v>
      </c>
      <c r="H78" s="29"/>
      <c r="I78" s="29">
        <v>12000</v>
      </c>
      <c r="J78" s="29">
        <f>+E78*1.4</f>
        <v>58799.999999999993</v>
      </c>
      <c r="K78" s="29">
        <f>+J78+I78</f>
        <v>70800</v>
      </c>
    </row>
    <row r="79" spans="1:16" ht="13" hidden="1" x14ac:dyDescent="0.25">
      <c r="A79" s="26">
        <f>+A78+1</f>
        <v>73</v>
      </c>
      <c r="B79" s="2" t="s">
        <v>23</v>
      </c>
      <c r="C79" s="7"/>
      <c r="D79" s="4" t="s">
        <v>3</v>
      </c>
      <c r="E79" s="19">
        <v>42000</v>
      </c>
      <c r="F79" s="29">
        <f>+VLOOKUP(B79,Distribuidor!$B$7:$D$533,3,0)</f>
        <v>29000</v>
      </c>
      <c r="G79" s="29">
        <f>+E79-F79</f>
        <v>13000</v>
      </c>
      <c r="H79" s="29"/>
      <c r="I79" s="29">
        <v>12000</v>
      </c>
      <c r="J79" s="29">
        <f>+E79*1.4</f>
        <v>58799.999999999993</v>
      </c>
      <c r="K79" s="29">
        <f>+J79+I79</f>
        <v>70800</v>
      </c>
    </row>
    <row r="80" spans="1:16" ht="13" hidden="1" x14ac:dyDescent="0.25">
      <c r="A80" s="26">
        <f>+A79+1</f>
        <v>74</v>
      </c>
      <c r="B80" s="4" t="s">
        <v>21</v>
      </c>
      <c r="C80" s="7"/>
      <c r="D80" s="4" t="s">
        <v>3</v>
      </c>
      <c r="E80" s="19">
        <v>42000</v>
      </c>
      <c r="F80" s="29">
        <f>+VLOOKUP(B80,Distribuidor!$B$7:$D$533,3,0)</f>
        <v>29000</v>
      </c>
      <c r="G80" s="29">
        <f>+E80-F80</f>
        <v>13000</v>
      </c>
      <c r="H80" s="29"/>
      <c r="I80" s="29">
        <v>12000</v>
      </c>
      <c r="J80" s="29">
        <f>+E80*1.4</f>
        <v>58799.999999999993</v>
      </c>
      <c r="K80" s="29">
        <f>+J80+I80</f>
        <v>70800</v>
      </c>
    </row>
    <row r="81" spans="1:16" ht="13" hidden="1" x14ac:dyDescent="0.25">
      <c r="A81" s="26">
        <f>+A80+1</f>
        <v>75</v>
      </c>
      <c r="B81" s="4" t="s">
        <v>405</v>
      </c>
      <c r="C81" s="7"/>
      <c r="D81" s="4" t="s">
        <v>265</v>
      </c>
      <c r="E81" s="19">
        <v>42000</v>
      </c>
      <c r="F81" s="29">
        <f>+VLOOKUP(B81,Distribuidor!$B$7:$D$533,3,0)</f>
        <v>29000</v>
      </c>
      <c r="G81" s="29">
        <f>+E81-F81</f>
        <v>13000</v>
      </c>
      <c r="H81" s="29"/>
      <c r="I81" s="29">
        <v>12000</v>
      </c>
      <c r="J81" s="29">
        <f>+E81*1.4</f>
        <v>58799.999999999993</v>
      </c>
      <c r="K81" s="29">
        <f>+J81+I81</f>
        <v>70800</v>
      </c>
    </row>
    <row r="82" spans="1:16" ht="13" hidden="1" x14ac:dyDescent="0.25">
      <c r="A82" s="26">
        <f>+A81+1</f>
        <v>76</v>
      </c>
      <c r="B82" s="38" t="s">
        <v>425</v>
      </c>
      <c r="C82" s="7" t="s">
        <v>618</v>
      </c>
      <c r="D82" s="4" t="s">
        <v>468</v>
      </c>
      <c r="E82" s="19">
        <v>41000</v>
      </c>
      <c r="F82" s="29">
        <f>+VLOOKUP(B82,Distribuidor!$B$7:$D$533,3,0)</f>
        <v>28500</v>
      </c>
      <c r="G82" s="29">
        <f>+E82-F82</f>
        <v>12500</v>
      </c>
      <c r="H82" s="29">
        <f>+G82*L82</f>
        <v>62500</v>
      </c>
      <c r="I82" s="29">
        <v>12000</v>
      </c>
      <c r="J82" s="29">
        <f>+E82*1.4</f>
        <v>57399.999999999993</v>
      </c>
      <c r="K82" s="29">
        <f>+J82+I82</f>
        <v>69400</v>
      </c>
      <c r="L82" s="1">
        <v>5</v>
      </c>
      <c r="M82" s="29">
        <f>+J82*L82</f>
        <v>286999.99999999994</v>
      </c>
      <c r="N82" s="29">
        <v>44900</v>
      </c>
      <c r="O82" s="29">
        <f>9000+N82</f>
        <v>53900</v>
      </c>
      <c r="P82" s="37">
        <f>+O82-K82</f>
        <v>-15500</v>
      </c>
    </row>
    <row r="83" spans="1:16" ht="13" hidden="1" x14ac:dyDescent="0.25">
      <c r="A83" s="26">
        <f>+A82+1</f>
        <v>77</v>
      </c>
      <c r="B83" s="4" t="s">
        <v>288</v>
      </c>
      <c r="C83" s="7"/>
      <c r="D83" s="4" t="s">
        <v>29</v>
      </c>
      <c r="E83" s="19">
        <v>41000</v>
      </c>
      <c r="F83" s="29">
        <f>+VLOOKUP(B83,Distribuidor!$B$7:$D$533,3,0)</f>
        <v>28200</v>
      </c>
      <c r="G83" s="29">
        <f>+E83-F83</f>
        <v>12800</v>
      </c>
      <c r="H83" s="29"/>
      <c r="I83" s="29">
        <v>12000</v>
      </c>
      <c r="J83" s="29">
        <f>+E83*1.4</f>
        <v>57399.999999999993</v>
      </c>
      <c r="K83" s="29">
        <f>+J83+I83</f>
        <v>69400</v>
      </c>
    </row>
    <row r="84" spans="1:16" ht="13" hidden="1" x14ac:dyDescent="0.25">
      <c r="A84" s="26">
        <f>+A83+1</f>
        <v>78</v>
      </c>
      <c r="B84" s="4" t="s">
        <v>296</v>
      </c>
      <c r="C84" s="7"/>
      <c r="D84" s="4" t="s">
        <v>113</v>
      </c>
      <c r="E84" s="19">
        <v>40000</v>
      </c>
      <c r="F84" s="29">
        <f>+VLOOKUP(B84,Distribuidor!$B$7:$D$533,3,0)</f>
        <v>27900</v>
      </c>
      <c r="G84" s="29">
        <f>+E84-F84</f>
        <v>12100</v>
      </c>
      <c r="H84" s="29"/>
      <c r="I84" s="29">
        <v>12000</v>
      </c>
      <c r="J84" s="29">
        <f>+E84*1.4</f>
        <v>56000</v>
      </c>
      <c r="K84" s="29">
        <f>+J84+I84</f>
        <v>68000</v>
      </c>
    </row>
    <row r="85" spans="1:16" ht="13" hidden="1" x14ac:dyDescent="0.25">
      <c r="A85" s="26">
        <f>+A84+1</f>
        <v>79</v>
      </c>
      <c r="B85" s="4" t="s">
        <v>432</v>
      </c>
      <c r="C85" s="7"/>
      <c r="D85" s="4" t="s">
        <v>468</v>
      </c>
      <c r="E85" s="19">
        <v>40000</v>
      </c>
      <c r="F85" s="29">
        <f>+VLOOKUP(B85,Distribuidor!$B$7:$D$533,3,0)</f>
        <v>27900</v>
      </c>
      <c r="G85" s="29">
        <f>+E85-F85</f>
        <v>12100</v>
      </c>
      <c r="H85" s="29"/>
      <c r="I85" s="29">
        <v>12000</v>
      </c>
      <c r="J85" s="29">
        <f>+E85*1.4</f>
        <v>56000</v>
      </c>
      <c r="K85" s="29">
        <f>+J85+I85</f>
        <v>68000</v>
      </c>
    </row>
    <row r="86" spans="1:16" ht="13" hidden="1" x14ac:dyDescent="0.25">
      <c r="A86" s="26">
        <f>+A85+1</f>
        <v>80</v>
      </c>
      <c r="B86" s="4" t="s">
        <v>192</v>
      </c>
      <c r="C86" s="7"/>
      <c r="D86" s="4" t="s">
        <v>2</v>
      </c>
      <c r="E86" s="19">
        <v>40000</v>
      </c>
      <c r="F86" s="29">
        <f>+VLOOKUP(B86,Distribuidor!$B$7:$D$533,3,0)</f>
        <v>27500</v>
      </c>
      <c r="G86" s="29">
        <f>+E86-F86</f>
        <v>12500</v>
      </c>
      <c r="H86" s="29"/>
      <c r="I86" s="29">
        <v>12000</v>
      </c>
      <c r="J86" s="29">
        <f>+E86*1.4</f>
        <v>56000</v>
      </c>
      <c r="K86" s="29">
        <f>+J86+I86</f>
        <v>68000</v>
      </c>
    </row>
    <row r="87" spans="1:16" ht="13" hidden="1" x14ac:dyDescent="0.25">
      <c r="A87" s="26">
        <f>+A86+1</f>
        <v>81</v>
      </c>
      <c r="B87" s="4" t="s">
        <v>125</v>
      </c>
      <c r="C87" s="7"/>
      <c r="D87" s="4" t="s">
        <v>22</v>
      </c>
      <c r="E87" s="19">
        <v>40000</v>
      </c>
      <c r="F87" s="29">
        <f>+VLOOKUP(B87,Distribuidor!$B$7:$D$533,3,0)</f>
        <v>27900</v>
      </c>
      <c r="G87" s="29">
        <f>+E87-F87</f>
        <v>12100</v>
      </c>
      <c r="H87" s="29"/>
      <c r="I87" s="29">
        <v>12000</v>
      </c>
      <c r="J87" s="29">
        <f>+E87*1.4</f>
        <v>56000</v>
      </c>
      <c r="K87" s="29">
        <f>+J87+I87</f>
        <v>68000</v>
      </c>
    </row>
    <row r="88" spans="1:16" ht="13" hidden="1" x14ac:dyDescent="0.25">
      <c r="A88" s="26">
        <f>+A87+1</f>
        <v>82</v>
      </c>
      <c r="B88" s="4" t="s">
        <v>390</v>
      </c>
      <c r="C88" s="7"/>
      <c r="D88" s="4" t="s">
        <v>103</v>
      </c>
      <c r="E88" s="19">
        <v>39000</v>
      </c>
      <c r="F88" s="29">
        <f>+VLOOKUP(B88,Distribuidor!$B$7:$D$533,3,0)</f>
        <v>27300</v>
      </c>
      <c r="G88" s="29">
        <f>+E88-F88</f>
        <v>11700</v>
      </c>
      <c r="H88" s="29"/>
      <c r="I88" s="29">
        <v>12000</v>
      </c>
      <c r="J88" s="29">
        <f>+E88*1.4</f>
        <v>54600</v>
      </c>
      <c r="K88" s="29">
        <f>+J88+I88</f>
        <v>66600</v>
      </c>
    </row>
    <row r="89" spans="1:16" ht="13" hidden="1" x14ac:dyDescent="0.25">
      <c r="A89" s="26">
        <f>+A88+1</f>
        <v>83</v>
      </c>
      <c r="B89" s="4" t="s">
        <v>391</v>
      </c>
      <c r="C89" s="7"/>
      <c r="D89" s="4" t="s">
        <v>103</v>
      </c>
      <c r="E89" s="19">
        <v>39000</v>
      </c>
      <c r="F89" s="29">
        <f>+VLOOKUP(B89,Distribuidor!$B$7:$D$533,3,0)</f>
        <v>27000</v>
      </c>
      <c r="G89" s="29">
        <f>+E89-F89</f>
        <v>12000</v>
      </c>
      <c r="H89" s="29"/>
      <c r="I89" s="29">
        <v>12000</v>
      </c>
      <c r="J89" s="29">
        <f>+E89*1.4</f>
        <v>54600</v>
      </c>
      <c r="K89" s="29">
        <f>+J89+I89</f>
        <v>66600</v>
      </c>
    </row>
    <row r="90" spans="1:16" ht="13" hidden="1" x14ac:dyDescent="0.25">
      <c r="A90" s="26">
        <f>+A89+1</f>
        <v>84</v>
      </c>
      <c r="B90" s="4" t="s">
        <v>393</v>
      </c>
      <c r="C90" s="7"/>
      <c r="D90" s="4" t="s">
        <v>103</v>
      </c>
      <c r="E90" s="19">
        <v>39000</v>
      </c>
      <c r="F90" s="29">
        <f>+VLOOKUP(B90,Distribuidor!$B$7:$D$533,3,0)</f>
        <v>27000</v>
      </c>
      <c r="G90" s="29">
        <f>+E90-F90</f>
        <v>12000</v>
      </c>
      <c r="H90" s="29"/>
      <c r="I90" s="29">
        <v>12000</v>
      </c>
      <c r="J90" s="29">
        <f>+E90*1.4</f>
        <v>54600</v>
      </c>
      <c r="K90" s="29">
        <f>+J90+I90</f>
        <v>66600</v>
      </c>
    </row>
    <row r="91" spans="1:16" ht="13" hidden="1" x14ac:dyDescent="0.25">
      <c r="A91" s="26">
        <f>+A90+1</f>
        <v>85</v>
      </c>
      <c r="B91" s="4" t="s">
        <v>397</v>
      </c>
      <c r="C91" s="7"/>
      <c r="D91" s="4" t="s">
        <v>103</v>
      </c>
      <c r="E91" s="19">
        <v>39000</v>
      </c>
      <c r="F91" s="29">
        <f>+VLOOKUP(B91,Distribuidor!$B$7:$D$533,3,0)</f>
        <v>27000</v>
      </c>
      <c r="G91" s="29">
        <f>+E91-F91</f>
        <v>12000</v>
      </c>
      <c r="H91" s="29"/>
      <c r="I91" s="29">
        <v>12000</v>
      </c>
      <c r="J91" s="29">
        <f>+E91*1.4</f>
        <v>54600</v>
      </c>
      <c r="K91" s="29">
        <f>+J91+I91</f>
        <v>66600</v>
      </c>
    </row>
    <row r="92" spans="1:16" ht="13" hidden="1" x14ac:dyDescent="0.25">
      <c r="A92" s="26">
        <f>+A91+1</f>
        <v>86</v>
      </c>
      <c r="B92" s="4" t="s">
        <v>95</v>
      </c>
      <c r="C92" s="7"/>
      <c r="D92" s="4" t="s">
        <v>29</v>
      </c>
      <c r="E92" s="19">
        <v>39000</v>
      </c>
      <c r="F92" s="29">
        <f>+VLOOKUP(B92,Distribuidor!$B$7:$D$533,3,0)</f>
        <v>26700</v>
      </c>
      <c r="G92" s="29">
        <f>+E92-F92</f>
        <v>12300</v>
      </c>
      <c r="H92" s="29"/>
      <c r="I92" s="29">
        <v>12000</v>
      </c>
      <c r="J92" s="29">
        <f>+E92*1.4</f>
        <v>54600</v>
      </c>
      <c r="K92" s="29">
        <f>+J92+I92</f>
        <v>66600</v>
      </c>
    </row>
    <row r="93" spans="1:16" ht="13" hidden="1" x14ac:dyDescent="0.25">
      <c r="A93" s="26">
        <f>+A92+1</f>
        <v>87</v>
      </c>
      <c r="B93" s="4" t="s">
        <v>489</v>
      </c>
      <c r="C93" s="7"/>
      <c r="D93" s="4" t="s">
        <v>485</v>
      </c>
      <c r="E93" s="19">
        <v>39000</v>
      </c>
      <c r="F93" s="29">
        <f>+VLOOKUP(B93,Distribuidor!$B$7:$D$533,3,0)</f>
        <v>27000</v>
      </c>
      <c r="G93" s="29">
        <f>+E93-F93</f>
        <v>12000</v>
      </c>
      <c r="H93" s="29"/>
      <c r="I93" s="29">
        <v>12000</v>
      </c>
      <c r="J93" s="29">
        <f>+E93*1.4</f>
        <v>54600</v>
      </c>
      <c r="K93" s="29">
        <f>+J93+I93</f>
        <v>66600</v>
      </c>
    </row>
    <row r="94" spans="1:16" ht="13" hidden="1" x14ac:dyDescent="0.25">
      <c r="A94" s="26">
        <f>+A93+1</f>
        <v>88</v>
      </c>
      <c r="B94" s="4" t="s">
        <v>111</v>
      </c>
      <c r="C94" s="7"/>
      <c r="D94" s="4" t="s">
        <v>1</v>
      </c>
      <c r="E94" s="19">
        <v>39000</v>
      </c>
      <c r="F94" s="29">
        <f>+VLOOKUP(B94,Distribuidor!$B$7:$D$533,3,0)</f>
        <v>27000</v>
      </c>
      <c r="G94" s="29">
        <f>+E94-F94</f>
        <v>12000</v>
      </c>
      <c r="H94" s="29"/>
      <c r="I94" s="29">
        <v>12000</v>
      </c>
      <c r="J94" s="29">
        <f>+E94*1.4</f>
        <v>54600</v>
      </c>
      <c r="K94" s="29">
        <f>+J94+I94</f>
        <v>66600</v>
      </c>
    </row>
    <row r="95" spans="1:16" ht="13" hidden="1" x14ac:dyDescent="0.25">
      <c r="A95" s="26">
        <f>+A94+1</f>
        <v>89</v>
      </c>
      <c r="B95" s="4" t="s">
        <v>406</v>
      </c>
      <c r="C95" s="7"/>
      <c r="D95" s="4" t="s">
        <v>265</v>
      </c>
      <c r="E95" s="19">
        <v>39000</v>
      </c>
      <c r="F95" s="29">
        <f>+VLOOKUP(B95,Distribuidor!$B$7:$D$533,3,0)</f>
        <v>27200</v>
      </c>
      <c r="G95" s="29">
        <f>+E95-F95</f>
        <v>11800</v>
      </c>
      <c r="H95" s="29"/>
      <c r="I95" s="29">
        <v>12000</v>
      </c>
      <c r="J95" s="29">
        <f>+E95*1.4</f>
        <v>54600</v>
      </c>
      <c r="K95" s="29">
        <f>+J95+I95</f>
        <v>66600</v>
      </c>
    </row>
    <row r="96" spans="1:16" ht="13" hidden="1" x14ac:dyDescent="0.25">
      <c r="A96" s="26">
        <f>+A95+1</f>
        <v>90</v>
      </c>
      <c r="B96" s="4" t="s">
        <v>464</v>
      </c>
      <c r="C96" s="7"/>
      <c r="D96" s="4" t="s">
        <v>468</v>
      </c>
      <c r="E96" s="19">
        <v>38000</v>
      </c>
      <c r="F96" s="29">
        <f>+VLOOKUP(B96,Distribuidor!$B$7:$D$533,3,0)</f>
        <v>26400</v>
      </c>
      <c r="G96" s="29">
        <f>+E96-F96</f>
        <v>11600</v>
      </c>
      <c r="H96" s="29"/>
      <c r="I96" s="29">
        <v>12000</v>
      </c>
      <c r="J96" s="29">
        <f>+E96*1.4</f>
        <v>53200</v>
      </c>
      <c r="K96" s="29">
        <f>+J96+I96</f>
        <v>65200</v>
      </c>
    </row>
    <row r="97" spans="1:16" ht="13" hidden="1" x14ac:dyDescent="0.25">
      <c r="A97" s="26">
        <f>+A96+1</f>
        <v>91</v>
      </c>
      <c r="B97" s="4" t="s">
        <v>4</v>
      </c>
      <c r="C97" s="7"/>
      <c r="D97" s="4" t="s">
        <v>3</v>
      </c>
      <c r="E97" s="19">
        <v>38000</v>
      </c>
      <c r="F97" s="29">
        <f>+VLOOKUP(B97,Distribuidor!$B$7:$D$533,3,0)</f>
        <v>26000</v>
      </c>
      <c r="G97" s="29">
        <f>+E97-F97</f>
        <v>12000</v>
      </c>
      <c r="H97" s="29"/>
      <c r="I97" s="29">
        <v>12000</v>
      </c>
      <c r="J97" s="29">
        <f>+E97*1.4</f>
        <v>53200</v>
      </c>
      <c r="K97" s="29">
        <f>+J97+I97</f>
        <v>65200</v>
      </c>
    </row>
    <row r="98" spans="1:16" ht="13" hidden="1" x14ac:dyDescent="0.25">
      <c r="A98" s="26">
        <f>+A97+1</f>
        <v>92</v>
      </c>
      <c r="B98" s="4" t="s">
        <v>414</v>
      </c>
      <c r="C98" s="7"/>
      <c r="D98" s="4" t="s">
        <v>22</v>
      </c>
      <c r="E98" s="19">
        <v>38000</v>
      </c>
      <c r="F98" s="29">
        <f>+VLOOKUP(B98,Distribuidor!$B$7:$D$533,3,0)</f>
        <v>26400</v>
      </c>
      <c r="G98" s="29">
        <f>+E98-F98</f>
        <v>11600</v>
      </c>
      <c r="H98" s="29"/>
      <c r="I98" s="29">
        <v>12000</v>
      </c>
      <c r="J98" s="29">
        <f>+E98*1.4</f>
        <v>53200</v>
      </c>
      <c r="K98" s="29">
        <f>+J98+I98</f>
        <v>65200</v>
      </c>
    </row>
    <row r="99" spans="1:16" ht="13" hidden="1" x14ac:dyDescent="0.25">
      <c r="A99" s="26">
        <f>+A98+1</f>
        <v>93</v>
      </c>
      <c r="B99" s="2" t="s">
        <v>415</v>
      </c>
      <c r="C99" s="7"/>
      <c r="D99" s="4" t="s">
        <v>22</v>
      </c>
      <c r="E99" s="19">
        <v>38000</v>
      </c>
      <c r="F99" s="29">
        <f>+VLOOKUP(B99,Distribuidor!$B$7:$D$533,3,0)</f>
        <v>26400</v>
      </c>
      <c r="G99" s="29">
        <f>+E99-F99</f>
        <v>11600</v>
      </c>
      <c r="H99" s="29"/>
      <c r="I99" s="29">
        <v>12000</v>
      </c>
      <c r="J99" s="29">
        <f>+E99*1.4</f>
        <v>53200</v>
      </c>
      <c r="K99" s="29">
        <f>+J99+I99</f>
        <v>65200</v>
      </c>
    </row>
    <row r="100" spans="1:16" ht="13" x14ac:dyDescent="0.25">
      <c r="A100" s="26">
        <f>+A99+1</f>
        <v>94</v>
      </c>
      <c r="B100" s="2" t="s">
        <v>424</v>
      </c>
      <c r="C100" s="7" t="s">
        <v>618</v>
      </c>
      <c r="D100" s="4" t="s">
        <v>468</v>
      </c>
      <c r="E100" s="19">
        <v>37000</v>
      </c>
      <c r="F100" s="29">
        <f>+VLOOKUP(B100,Distribuidor!$B$7:$D$533,3,0)</f>
        <v>25800</v>
      </c>
      <c r="G100" s="29">
        <f>+E100-F100</f>
        <v>11200</v>
      </c>
      <c r="H100" s="29">
        <f>+G100*L100</f>
        <v>56000</v>
      </c>
      <c r="I100" s="29">
        <v>12000</v>
      </c>
      <c r="J100" s="29">
        <f>+E100*1.4</f>
        <v>51800</v>
      </c>
      <c r="K100" s="29">
        <f>+J100+I100</f>
        <v>63800</v>
      </c>
      <c r="L100" s="1">
        <v>5</v>
      </c>
      <c r="M100" s="29">
        <f>+J100*L100</f>
        <v>259000</v>
      </c>
      <c r="N100" s="29">
        <v>57900</v>
      </c>
      <c r="O100" s="29">
        <f>9000+N100</f>
        <v>66900</v>
      </c>
      <c r="P100" s="37">
        <f>+O100-K100</f>
        <v>3100</v>
      </c>
    </row>
    <row r="101" spans="1:16" ht="13" x14ac:dyDescent="0.25">
      <c r="A101" s="26">
        <f>+A100+1</f>
        <v>95</v>
      </c>
      <c r="B101" s="2" t="s">
        <v>455</v>
      </c>
      <c r="C101" s="7" t="s">
        <v>618</v>
      </c>
      <c r="D101" s="4" t="s">
        <v>468</v>
      </c>
      <c r="E101" s="19">
        <v>37000</v>
      </c>
      <c r="F101" s="29">
        <f>+VLOOKUP(B101,Distribuidor!$B$7:$D$533,3,0)</f>
        <v>25800</v>
      </c>
      <c r="G101" s="29">
        <f>+E101-F101</f>
        <v>11200</v>
      </c>
      <c r="H101" s="29">
        <f>+G101*L101</f>
        <v>56000</v>
      </c>
      <c r="I101" s="29">
        <v>12000</v>
      </c>
      <c r="J101" s="29">
        <f>+E101*1.4</f>
        <v>51800</v>
      </c>
      <c r="K101" s="29">
        <f>+J101+I101</f>
        <v>63800</v>
      </c>
      <c r="L101" s="1">
        <v>5</v>
      </c>
      <c r="M101" s="29">
        <f>+J101*L101</f>
        <v>259000</v>
      </c>
      <c r="N101" s="29">
        <v>83850</v>
      </c>
      <c r="O101" s="29">
        <f>9000+N101</f>
        <v>92850</v>
      </c>
      <c r="P101" s="37">
        <f>+O101-K101</f>
        <v>29050</v>
      </c>
    </row>
    <row r="102" spans="1:16" ht="13" hidden="1" x14ac:dyDescent="0.25">
      <c r="A102" s="26">
        <f>+A101+1</f>
        <v>96</v>
      </c>
      <c r="B102" s="2" t="s">
        <v>499</v>
      </c>
      <c r="C102" s="7"/>
      <c r="D102" s="4" t="s">
        <v>468</v>
      </c>
      <c r="E102" s="19">
        <v>37000</v>
      </c>
      <c r="F102" s="29">
        <f>+VLOOKUP(B102,Distribuidor!$B$7:$D$533,3,0)</f>
        <v>25900</v>
      </c>
      <c r="G102" s="29">
        <f>+E102-F102</f>
        <v>11100</v>
      </c>
      <c r="H102" s="29"/>
      <c r="I102" s="29">
        <v>12000</v>
      </c>
      <c r="J102" s="29">
        <f>+E102*1.4</f>
        <v>51800</v>
      </c>
      <c r="K102" s="29">
        <f>+J102+I102</f>
        <v>63800</v>
      </c>
    </row>
    <row r="103" spans="1:16" ht="13" hidden="1" x14ac:dyDescent="0.25">
      <c r="A103" s="26">
        <f>+A102+1</f>
        <v>97</v>
      </c>
      <c r="B103" s="2" t="s">
        <v>439</v>
      </c>
      <c r="C103" s="7"/>
      <c r="D103" s="4" t="s">
        <v>468</v>
      </c>
      <c r="E103" s="19">
        <v>37000</v>
      </c>
      <c r="F103" s="29">
        <f>+VLOOKUP(B103,Distribuidor!$B$7:$D$533,3,0)</f>
        <v>25900</v>
      </c>
      <c r="G103" s="29">
        <f>+E103-F103</f>
        <v>11100</v>
      </c>
      <c r="H103" s="29"/>
      <c r="I103" s="29">
        <v>12000</v>
      </c>
      <c r="J103" s="29">
        <f>+E103*1.4</f>
        <v>51800</v>
      </c>
      <c r="K103" s="29">
        <f>+J103+I103</f>
        <v>63800</v>
      </c>
    </row>
    <row r="104" spans="1:16" ht="13" hidden="1" x14ac:dyDescent="0.25">
      <c r="A104" s="26">
        <f>+A103+1</f>
        <v>98</v>
      </c>
      <c r="B104" s="2" t="s">
        <v>560</v>
      </c>
      <c r="C104" s="7"/>
      <c r="D104" s="4" t="s">
        <v>468</v>
      </c>
      <c r="E104" s="19">
        <v>37000</v>
      </c>
      <c r="F104" s="29">
        <f>+VLOOKUP(B104,Distribuidor!$B$7:$D$533,3,0)</f>
        <v>25500</v>
      </c>
      <c r="G104" s="29">
        <f>+E104-F104</f>
        <v>11500</v>
      </c>
      <c r="H104" s="29"/>
      <c r="I104" s="29">
        <v>12000</v>
      </c>
      <c r="J104" s="29">
        <f>+E104*1.4</f>
        <v>51800</v>
      </c>
      <c r="K104" s="29">
        <f>+J104+I104</f>
        <v>63800</v>
      </c>
    </row>
    <row r="105" spans="1:16" ht="13" hidden="1" x14ac:dyDescent="0.25">
      <c r="A105" s="26">
        <f>+A104+1</f>
        <v>99</v>
      </c>
      <c r="B105" s="2" t="s">
        <v>7</v>
      </c>
      <c r="C105" s="7"/>
      <c r="D105" s="4" t="s">
        <v>3</v>
      </c>
      <c r="E105" s="19">
        <v>36000</v>
      </c>
      <c r="F105" s="29">
        <f>+VLOOKUP(B105,Distribuidor!$B$7:$D$533,3,0)</f>
        <v>25100</v>
      </c>
      <c r="G105" s="29">
        <f>+E105-F105</f>
        <v>10900</v>
      </c>
      <c r="H105" s="29"/>
      <c r="I105" s="29">
        <v>12000</v>
      </c>
      <c r="J105" s="29">
        <f>+E105*1.4</f>
        <v>50400</v>
      </c>
      <c r="K105" s="29">
        <f>+J105+I105</f>
        <v>62400</v>
      </c>
    </row>
    <row r="106" spans="1:16" ht="13" hidden="1" x14ac:dyDescent="0.25">
      <c r="A106" s="26">
        <f>+A105+1</f>
        <v>100</v>
      </c>
      <c r="B106" s="4" t="s">
        <v>395</v>
      </c>
      <c r="C106" s="7"/>
      <c r="D106" s="4" t="s">
        <v>103</v>
      </c>
      <c r="E106" s="19">
        <v>36000</v>
      </c>
      <c r="F106" s="29">
        <f>+VLOOKUP(B106,Distribuidor!$B$7:$D$533,3,0)</f>
        <v>24700</v>
      </c>
      <c r="G106" s="29">
        <f>+E106-F106</f>
        <v>11300</v>
      </c>
      <c r="H106" s="29"/>
      <c r="I106" s="29">
        <v>12000</v>
      </c>
      <c r="J106" s="29">
        <f>+E106*1.4</f>
        <v>50400</v>
      </c>
      <c r="K106" s="29">
        <f>+J106+I106</f>
        <v>62400</v>
      </c>
    </row>
    <row r="107" spans="1:16" ht="13" hidden="1" x14ac:dyDescent="0.25">
      <c r="A107" s="26">
        <f>+A106+1</f>
        <v>101</v>
      </c>
      <c r="B107" s="2" t="s">
        <v>204</v>
      </c>
      <c r="C107" s="7"/>
      <c r="D107" s="4" t="s">
        <v>29</v>
      </c>
      <c r="E107" s="19">
        <v>36000</v>
      </c>
      <c r="F107" s="29">
        <f>+VLOOKUP(B107,Distribuidor!$B$7:$D$533,3,0)</f>
        <v>25000</v>
      </c>
      <c r="G107" s="29">
        <f>+E107-F107</f>
        <v>11000</v>
      </c>
      <c r="H107" s="29"/>
      <c r="I107" s="29">
        <v>12000</v>
      </c>
      <c r="J107" s="29">
        <f>+E107*1.4</f>
        <v>50400</v>
      </c>
      <c r="K107" s="29">
        <f>+J107+I107</f>
        <v>62400</v>
      </c>
    </row>
    <row r="108" spans="1:16" ht="13" hidden="1" x14ac:dyDescent="0.25">
      <c r="A108" s="26">
        <f>+A107+1</f>
        <v>102</v>
      </c>
      <c r="B108" s="2" t="s">
        <v>422</v>
      </c>
      <c r="C108" s="7"/>
      <c r="D108" s="4" t="s">
        <v>117</v>
      </c>
      <c r="E108" s="19">
        <v>35000</v>
      </c>
      <c r="F108" s="29">
        <f>+VLOOKUP(B108,Distribuidor!$B$7:$D$533,3,0)</f>
        <v>24500</v>
      </c>
      <c r="G108" s="29">
        <f>+E108-F108</f>
        <v>10500</v>
      </c>
      <c r="H108" s="29"/>
      <c r="I108" s="29">
        <v>12000</v>
      </c>
      <c r="J108" s="29">
        <f>+E108*1.4</f>
        <v>49000</v>
      </c>
      <c r="K108" s="29">
        <f>+J108+I108</f>
        <v>61000</v>
      </c>
    </row>
    <row r="109" spans="1:16" ht="13" hidden="1" x14ac:dyDescent="0.25">
      <c r="A109" s="26">
        <f>+A108+1</f>
        <v>103</v>
      </c>
      <c r="B109" s="2" t="s">
        <v>227</v>
      </c>
      <c r="C109" s="7"/>
      <c r="D109" s="4" t="s">
        <v>113</v>
      </c>
      <c r="E109" s="19">
        <v>35000</v>
      </c>
      <c r="F109" s="29">
        <f>+VLOOKUP(B109,Distribuidor!$B$7:$D$533,3,0)</f>
        <v>24500</v>
      </c>
      <c r="G109" s="29">
        <f>+E109-F109</f>
        <v>10500</v>
      </c>
      <c r="H109" s="29"/>
      <c r="I109" s="29">
        <v>12000</v>
      </c>
      <c r="J109" s="29">
        <f>+E109*1.4</f>
        <v>49000</v>
      </c>
      <c r="K109" s="29">
        <f>+J109+I109</f>
        <v>61000</v>
      </c>
    </row>
    <row r="110" spans="1:16" ht="13" hidden="1" x14ac:dyDescent="0.25">
      <c r="A110" s="26">
        <f>+A109+1</f>
        <v>104</v>
      </c>
      <c r="B110" s="4" t="s">
        <v>246</v>
      </c>
      <c r="C110" s="7"/>
      <c r="D110" s="4" t="s">
        <v>113</v>
      </c>
      <c r="E110" s="19">
        <v>35000</v>
      </c>
      <c r="F110" s="29">
        <f>+VLOOKUP(B110,Distribuidor!$B$7:$D$533,3,0)</f>
        <v>24500</v>
      </c>
      <c r="G110" s="29">
        <f>+E110-F110</f>
        <v>10500</v>
      </c>
      <c r="H110" s="29"/>
      <c r="I110" s="29">
        <v>12000</v>
      </c>
      <c r="J110" s="29">
        <f>+E110*1.4</f>
        <v>49000</v>
      </c>
      <c r="K110" s="29">
        <f>+J110+I110</f>
        <v>61000</v>
      </c>
    </row>
    <row r="111" spans="1:16" ht="13" hidden="1" x14ac:dyDescent="0.25">
      <c r="A111" s="26">
        <f>+A110+1</f>
        <v>105</v>
      </c>
      <c r="B111" s="4" t="s">
        <v>72</v>
      </c>
      <c r="C111" s="7"/>
      <c r="D111" s="4" t="s">
        <v>0</v>
      </c>
      <c r="E111" s="19">
        <v>35000</v>
      </c>
      <c r="F111" s="29">
        <f>+VLOOKUP(B111,Distribuidor!$B$7:$D$533,3,0)</f>
        <v>24000</v>
      </c>
      <c r="G111" s="29">
        <f>+E111-F111</f>
        <v>11000</v>
      </c>
      <c r="H111" s="29"/>
      <c r="I111" s="29">
        <v>12000</v>
      </c>
      <c r="J111" s="29">
        <f>+E111*1.4</f>
        <v>49000</v>
      </c>
      <c r="K111" s="29">
        <f>+J111+I111</f>
        <v>61000</v>
      </c>
    </row>
    <row r="112" spans="1:16" ht="13" hidden="1" x14ac:dyDescent="0.25">
      <c r="A112" s="26">
        <f>+A111+1</f>
        <v>106</v>
      </c>
      <c r="B112" s="4" t="s">
        <v>90</v>
      </c>
      <c r="C112" s="7"/>
      <c r="D112" s="4" t="s">
        <v>2</v>
      </c>
      <c r="E112" s="19">
        <v>35000</v>
      </c>
      <c r="F112" s="29">
        <f>+VLOOKUP(B112,Distribuidor!$B$7:$D$533,3,0)</f>
        <v>23900</v>
      </c>
      <c r="G112" s="29">
        <f>+E112-F112</f>
        <v>11100</v>
      </c>
      <c r="H112" s="29"/>
      <c r="I112" s="29">
        <v>12000</v>
      </c>
      <c r="J112" s="29">
        <f>+E112*1.4</f>
        <v>49000</v>
      </c>
      <c r="K112" s="29">
        <f>+J112+I112</f>
        <v>61000</v>
      </c>
    </row>
    <row r="113" spans="1:16" ht="13" hidden="1" x14ac:dyDescent="0.25">
      <c r="A113" s="26">
        <f>+A112+1</f>
        <v>107</v>
      </c>
      <c r="B113" s="4" t="s">
        <v>226</v>
      </c>
      <c r="C113" s="7"/>
      <c r="D113" s="4" t="s">
        <v>3</v>
      </c>
      <c r="E113" s="19">
        <v>35000</v>
      </c>
      <c r="F113" s="29">
        <f>+VLOOKUP(B113,Distribuidor!$B$7:$D$533,3,0)</f>
        <v>24200</v>
      </c>
      <c r="G113" s="29">
        <f>+E113-F113</f>
        <v>10800</v>
      </c>
      <c r="H113" s="29"/>
      <c r="I113" s="29">
        <v>12000</v>
      </c>
      <c r="J113" s="29">
        <f>+E113*1.4</f>
        <v>49000</v>
      </c>
      <c r="K113" s="29">
        <f>+J113+I113</f>
        <v>61000</v>
      </c>
    </row>
    <row r="114" spans="1:16" ht="13" hidden="1" x14ac:dyDescent="0.25">
      <c r="A114" s="26">
        <f>+A113+1</f>
        <v>108</v>
      </c>
      <c r="B114" s="4" t="s">
        <v>317</v>
      </c>
      <c r="C114" s="7"/>
      <c r="D114" s="4" t="s">
        <v>308</v>
      </c>
      <c r="E114" s="19">
        <v>35000</v>
      </c>
      <c r="F114" s="29">
        <f>+VLOOKUP(B114,Distribuidor!$B$7:$D$533,3,0)</f>
        <v>24000</v>
      </c>
      <c r="G114" s="29">
        <f>+E114-F114</f>
        <v>11000</v>
      </c>
      <c r="H114" s="29"/>
      <c r="I114" s="29">
        <v>12000</v>
      </c>
      <c r="J114" s="29">
        <f>+E114*1.4</f>
        <v>49000</v>
      </c>
      <c r="K114" s="29">
        <f>+J114+I114</f>
        <v>61000</v>
      </c>
    </row>
    <row r="115" spans="1:16" ht="13" hidden="1" x14ac:dyDescent="0.25">
      <c r="A115" s="26">
        <f>+A114+1</f>
        <v>109</v>
      </c>
      <c r="B115" s="4" t="s">
        <v>161</v>
      </c>
      <c r="C115" s="7"/>
      <c r="D115" s="4" t="s">
        <v>29</v>
      </c>
      <c r="E115" s="19">
        <v>35000</v>
      </c>
      <c r="F115" s="29">
        <f>+VLOOKUP(B115,Distribuidor!$B$7:$D$533,3,0)</f>
        <v>24100</v>
      </c>
      <c r="G115" s="29">
        <f>+E115-F115</f>
        <v>10900</v>
      </c>
      <c r="H115" s="29"/>
      <c r="I115" s="29">
        <v>12000</v>
      </c>
      <c r="J115" s="29">
        <f>+E115*1.4</f>
        <v>49000</v>
      </c>
      <c r="K115" s="29">
        <f>+J115+I115</f>
        <v>61000</v>
      </c>
    </row>
    <row r="116" spans="1:16" ht="13" hidden="1" x14ac:dyDescent="0.25">
      <c r="A116" s="26">
        <f>+A115+1</f>
        <v>110</v>
      </c>
      <c r="B116" s="38" t="s">
        <v>336</v>
      </c>
      <c r="C116" s="7" t="s">
        <v>618</v>
      </c>
      <c r="D116" s="4" t="s">
        <v>13</v>
      </c>
      <c r="E116" s="19">
        <v>34000</v>
      </c>
      <c r="F116" s="29">
        <f>+VLOOKUP(B116,Distribuidor!$B$7:$D$533,3,0)</f>
        <v>23500</v>
      </c>
      <c r="G116" s="29">
        <f>+E116-F116</f>
        <v>10500</v>
      </c>
      <c r="H116" s="29">
        <f>+G116*L116</f>
        <v>52500</v>
      </c>
      <c r="I116" s="29">
        <v>12000</v>
      </c>
      <c r="J116" s="29">
        <f>+E116*1.4</f>
        <v>47600</v>
      </c>
      <c r="K116" s="29">
        <f>+J116+I116</f>
        <v>59600</v>
      </c>
      <c r="L116" s="1">
        <v>5</v>
      </c>
      <c r="M116" s="29">
        <f>+J116*L116</f>
        <v>238000</v>
      </c>
      <c r="N116" s="29">
        <v>34900</v>
      </c>
      <c r="O116" s="29">
        <f>9000+N116</f>
        <v>43900</v>
      </c>
      <c r="P116" s="37">
        <f>+O116-K116</f>
        <v>-15700</v>
      </c>
    </row>
    <row r="117" spans="1:16" ht="13" hidden="1" x14ac:dyDescent="0.25">
      <c r="A117" s="26">
        <f>+A116+1</f>
        <v>111</v>
      </c>
      <c r="B117" s="4" t="s">
        <v>185</v>
      </c>
      <c r="C117" s="7"/>
      <c r="D117" s="4" t="s">
        <v>3</v>
      </c>
      <c r="E117" s="19">
        <v>34000</v>
      </c>
      <c r="F117" s="29">
        <f>+VLOOKUP(B117,Distribuidor!$B$7:$D$533,3,0)</f>
        <v>23400</v>
      </c>
      <c r="G117" s="29">
        <f>+E117-F117</f>
        <v>10600</v>
      </c>
      <c r="H117" s="29"/>
      <c r="I117" s="29">
        <v>12000</v>
      </c>
      <c r="J117" s="29">
        <f>+E117*1.4</f>
        <v>47600</v>
      </c>
      <c r="K117" s="29">
        <f>+J117+I117</f>
        <v>59600</v>
      </c>
    </row>
    <row r="118" spans="1:16" ht="13" hidden="1" x14ac:dyDescent="0.25">
      <c r="A118" s="26">
        <f>+A117+1</f>
        <v>112</v>
      </c>
      <c r="B118" s="4" t="s">
        <v>558</v>
      </c>
      <c r="C118" s="7"/>
      <c r="D118" s="4" t="s">
        <v>3</v>
      </c>
      <c r="E118" s="19">
        <v>34000</v>
      </c>
      <c r="F118" s="29">
        <f>+VLOOKUP(B118,Distribuidor!$B$7:$D$533,3,0)</f>
        <v>23400</v>
      </c>
      <c r="G118" s="29">
        <f>+E118-F118</f>
        <v>10600</v>
      </c>
      <c r="H118" s="29"/>
      <c r="I118" s="29">
        <v>12000</v>
      </c>
      <c r="J118" s="29">
        <f>+E118*1.4</f>
        <v>47600</v>
      </c>
      <c r="K118" s="29">
        <f>+J118+I118</f>
        <v>59600</v>
      </c>
    </row>
    <row r="119" spans="1:16" ht="13" hidden="1" x14ac:dyDescent="0.25">
      <c r="A119" s="26">
        <f>+A118+1</f>
        <v>113</v>
      </c>
      <c r="B119" s="4" t="s">
        <v>515</v>
      </c>
      <c r="C119" s="7"/>
      <c r="D119" s="4" t="s">
        <v>3</v>
      </c>
      <c r="E119" s="19">
        <v>34000</v>
      </c>
      <c r="F119" s="29">
        <f>+VLOOKUP(B119,Distribuidor!$B$7:$D$533,3,0)</f>
        <v>23400</v>
      </c>
      <c r="G119" s="29">
        <f>+E119-F119</f>
        <v>10600</v>
      </c>
      <c r="H119" s="29"/>
      <c r="I119" s="29">
        <v>12000</v>
      </c>
      <c r="J119" s="29">
        <f>+E119*1.4</f>
        <v>47600</v>
      </c>
      <c r="K119" s="29">
        <f>+J119+I119</f>
        <v>59600</v>
      </c>
    </row>
    <row r="120" spans="1:16" ht="13" hidden="1" x14ac:dyDescent="0.25">
      <c r="A120" s="26">
        <f>+A119+1</f>
        <v>114</v>
      </c>
      <c r="B120" s="4" t="s">
        <v>371</v>
      </c>
      <c r="C120" s="7"/>
      <c r="D120" s="4" t="s">
        <v>376</v>
      </c>
      <c r="E120" s="19">
        <v>34000</v>
      </c>
      <c r="F120" s="29">
        <f>+VLOOKUP(B120,Distribuidor!$B$7:$D$533,3,0)</f>
        <v>23800</v>
      </c>
      <c r="G120" s="29">
        <f>+E120-F120</f>
        <v>10200</v>
      </c>
      <c r="H120" s="29"/>
      <c r="I120" s="29">
        <v>12000</v>
      </c>
      <c r="J120" s="29">
        <f>+E120*1.4</f>
        <v>47600</v>
      </c>
      <c r="K120" s="29">
        <f>+J120+I120</f>
        <v>59600</v>
      </c>
    </row>
    <row r="121" spans="1:16" ht="13" hidden="1" x14ac:dyDescent="0.25">
      <c r="A121" s="26">
        <f>+A120+1</f>
        <v>115</v>
      </c>
      <c r="B121" s="4" t="s">
        <v>372</v>
      </c>
      <c r="C121" s="7"/>
      <c r="D121" s="4" t="s">
        <v>376</v>
      </c>
      <c r="E121" s="19">
        <v>34000</v>
      </c>
      <c r="F121" s="29">
        <f>+VLOOKUP(B121,Distribuidor!$B$7:$D$533,3,0)</f>
        <v>23800</v>
      </c>
      <c r="G121" s="29">
        <f>+E121-F121</f>
        <v>10200</v>
      </c>
      <c r="H121" s="29"/>
      <c r="I121" s="29">
        <v>12000</v>
      </c>
      <c r="J121" s="29">
        <f>+E121*1.4</f>
        <v>47600</v>
      </c>
      <c r="K121" s="29">
        <f>+J121+I121</f>
        <v>59600</v>
      </c>
    </row>
    <row r="122" spans="1:16" ht="13" hidden="1" x14ac:dyDescent="0.25">
      <c r="A122" s="26">
        <f>+A121+1</f>
        <v>116</v>
      </c>
      <c r="B122" s="4" t="s">
        <v>267</v>
      </c>
      <c r="C122" s="7"/>
      <c r="D122" s="4" t="s">
        <v>265</v>
      </c>
      <c r="E122" s="19">
        <v>34000</v>
      </c>
      <c r="F122" s="29">
        <f>+VLOOKUP(B122,Distribuidor!$B$7:$D$533,3,0)</f>
        <v>23500</v>
      </c>
      <c r="G122" s="29">
        <f>+E122-F122</f>
        <v>10500</v>
      </c>
      <c r="H122" s="29"/>
      <c r="I122" s="29">
        <v>12000</v>
      </c>
      <c r="J122" s="29">
        <f>+E122*1.4</f>
        <v>47600</v>
      </c>
      <c r="K122" s="29">
        <f>+J122+I122</f>
        <v>59600</v>
      </c>
    </row>
    <row r="123" spans="1:16" ht="13" hidden="1" x14ac:dyDescent="0.25">
      <c r="A123" s="26">
        <f>+A122+1</f>
        <v>117</v>
      </c>
      <c r="B123" s="2" t="s">
        <v>70</v>
      </c>
      <c r="C123" s="7"/>
      <c r="D123" s="4" t="s">
        <v>5</v>
      </c>
      <c r="E123" s="19">
        <v>33000</v>
      </c>
      <c r="F123" s="29">
        <f>+VLOOKUP(B123,Distribuidor!$B$7:$D$533,3,0)</f>
        <v>22500</v>
      </c>
      <c r="G123" s="29">
        <f>+E123-F123</f>
        <v>10500</v>
      </c>
      <c r="H123" s="29"/>
      <c r="I123" s="29">
        <v>12000</v>
      </c>
      <c r="J123" s="29">
        <f>+E123*1.4</f>
        <v>46200</v>
      </c>
      <c r="K123" s="29">
        <f>+J123+I123</f>
        <v>58200</v>
      </c>
    </row>
    <row r="124" spans="1:16" ht="13" hidden="1" x14ac:dyDescent="0.25">
      <c r="A124" s="26">
        <f>+A123+1</f>
        <v>118</v>
      </c>
      <c r="B124" s="4" t="s">
        <v>127</v>
      </c>
      <c r="C124" s="7"/>
      <c r="D124" s="4" t="s">
        <v>113</v>
      </c>
      <c r="E124" s="19">
        <v>33000</v>
      </c>
      <c r="F124" s="29">
        <f>+VLOOKUP(B124,Distribuidor!$B$7:$D$533,3,0)</f>
        <v>22500</v>
      </c>
      <c r="G124" s="29">
        <f>+E124-F124</f>
        <v>10500</v>
      </c>
      <c r="H124" s="29"/>
      <c r="I124" s="29">
        <v>12000</v>
      </c>
      <c r="J124" s="29">
        <f>+E124*1.4</f>
        <v>46200</v>
      </c>
      <c r="K124" s="29">
        <f>+J124+I124</f>
        <v>58200</v>
      </c>
    </row>
    <row r="125" spans="1:16" ht="13" hidden="1" x14ac:dyDescent="0.25">
      <c r="A125" s="26">
        <f>+A124+1</f>
        <v>119</v>
      </c>
      <c r="B125" s="2" t="s">
        <v>418</v>
      </c>
      <c r="C125" s="7"/>
      <c r="D125" s="4" t="s">
        <v>468</v>
      </c>
      <c r="E125" s="19">
        <v>33000</v>
      </c>
      <c r="F125" s="29">
        <f>+VLOOKUP(B125,Distribuidor!$B$7:$D$533,3,0)</f>
        <v>22500</v>
      </c>
      <c r="G125" s="29">
        <f>+E125-F125</f>
        <v>10500</v>
      </c>
      <c r="H125" s="29"/>
      <c r="I125" s="29">
        <v>12000</v>
      </c>
      <c r="J125" s="29">
        <f>+E125*1.4</f>
        <v>46200</v>
      </c>
      <c r="K125" s="29">
        <f>+J125+I125</f>
        <v>58200</v>
      </c>
    </row>
    <row r="126" spans="1:16" ht="13" hidden="1" x14ac:dyDescent="0.25">
      <c r="A126" s="26">
        <f>+A125+1</f>
        <v>120</v>
      </c>
      <c r="B126" s="4" t="s">
        <v>465</v>
      </c>
      <c r="C126" s="7"/>
      <c r="D126" s="4" t="s">
        <v>468</v>
      </c>
      <c r="E126" s="19">
        <v>33000</v>
      </c>
      <c r="F126" s="29">
        <f>+VLOOKUP(B126,Distribuidor!$B$7:$D$533,3,0)</f>
        <v>22500</v>
      </c>
      <c r="G126" s="29">
        <f>+E126-F126</f>
        <v>10500</v>
      </c>
      <c r="H126" s="29"/>
      <c r="I126" s="29">
        <v>12000</v>
      </c>
      <c r="J126" s="29">
        <f>+E126*1.4</f>
        <v>46200</v>
      </c>
      <c r="K126" s="29">
        <f>+J126+I126</f>
        <v>58200</v>
      </c>
    </row>
    <row r="127" spans="1:16" ht="13" hidden="1" x14ac:dyDescent="0.25">
      <c r="A127" s="26">
        <f>+A126+1</f>
        <v>121</v>
      </c>
      <c r="B127" s="4" t="s">
        <v>456</v>
      </c>
      <c r="C127" s="7"/>
      <c r="D127" s="4" t="s">
        <v>468</v>
      </c>
      <c r="E127" s="19">
        <v>33000</v>
      </c>
      <c r="F127" s="29">
        <f>+VLOOKUP(B127,Distribuidor!$B$7:$D$533,3,0)</f>
        <v>23000</v>
      </c>
      <c r="G127" s="29">
        <f>+E127-F127</f>
        <v>10000</v>
      </c>
      <c r="H127" s="29"/>
      <c r="I127" s="29">
        <v>12000</v>
      </c>
      <c r="J127" s="29">
        <f>+E127*1.4</f>
        <v>46200</v>
      </c>
      <c r="K127" s="29">
        <f>+J127+I127</f>
        <v>58200</v>
      </c>
    </row>
    <row r="128" spans="1:16" ht="13" hidden="1" x14ac:dyDescent="0.25">
      <c r="A128" s="26">
        <f>+A127+1</f>
        <v>122</v>
      </c>
      <c r="B128" s="38" t="s">
        <v>18</v>
      </c>
      <c r="C128" s="7" t="s">
        <v>618</v>
      </c>
      <c r="D128" s="4" t="s">
        <v>3</v>
      </c>
      <c r="E128" s="19">
        <v>33000</v>
      </c>
      <c r="F128" s="29">
        <f>+VLOOKUP(B128,Distribuidor!$B$7:$D$533,3,0)</f>
        <v>22900</v>
      </c>
      <c r="G128" s="29">
        <f>+E128-F128</f>
        <v>10100</v>
      </c>
      <c r="H128" s="29">
        <f>+G128*L128</f>
        <v>50500</v>
      </c>
      <c r="I128" s="29">
        <v>12000</v>
      </c>
      <c r="J128" s="29">
        <f>+E128*1.4</f>
        <v>46200</v>
      </c>
      <c r="K128" s="29">
        <f>+J128+I128</f>
        <v>58200</v>
      </c>
      <c r="L128" s="1">
        <v>5</v>
      </c>
      <c r="M128" s="29">
        <f>+J128*L128</f>
        <v>231000</v>
      </c>
      <c r="N128" s="29">
        <v>26400</v>
      </c>
      <c r="O128" s="29">
        <f>9000+N128</f>
        <v>35400</v>
      </c>
      <c r="P128" s="37">
        <f>+O128-K128</f>
        <v>-22800</v>
      </c>
    </row>
    <row r="129" spans="1:16" ht="13" hidden="1" x14ac:dyDescent="0.25">
      <c r="A129" s="26">
        <f>+A128+1</f>
        <v>123</v>
      </c>
      <c r="B129" s="4" t="s">
        <v>163</v>
      </c>
      <c r="C129" s="7"/>
      <c r="D129" s="4" t="s">
        <v>3</v>
      </c>
      <c r="E129" s="19">
        <v>33000</v>
      </c>
      <c r="F129" s="29">
        <f>+VLOOKUP(B129,Distribuidor!$B$7:$D$533,3,0)</f>
        <v>22900</v>
      </c>
      <c r="G129" s="29">
        <f>+E129-F129</f>
        <v>10100</v>
      </c>
      <c r="H129" s="29"/>
      <c r="I129" s="29">
        <v>12000</v>
      </c>
      <c r="J129" s="29">
        <f>+E129*1.4</f>
        <v>46200</v>
      </c>
      <c r="K129" s="29">
        <f>+J129+I129</f>
        <v>58200</v>
      </c>
    </row>
    <row r="130" spans="1:16" ht="13" hidden="1" x14ac:dyDescent="0.25">
      <c r="A130" s="26">
        <f>+A129+1</f>
        <v>124</v>
      </c>
      <c r="B130" s="4" t="s">
        <v>470</v>
      </c>
      <c r="C130" s="7"/>
      <c r="D130" s="4" t="s">
        <v>478</v>
      </c>
      <c r="E130" s="19">
        <v>33000</v>
      </c>
      <c r="F130" s="29">
        <f>+VLOOKUP(B130,Distribuidor!$B$7:$D$533,3,0)</f>
        <v>23000</v>
      </c>
      <c r="G130" s="29">
        <f>+E130-F130</f>
        <v>10000</v>
      </c>
      <c r="H130" s="29"/>
      <c r="I130" s="29">
        <v>12000</v>
      </c>
      <c r="J130" s="29">
        <f>+E130*1.4</f>
        <v>46200</v>
      </c>
      <c r="K130" s="29">
        <f>+J130+I130</f>
        <v>58200</v>
      </c>
    </row>
    <row r="131" spans="1:16" ht="13" hidden="1" x14ac:dyDescent="0.25">
      <c r="A131" s="26">
        <f>+A130+1</f>
        <v>125</v>
      </c>
      <c r="B131" s="4" t="s">
        <v>258</v>
      </c>
      <c r="C131" s="7"/>
      <c r="D131" s="4" t="s">
        <v>14</v>
      </c>
      <c r="E131" s="19">
        <v>33000</v>
      </c>
      <c r="F131" s="29">
        <f>+VLOOKUP(B131,Distribuidor!$B$7:$D$533,3,0)</f>
        <v>22900</v>
      </c>
      <c r="G131" s="29">
        <f>+E131-F131</f>
        <v>10100</v>
      </c>
      <c r="H131" s="29"/>
      <c r="I131" s="29">
        <v>12000</v>
      </c>
      <c r="J131" s="29">
        <f>+E131*1.4</f>
        <v>46200</v>
      </c>
      <c r="K131" s="29">
        <f>+J131+I131</f>
        <v>58200</v>
      </c>
    </row>
    <row r="132" spans="1:16" ht="13" hidden="1" x14ac:dyDescent="0.25">
      <c r="A132" s="26">
        <f>+A131+1</f>
        <v>126</v>
      </c>
      <c r="B132" s="4" t="s">
        <v>42</v>
      </c>
      <c r="C132" s="7"/>
      <c r="D132" s="4" t="s">
        <v>5</v>
      </c>
      <c r="E132" s="19">
        <v>32000</v>
      </c>
      <c r="F132" s="29">
        <f>+VLOOKUP(B132,Distribuidor!$B$7:$D$533,3,0)</f>
        <v>21900</v>
      </c>
      <c r="G132" s="29">
        <f>+E132-F132</f>
        <v>10100</v>
      </c>
      <c r="H132" s="29"/>
      <c r="I132" s="29">
        <v>12000</v>
      </c>
      <c r="J132" s="29">
        <f>+E132*1.4</f>
        <v>44800</v>
      </c>
      <c r="K132" s="29">
        <f>+J132+I132</f>
        <v>56800</v>
      </c>
    </row>
    <row r="133" spans="1:16" ht="13" hidden="1" x14ac:dyDescent="0.25">
      <c r="A133" s="26">
        <f>+A132+1</f>
        <v>127</v>
      </c>
      <c r="B133" s="4" t="s">
        <v>109</v>
      </c>
      <c r="C133" s="7"/>
      <c r="D133" s="4" t="s">
        <v>0</v>
      </c>
      <c r="E133" s="19">
        <v>32000</v>
      </c>
      <c r="F133" s="29">
        <f>+VLOOKUP(B133,Distribuidor!$B$7:$D$533,3,0)</f>
        <v>22000</v>
      </c>
      <c r="G133" s="29">
        <f>+E133-F133</f>
        <v>10000</v>
      </c>
      <c r="H133" s="29"/>
      <c r="I133" s="29">
        <v>12000</v>
      </c>
      <c r="J133" s="29">
        <f>+E133*1.4</f>
        <v>44800</v>
      </c>
      <c r="K133" s="29">
        <f>+J133+I133</f>
        <v>56800</v>
      </c>
    </row>
    <row r="134" spans="1:16" ht="13" hidden="1" x14ac:dyDescent="0.25">
      <c r="A134" s="26">
        <f>+A133+1</f>
        <v>128</v>
      </c>
      <c r="B134" s="4" t="s">
        <v>453</v>
      </c>
      <c r="C134" s="7"/>
      <c r="D134" s="4" t="s">
        <v>468</v>
      </c>
      <c r="E134" s="19">
        <v>32000</v>
      </c>
      <c r="F134" s="29">
        <f>+VLOOKUP(B134,Distribuidor!$B$7:$D$533,3,0)</f>
        <v>21900</v>
      </c>
      <c r="G134" s="29">
        <f>+E134-F134</f>
        <v>10100</v>
      </c>
      <c r="H134" s="29"/>
      <c r="I134" s="29">
        <v>12000</v>
      </c>
      <c r="J134" s="29">
        <f>+E134*1.4</f>
        <v>44800</v>
      </c>
      <c r="K134" s="29">
        <f>+J134+I134</f>
        <v>56800</v>
      </c>
    </row>
    <row r="135" spans="1:16" ht="13" hidden="1" x14ac:dyDescent="0.25">
      <c r="A135" s="26">
        <f>+A134+1</f>
        <v>129</v>
      </c>
      <c r="B135" s="4" t="s">
        <v>428</v>
      </c>
      <c r="C135" s="7"/>
      <c r="D135" s="4" t="s">
        <v>468</v>
      </c>
      <c r="E135" s="19">
        <v>32000</v>
      </c>
      <c r="F135" s="29">
        <f>+VLOOKUP(B135,Distribuidor!$B$7:$D$533,3,0)</f>
        <v>21900</v>
      </c>
      <c r="G135" s="29">
        <f>+E135-F135</f>
        <v>10100</v>
      </c>
      <c r="H135" s="29"/>
      <c r="I135" s="29">
        <v>12000</v>
      </c>
      <c r="J135" s="29">
        <f>+E135*1.4</f>
        <v>44800</v>
      </c>
      <c r="K135" s="29">
        <f>+J135+I135</f>
        <v>56800</v>
      </c>
    </row>
    <row r="136" spans="1:16" ht="13" hidden="1" x14ac:dyDescent="0.25">
      <c r="A136" s="26">
        <f>+A135+1</f>
        <v>130</v>
      </c>
      <c r="B136" s="4" t="s">
        <v>19</v>
      </c>
      <c r="C136" s="7"/>
      <c r="D136" s="4" t="s">
        <v>3</v>
      </c>
      <c r="E136" s="19">
        <v>32000</v>
      </c>
      <c r="F136" s="29">
        <f>+VLOOKUP(B136,Distribuidor!$B$7:$D$533,3,0)</f>
        <v>22100</v>
      </c>
      <c r="G136" s="29">
        <f>+E136-F136</f>
        <v>9900</v>
      </c>
      <c r="H136" s="29"/>
      <c r="I136" s="29">
        <v>12000</v>
      </c>
      <c r="J136" s="29">
        <f>+E136*1.4</f>
        <v>44800</v>
      </c>
      <c r="K136" s="29">
        <f>+J136+I136</f>
        <v>56800</v>
      </c>
    </row>
    <row r="137" spans="1:16" ht="13" hidden="1" x14ac:dyDescent="0.25">
      <c r="A137" s="26">
        <f>+A136+1</f>
        <v>131</v>
      </c>
      <c r="B137" s="38" t="s">
        <v>284</v>
      </c>
      <c r="C137" s="7" t="s">
        <v>618</v>
      </c>
      <c r="D137" s="4" t="s">
        <v>22</v>
      </c>
      <c r="E137" s="19">
        <v>32000</v>
      </c>
      <c r="F137" s="29">
        <f>+VLOOKUP(B137,Distribuidor!$B$7:$D$533,3,0)</f>
        <v>21800</v>
      </c>
      <c r="G137" s="29">
        <f>+E137-F137</f>
        <v>10200</v>
      </c>
      <c r="H137" s="29">
        <f>+G137*L137</f>
        <v>51000</v>
      </c>
      <c r="I137" s="29">
        <v>12000</v>
      </c>
      <c r="J137" s="29">
        <f>+E137*1.4</f>
        <v>44800</v>
      </c>
      <c r="K137" s="29">
        <f>+J137+I137</f>
        <v>56800</v>
      </c>
      <c r="L137" s="1">
        <v>5</v>
      </c>
      <c r="M137" s="29">
        <f>+J137*L137</f>
        <v>224000</v>
      </c>
      <c r="N137" s="29">
        <v>36000</v>
      </c>
      <c r="O137" s="29">
        <f>9000+N137</f>
        <v>45000</v>
      </c>
      <c r="P137" s="37">
        <f>+O137-K137</f>
        <v>-11800</v>
      </c>
    </row>
    <row r="138" spans="1:16" ht="13" hidden="1" x14ac:dyDescent="0.25">
      <c r="A138" s="26">
        <f>+A137+1</f>
        <v>132</v>
      </c>
      <c r="B138" s="4" t="s">
        <v>263</v>
      </c>
      <c r="C138" s="7"/>
      <c r="D138" s="4" t="s">
        <v>113</v>
      </c>
      <c r="E138" s="19">
        <v>31000</v>
      </c>
      <c r="F138" s="29">
        <f>+VLOOKUP(B138,Distribuidor!$B$7:$D$533,3,0)</f>
        <v>21500</v>
      </c>
      <c r="G138" s="29">
        <f>+E138-F138</f>
        <v>9500</v>
      </c>
      <c r="H138" s="29"/>
      <c r="I138" s="29">
        <v>12000</v>
      </c>
      <c r="J138" s="29">
        <f>+E138*1.4</f>
        <v>43400</v>
      </c>
      <c r="K138" s="29">
        <f>+J138+I138</f>
        <v>55400</v>
      </c>
    </row>
    <row r="139" spans="1:16" ht="13" hidden="1" x14ac:dyDescent="0.25">
      <c r="A139" s="26">
        <f>+A138+1</f>
        <v>133</v>
      </c>
      <c r="B139" s="4" t="s">
        <v>264</v>
      </c>
      <c r="C139" s="7"/>
      <c r="D139" s="4" t="s">
        <v>113</v>
      </c>
      <c r="E139" s="19">
        <v>31000</v>
      </c>
      <c r="F139" s="29">
        <f>+VLOOKUP(B139,Distribuidor!$B$7:$D$533,3,0)</f>
        <v>21500</v>
      </c>
      <c r="G139" s="29">
        <f>+E139-F139</f>
        <v>9500</v>
      </c>
      <c r="H139" s="29"/>
      <c r="I139" s="29">
        <v>12000</v>
      </c>
      <c r="J139" s="29">
        <f>+E139*1.4</f>
        <v>43400</v>
      </c>
      <c r="K139" s="29">
        <f>+J139+I139</f>
        <v>55400</v>
      </c>
    </row>
    <row r="140" spans="1:16" ht="13" hidden="1" x14ac:dyDescent="0.25">
      <c r="A140" s="26">
        <f>+A139+1</f>
        <v>134</v>
      </c>
      <c r="B140" s="4" t="s">
        <v>416</v>
      </c>
      <c r="C140" s="7"/>
      <c r="D140" s="4" t="s">
        <v>22</v>
      </c>
      <c r="E140" s="19">
        <v>31000</v>
      </c>
      <c r="F140" s="29">
        <f>+VLOOKUP(B140,Distribuidor!$B$7:$D$533,3,0)</f>
        <v>21200</v>
      </c>
      <c r="G140" s="29">
        <f>+E140-F140</f>
        <v>9800</v>
      </c>
      <c r="H140" s="29"/>
      <c r="I140" s="29">
        <v>12000</v>
      </c>
      <c r="J140" s="29">
        <f>+E140*1.4</f>
        <v>43400</v>
      </c>
      <c r="K140" s="29">
        <f>+J140+I140</f>
        <v>55400</v>
      </c>
    </row>
    <row r="141" spans="1:16" ht="13" hidden="1" x14ac:dyDescent="0.25">
      <c r="A141" s="26">
        <f>+A140+1</f>
        <v>135</v>
      </c>
      <c r="B141" s="4" t="s">
        <v>513</v>
      </c>
      <c r="C141" s="7"/>
      <c r="D141" s="4" t="s">
        <v>468</v>
      </c>
      <c r="E141" s="19">
        <v>30000</v>
      </c>
      <c r="F141" s="29">
        <f>+VLOOKUP(B141,Distribuidor!$B$7:$D$533,3,0)</f>
        <v>20900</v>
      </c>
      <c r="G141" s="29">
        <f>+E141-F141</f>
        <v>9100</v>
      </c>
      <c r="H141" s="29"/>
      <c r="I141" s="29">
        <v>12000</v>
      </c>
      <c r="J141" s="29">
        <f>+E141*1.4</f>
        <v>42000</v>
      </c>
      <c r="K141" s="29">
        <f>+J141+I141</f>
        <v>54000</v>
      </c>
    </row>
    <row r="142" spans="1:16" ht="13" hidden="1" x14ac:dyDescent="0.25">
      <c r="A142" s="26">
        <f>+A141+1</f>
        <v>136</v>
      </c>
      <c r="B142" s="4" t="s">
        <v>92</v>
      </c>
      <c r="C142" s="7"/>
      <c r="D142" s="4" t="s">
        <v>2</v>
      </c>
      <c r="E142" s="19">
        <v>30000</v>
      </c>
      <c r="F142" s="29">
        <f>+VLOOKUP(B142,Distribuidor!$B$7:$D$533,3,0)</f>
        <v>21000</v>
      </c>
      <c r="G142" s="29">
        <f>+E142-F142</f>
        <v>9000</v>
      </c>
      <c r="H142" s="29"/>
      <c r="I142" s="29">
        <v>12000</v>
      </c>
      <c r="J142" s="29">
        <f>+E142*1.4</f>
        <v>42000</v>
      </c>
      <c r="K142" s="29">
        <f>+J142+I142</f>
        <v>54000</v>
      </c>
    </row>
    <row r="143" spans="1:16" ht="13" hidden="1" x14ac:dyDescent="0.25">
      <c r="A143" s="26">
        <f>+A142+1</f>
        <v>137</v>
      </c>
      <c r="B143" s="4" t="s">
        <v>533</v>
      </c>
      <c r="C143" s="7"/>
      <c r="D143" s="4" t="s">
        <v>529</v>
      </c>
      <c r="E143" s="19">
        <v>30000</v>
      </c>
      <c r="F143" s="29">
        <f>+VLOOKUP(B143,Distribuidor!$B$7:$D$533,3,0)</f>
        <v>21000</v>
      </c>
      <c r="G143" s="29">
        <f>+E143-F143</f>
        <v>9000</v>
      </c>
      <c r="H143" s="29"/>
      <c r="I143" s="29">
        <v>12000</v>
      </c>
      <c r="J143" s="29">
        <f>+E143*1.4</f>
        <v>42000</v>
      </c>
      <c r="K143" s="29">
        <f>+J143+I143</f>
        <v>54000</v>
      </c>
    </row>
    <row r="144" spans="1:16" ht="13" hidden="1" x14ac:dyDescent="0.25">
      <c r="A144" s="26">
        <f>+A143+1</f>
        <v>138</v>
      </c>
      <c r="B144" s="4" t="s">
        <v>286</v>
      </c>
      <c r="C144" s="7"/>
      <c r="D144" s="4" t="s">
        <v>29</v>
      </c>
      <c r="E144" s="19">
        <v>30000</v>
      </c>
      <c r="F144" s="29">
        <f>+VLOOKUP(B144,Distribuidor!$B$7:$D$533,3,0)</f>
        <v>20500</v>
      </c>
      <c r="G144" s="29">
        <f>+E144-F144</f>
        <v>9500</v>
      </c>
      <c r="H144" s="29"/>
      <c r="I144" s="29">
        <v>12000</v>
      </c>
      <c r="J144" s="29">
        <f>+E144*1.4</f>
        <v>42000</v>
      </c>
      <c r="K144" s="29">
        <f>+J144+I144</f>
        <v>54000</v>
      </c>
    </row>
    <row r="145" spans="1:16" ht="13" hidden="1" x14ac:dyDescent="0.25">
      <c r="A145" s="26">
        <f>+A144+1</f>
        <v>139</v>
      </c>
      <c r="B145" s="4" t="s">
        <v>30</v>
      </c>
      <c r="C145" s="7"/>
      <c r="D145" s="4" t="s">
        <v>29</v>
      </c>
      <c r="E145" s="19">
        <v>30000</v>
      </c>
      <c r="F145" s="29">
        <f>+VLOOKUP(B145,Distribuidor!$B$7:$D$533,3,0)</f>
        <v>20500</v>
      </c>
      <c r="G145" s="29">
        <f>+E145-F145</f>
        <v>9500</v>
      </c>
      <c r="H145" s="29"/>
      <c r="I145" s="29">
        <v>12000</v>
      </c>
      <c r="J145" s="29">
        <f>+E145*1.4</f>
        <v>42000</v>
      </c>
      <c r="K145" s="29">
        <f>+J145+I145</f>
        <v>54000</v>
      </c>
    </row>
    <row r="146" spans="1:16" ht="13" hidden="1" x14ac:dyDescent="0.25">
      <c r="A146" s="26">
        <f>+A145+1</f>
        <v>140</v>
      </c>
      <c r="B146" s="4" t="s">
        <v>61</v>
      </c>
      <c r="C146" s="7"/>
      <c r="D146" s="4" t="s">
        <v>5</v>
      </c>
      <c r="E146" s="19">
        <v>29000</v>
      </c>
      <c r="F146" s="29">
        <f>+VLOOKUP(B146,Distribuidor!$B$7:$D$533,3,0)</f>
        <v>19900</v>
      </c>
      <c r="G146" s="29">
        <f>+E146-F146</f>
        <v>9100</v>
      </c>
      <c r="H146" s="29"/>
      <c r="I146" s="29">
        <v>12000</v>
      </c>
      <c r="J146" s="29">
        <f>+E146*1.4</f>
        <v>40600</v>
      </c>
      <c r="K146" s="29">
        <f>+J146+I146</f>
        <v>52600</v>
      </c>
    </row>
    <row r="147" spans="1:16" ht="13" hidden="1" x14ac:dyDescent="0.25">
      <c r="A147" s="26">
        <f>+A146+1</f>
        <v>141</v>
      </c>
      <c r="B147" s="38" t="s">
        <v>77</v>
      </c>
      <c r="C147" s="7" t="s">
        <v>618</v>
      </c>
      <c r="D147" s="4" t="s">
        <v>0</v>
      </c>
      <c r="E147" s="19">
        <v>29000</v>
      </c>
      <c r="F147" s="29">
        <f>+VLOOKUP(B147,Distribuidor!$B$7:$D$533,3,0)</f>
        <v>19900</v>
      </c>
      <c r="G147" s="29">
        <f>+E147-F147</f>
        <v>9100</v>
      </c>
      <c r="H147" s="29">
        <f>+G147*L147</f>
        <v>45500</v>
      </c>
      <c r="I147" s="29">
        <v>12000</v>
      </c>
      <c r="J147" s="29">
        <f>+E147*1.4</f>
        <v>40600</v>
      </c>
      <c r="K147" s="29">
        <f>+J147+I147</f>
        <v>52600</v>
      </c>
      <c r="L147" s="1">
        <v>5</v>
      </c>
      <c r="M147" s="29">
        <f>+J147*L147</f>
        <v>203000</v>
      </c>
      <c r="N147" s="29">
        <v>29000</v>
      </c>
      <c r="O147" s="29">
        <f>9000+N147</f>
        <v>38000</v>
      </c>
      <c r="P147" s="37">
        <f>+O147-K147</f>
        <v>-14600</v>
      </c>
    </row>
    <row r="148" spans="1:16" ht="13" hidden="1" x14ac:dyDescent="0.25">
      <c r="A148" s="26">
        <f>+A147+1</f>
        <v>142</v>
      </c>
      <c r="B148" s="4" t="s">
        <v>6</v>
      </c>
      <c r="C148" s="7"/>
      <c r="D148" s="4" t="s">
        <v>3</v>
      </c>
      <c r="E148" s="19">
        <v>29000</v>
      </c>
      <c r="F148" s="29">
        <f>+VLOOKUP(B148,Distribuidor!$B$7:$D$533,3,0)</f>
        <v>19900</v>
      </c>
      <c r="G148" s="29">
        <f>+E148-F148</f>
        <v>9100</v>
      </c>
      <c r="H148" s="29"/>
      <c r="I148" s="29">
        <v>12000</v>
      </c>
      <c r="J148" s="29">
        <f>+E148*1.4</f>
        <v>40600</v>
      </c>
      <c r="K148" s="29">
        <f>+J148+I148</f>
        <v>52600</v>
      </c>
    </row>
    <row r="149" spans="1:16" ht="13" hidden="1" x14ac:dyDescent="0.25">
      <c r="A149" s="26">
        <f>+A148+1</f>
        <v>143</v>
      </c>
      <c r="B149" s="4" t="s">
        <v>203</v>
      </c>
      <c r="C149" s="7"/>
      <c r="D149" s="4" t="s">
        <v>29</v>
      </c>
      <c r="E149" s="19">
        <v>29000</v>
      </c>
      <c r="F149" s="29">
        <f>+VLOOKUP(B149,Distribuidor!$B$7:$D$533,3,0)</f>
        <v>20200</v>
      </c>
      <c r="G149" s="29">
        <f>+E149-F149</f>
        <v>8800</v>
      </c>
      <c r="H149" s="29"/>
      <c r="I149" s="29">
        <v>12000</v>
      </c>
      <c r="J149" s="29">
        <f>+E149*1.4</f>
        <v>40600</v>
      </c>
      <c r="K149" s="29">
        <f>+J149+I149</f>
        <v>52600</v>
      </c>
    </row>
    <row r="150" spans="1:16" ht="13" hidden="1" x14ac:dyDescent="0.25">
      <c r="A150" s="26">
        <f>+A149+1</f>
        <v>144</v>
      </c>
      <c r="B150" s="4" t="s">
        <v>287</v>
      </c>
      <c r="C150" s="7"/>
      <c r="D150" s="4" t="s">
        <v>29</v>
      </c>
      <c r="E150" s="19">
        <v>29000</v>
      </c>
      <c r="F150" s="29">
        <f>+VLOOKUP(B150,Distribuidor!$B$7:$D$533,3,0)</f>
        <v>19900</v>
      </c>
      <c r="G150" s="29">
        <f>+E150-F150</f>
        <v>9100</v>
      </c>
      <c r="H150" s="29"/>
      <c r="I150" s="29">
        <v>12000</v>
      </c>
      <c r="J150" s="29">
        <f>+E150*1.4</f>
        <v>40600</v>
      </c>
      <c r="K150" s="29">
        <f>+J150+I150</f>
        <v>52600</v>
      </c>
    </row>
    <row r="151" spans="1:16" ht="13" hidden="1" x14ac:dyDescent="0.25">
      <c r="A151" s="26">
        <f>+A150+1</f>
        <v>145</v>
      </c>
      <c r="B151" s="4" t="s">
        <v>270</v>
      </c>
      <c r="C151" s="7"/>
      <c r="D151" s="4" t="s">
        <v>130</v>
      </c>
      <c r="E151" s="19">
        <v>29000</v>
      </c>
      <c r="F151" s="29">
        <f>+VLOOKUP(B151,Distribuidor!$B$7:$D$533,3,0)</f>
        <v>20000</v>
      </c>
      <c r="G151" s="29">
        <f>+E151-F151</f>
        <v>9000</v>
      </c>
      <c r="H151" s="29"/>
      <c r="I151" s="29">
        <v>12000</v>
      </c>
      <c r="J151" s="29">
        <f>+E151*1.4</f>
        <v>40600</v>
      </c>
      <c r="K151" s="29">
        <f>+J151+I151</f>
        <v>52600</v>
      </c>
    </row>
    <row r="152" spans="1:16" ht="13" hidden="1" x14ac:dyDescent="0.25">
      <c r="A152" s="26">
        <f>+A151+1</f>
        <v>146</v>
      </c>
      <c r="B152" s="4" t="s">
        <v>131</v>
      </c>
      <c r="C152" s="7"/>
      <c r="D152" s="4" t="s">
        <v>130</v>
      </c>
      <c r="E152" s="19">
        <v>29000</v>
      </c>
      <c r="F152" s="29">
        <f>+VLOOKUP(B152,Distribuidor!$B$7:$D$533,3,0)</f>
        <v>20000</v>
      </c>
      <c r="G152" s="29">
        <f>+E152-F152</f>
        <v>9000</v>
      </c>
      <c r="H152" s="29"/>
      <c r="I152" s="29">
        <v>12000</v>
      </c>
      <c r="J152" s="29">
        <f>+E152*1.4</f>
        <v>40600</v>
      </c>
      <c r="K152" s="29">
        <f>+J152+I152</f>
        <v>52600</v>
      </c>
    </row>
    <row r="153" spans="1:16" ht="13" hidden="1" x14ac:dyDescent="0.25">
      <c r="A153" s="26">
        <f>+A152+1</f>
        <v>147</v>
      </c>
      <c r="B153" s="39" t="s">
        <v>524</v>
      </c>
      <c r="C153" s="7" t="s">
        <v>618</v>
      </c>
      <c r="D153" s="4" t="s">
        <v>516</v>
      </c>
      <c r="E153" s="19">
        <v>29000</v>
      </c>
      <c r="F153" s="29">
        <f>+VLOOKUP(B153,Distribuidor!$B$7:$D$533,3,0)</f>
        <v>19900</v>
      </c>
      <c r="G153" s="29">
        <f>+E153-F153</f>
        <v>9100</v>
      </c>
      <c r="H153" s="29">
        <f>+G153*L153</f>
        <v>45500</v>
      </c>
      <c r="I153" s="29">
        <v>12000</v>
      </c>
      <c r="J153" s="29">
        <f>+E153*1.4</f>
        <v>40600</v>
      </c>
      <c r="K153" s="29">
        <f>+J153+I153</f>
        <v>52600</v>
      </c>
      <c r="L153" s="1">
        <v>5</v>
      </c>
      <c r="M153" s="29">
        <f>+J153*L153</f>
        <v>203000</v>
      </c>
      <c r="N153" s="29">
        <v>29900</v>
      </c>
      <c r="O153" s="29">
        <f>9000+N153</f>
        <v>38900</v>
      </c>
      <c r="P153" s="37">
        <f>+O153-K153</f>
        <v>-13700</v>
      </c>
    </row>
    <row r="154" spans="1:16" ht="13" hidden="1" x14ac:dyDescent="0.25">
      <c r="A154" s="26">
        <f>+A153+1</f>
        <v>148</v>
      </c>
      <c r="B154" s="2" t="s">
        <v>96</v>
      </c>
      <c r="C154" s="7"/>
      <c r="D154" s="4" t="s">
        <v>1</v>
      </c>
      <c r="E154" s="19">
        <v>29000</v>
      </c>
      <c r="F154" s="29">
        <f>+VLOOKUP(B154,Distribuidor!$B$7:$D$533,3,0)</f>
        <v>20000</v>
      </c>
      <c r="G154" s="29">
        <f>+E154-F154</f>
        <v>9000</v>
      </c>
      <c r="H154" s="29"/>
      <c r="I154" s="29">
        <v>12000</v>
      </c>
      <c r="J154" s="29">
        <f>+E154*1.4</f>
        <v>40600</v>
      </c>
      <c r="K154" s="29">
        <f>+J154+I154</f>
        <v>52600</v>
      </c>
    </row>
    <row r="155" spans="1:16" ht="13" hidden="1" x14ac:dyDescent="0.25">
      <c r="A155" s="26">
        <f>+A154+1</f>
        <v>149</v>
      </c>
      <c r="B155" s="4" t="s">
        <v>174</v>
      </c>
      <c r="C155" s="7"/>
      <c r="D155" s="4" t="s">
        <v>14</v>
      </c>
      <c r="E155" s="19">
        <v>29000</v>
      </c>
      <c r="F155" s="29">
        <f>+VLOOKUP(B155,Distribuidor!$B$7:$D$533,3,0)</f>
        <v>20000</v>
      </c>
      <c r="G155" s="29">
        <f>+E155-F155</f>
        <v>9000</v>
      </c>
      <c r="H155" s="29"/>
      <c r="I155" s="29">
        <v>12000</v>
      </c>
      <c r="J155" s="29">
        <f>+E155*1.4</f>
        <v>40600</v>
      </c>
      <c r="K155" s="29">
        <f>+J155+I155</f>
        <v>52600</v>
      </c>
    </row>
    <row r="156" spans="1:16" ht="13" hidden="1" x14ac:dyDescent="0.25">
      <c r="A156" s="26">
        <f>+A155+1</f>
        <v>150</v>
      </c>
      <c r="B156" s="4" t="s">
        <v>170</v>
      </c>
      <c r="C156" s="7"/>
      <c r="D156" s="4" t="s">
        <v>164</v>
      </c>
      <c r="E156" s="19">
        <v>28000</v>
      </c>
      <c r="F156" s="29">
        <f>+VLOOKUP(B156,Distribuidor!$B$7:$D$533,3,0)</f>
        <v>19600</v>
      </c>
      <c r="G156" s="29">
        <f>+E156-F156</f>
        <v>8400</v>
      </c>
      <c r="H156" s="29"/>
      <c r="I156" s="29">
        <v>12000</v>
      </c>
      <c r="J156" s="29">
        <f>+E156*1.4</f>
        <v>39200</v>
      </c>
      <c r="K156" s="29">
        <f>+J156+I156</f>
        <v>51200</v>
      </c>
    </row>
    <row r="157" spans="1:16" ht="13" hidden="1" x14ac:dyDescent="0.25">
      <c r="A157" s="26">
        <f>+A156+1</f>
        <v>151</v>
      </c>
      <c r="B157" s="38" t="s">
        <v>565</v>
      </c>
      <c r="C157" s="7" t="s">
        <v>618</v>
      </c>
      <c r="D157" s="4" t="s">
        <v>113</v>
      </c>
      <c r="E157" s="19">
        <v>28000</v>
      </c>
      <c r="F157" s="29">
        <f>+VLOOKUP(B157,Distribuidor!$B$7:$D$533,3,0)</f>
        <v>19500</v>
      </c>
      <c r="G157" s="29">
        <f>+E157-F157</f>
        <v>8500</v>
      </c>
      <c r="H157" s="29">
        <f>+G157*L157</f>
        <v>42500</v>
      </c>
      <c r="I157" s="29">
        <v>12000</v>
      </c>
      <c r="J157" s="29">
        <f>+E157*1.4</f>
        <v>39200</v>
      </c>
      <c r="K157" s="29">
        <f>+J157+I157</f>
        <v>51200</v>
      </c>
      <c r="L157" s="1">
        <v>5</v>
      </c>
      <c r="M157" s="29">
        <f>+J157*L157</f>
        <v>196000</v>
      </c>
      <c r="N157" s="29">
        <v>32000</v>
      </c>
      <c r="O157" s="29">
        <f>9000+N157</f>
        <v>41000</v>
      </c>
      <c r="P157" s="37">
        <f>+O157-K157</f>
        <v>-10200</v>
      </c>
    </row>
    <row r="158" spans="1:16" ht="13" hidden="1" x14ac:dyDescent="0.25">
      <c r="A158" s="26">
        <f>+A157+1</f>
        <v>152</v>
      </c>
      <c r="B158" s="2" t="s">
        <v>462</v>
      </c>
      <c r="C158" s="7"/>
      <c r="D158" s="4" t="s">
        <v>468</v>
      </c>
      <c r="E158" s="19">
        <v>28000</v>
      </c>
      <c r="F158" s="29">
        <f>+VLOOKUP(B158,Distribuidor!$B$7:$D$533,3,0)</f>
        <v>19100</v>
      </c>
      <c r="G158" s="29">
        <f>+E158-F158</f>
        <v>8900</v>
      </c>
      <c r="H158" s="29"/>
      <c r="I158" s="29">
        <v>12000</v>
      </c>
      <c r="J158" s="29">
        <f>+E158*1.4</f>
        <v>39200</v>
      </c>
      <c r="K158" s="29">
        <f>+J158+I158</f>
        <v>51200</v>
      </c>
    </row>
    <row r="159" spans="1:16" ht="13" hidden="1" x14ac:dyDescent="0.25">
      <c r="A159" s="26">
        <f>+A158+1</f>
        <v>153</v>
      </c>
      <c r="B159" s="2" t="s">
        <v>458</v>
      </c>
      <c r="C159" s="7"/>
      <c r="D159" s="4" t="s">
        <v>468</v>
      </c>
      <c r="E159" s="19">
        <v>28000</v>
      </c>
      <c r="F159" s="29">
        <f>+VLOOKUP(B159,Distribuidor!$B$7:$D$533,3,0)</f>
        <v>19600</v>
      </c>
      <c r="G159" s="29">
        <f>+E159-F159</f>
        <v>8400</v>
      </c>
      <c r="H159" s="29"/>
      <c r="I159" s="29">
        <v>12000</v>
      </c>
      <c r="J159" s="29">
        <f>+E159*1.4</f>
        <v>39200</v>
      </c>
      <c r="K159" s="29">
        <f>+J159+I159</f>
        <v>51200</v>
      </c>
    </row>
    <row r="160" spans="1:16" ht="13" hidden="1" x14ac:dyDescent="0.25">
      <c r="A160" s="26">
        <f>+A159+1</f>
        <v>154</v>
      </c>
      <c r="B160" s="38" t="s">
        <v>218</v>
      </c>
      <c r="C160" s="7" t="s">
        <v>618</v>
      </c>
      <c r="D160" s="4" t="s">
        <v>2</v>
      </c>
      <c r="E160" s="19">
        <v>28000</v>
      </c>
      <c r="F160" s="29">
        <f>+VLOOKUP(B160,Distribuidor!$B$7:$D$533,3,0)</f>
        <v>19500</v>
      </c>
      <c r="G160" s="29">
        <f>+E160-F160</f>
        <v>8500</v>
      </c>
      <c r="H160" s="29">
        <f>+G160*L160</f>
        <v>42500</v>
      </c>
      <c r="I160" s="29">
        <v>12000</v>
      </c>
      <c r="J160" s="29">
        <f>+E160*1.4</f>
        <v>39200</v>
      </c>
      <c r="K160" s="29">
        <f>+J160+I160</f>
        <v>51200</v>
      </c>
      <c r="L160" s="1">
        <v>5</v>
      </c>
      <c r="M160" s="29">
        <f>+J160*L160</f>
        <v>196000</v>
      </c>
      <c r="N160" s="29">
        <v>30000</v>
      </c>
      <c r="O160" s="29">
        <f>9000+N160</f>
        <v>39000</v>
      </c>
      <c r="P160" s="37">
        <f>+O160-K160</f>
        <v>-12200</v>
      </c>
    </row>
    <row r="161" spans="1:16" ht="13" hidden="1" x14ac:dyDescent="0.25">
      <c r="A161" s="26">
        <f>+A160+1</f>
        <v>155</v>
      </c>
      <c r="B161" s="4" t="s">
        <v>191</v>
      </c>
      <c r="C161" s="7"/>
      <c r="D161" s="4" t="s">
        <v>3</v>
      </c>
      <c r="E161" s="19">
        <v>28000</v>
      </c>
      <c r="F161" s="29">
        <f>+VLOOKUP(B161,Distribuidor!$B$7:$D$533,3,0)</f>
        <v>19000</v>
      </c>
      <c r="G161" s="29">
        <f>+E161-F161</f>
        <v>9000</v>
      </c>
      <c r="H161" s="29"/>
      <c r="I161" s="29">
        <v>12000</v>
      </c>
      <c r="J161" s="29">
        <f>+E161*1.4</f>
        <v>39200</v>
      </c>
      <c r="K161" s="29">
        <f>+J161+I161</f>
        <v>51200</v>
      </c>
    </row>
    <row r="162" spans="1:16" ht="13" hidden="1" x14ac:dyDescent="0.25">
      <c r="A162" s="26">
        <f>+A161+1</f>
        <v>156</v>
      </c>
      <c r="B162" s="4" t="s">
        <v>374</v>
      </c>
      <c r="C162" s="7"/>
      <c r="D162" s="4" t="s">
        <v>22</v>
      </c>
      <c r="E162" s="19">
        <v>28000</v>
      </c>
      <c r="F162" s="29">
        <f>+VLOOKUP(B162,Distribuidor!$B$7:$D$533,3,0)</f>
        <v>19500</v>
      </c>
      <c r="G162" s="29">
        <f>+E162-F162</f>
        <v>8500</v>
      </c>
      <c r="H162" s="29"/>
      <c r="I162" s="29">
        <v>12000</v>
      </c>
      <c r="J162" s="29">
        <f>+E162*1.4</f>
        <v>39200</v>
      </c>
      <c r="K162" s="29">
        <f>+J162+I162</f>
        <v>51200</v>
      </c>
    </row>
    <row r="163" spans="1:16" ht="13" hidden="1" x14ac:dyDescent="0.25">
      <c r="A163" s="26">
        <f>+A162+1</f>
        <v>157</v>
      </c>
      <c r="B163" s="2" t="s">
        <v>107</v>
      </c>
      <c r="C163" s="7"/>
      <c r="D163" s="4" t="s">
        <v>29</v>
      </c>
      <c r="E163" s="19">
        <v>28000</v>
      </c>
      <c r="F163" s="29">
        <f>+VLOOKUP(B163,Distribuidor!$B$7:$D$533,3,0)</f>
        <v>19100</v>
      </c>
      <c r="G163" s="29">
        <f>+E163-F163</f>
        <v>8900</v>
      </c>
      <c r="H163" s="29"/>
      <c r="I163" s="29">
        <v>12000</v>
      </c>
      <c r="J163" s="29">
        <f>+E163*1.4</f>
        <v>39200</v>
      </c>
      <c r="K163" s="29">
        <f>+J163+I163</f>
        <v>51200</v>
      </c>
    </row>
    <row r="164" spans="1:16" ht="13" x14ac:dyDescent="0.25">
      <c r="A164" s="26">
        <f>+A163+1</f>
        <v>158</v>
      </c>
      <c r="B164" s="4" t="s">
        <v>419</v>
      </c>
      <c r="C164" s="7" t="s">
        <v>618</v>
      </c>
      <c r="D164" s="4" t="s">
        <v>468</v>
      </c>
      <c r="E164" s="19">
        <v>27000</v>
      </c>
      <c r="F164" s="29">
        <f>+VLOOKUP(B164,Distribuidor!$B$7:$D$533,3,0)</f>
        <v>18900</v>
      </c>
      <c r="G164" s="29">
        <f>+E164-F164</f>
        <v>8100</v>
      </c>
      <c r="H164" s="29">
        <f>+G164*L164</f>
        <v>40500</v>
      </c>
      <c r="I164" s="29">
        <v>12000</v>
      </c>
      <c r="J164" s="29">
        <f>+E164*1.4</f>
        <v>37800</v>
      </c>
      <c r="K164" s="29">
        <f>+J164+I164</f>
        <v>49800</v>
      </c>
      <c r="L164" s="1">
        <v>5</v>
      </c>
      <c r="M164" s="29">
        <f>+J164*L164</f>
        <v>189000</v>
      </c>
      <c r="N164" s="29">
        <v>45000</v>
      </c>
      <c r="O164" s="29">
        <f>9000+N164</f>
        <v>54000</v>
      </c>
      <c r="P164" s="37">
        <f>+O164-K164</f>
        <v>4200</v>
      </c>
    </row>
    <row r="165" spans="1:16" ht="13" hidden="1" x14ac:dyDescent="0.25">
      <c r="A165" s="26">
        <f>+A164+1</f>
        <v>159</v>
      </c>
      <c r="B165" s="2" t="s">
        <v>541</v>
      </c>
      <c r="C165" s="7"/>
      <c r="D165" s="4" t="s">
        <v>468</v>
      </c>
      <c r="E165" s="19">
        <v>27000</v>
      </c>
      <c r="F165" s="29">
        <f>+VLOOKUP(B165,Distribuidor!$B$7:$D$533,3,0)</f>
        <v>18500</v>
      </c>
      <c r="G165" s="29">
        <f>+E165-F165</f>
        <v>8500</v>
      </c>
      <c r="H165" s="29"/>
      <c r="I165" s="29">
        <v>12000</v>
      </c>
      <c r="J165" s="29">
        <f>+E165*1.4</f>
        <v>37800</v>
      </c>
      <c r="K165" s="29">
        <f>+J165+I165</f>
        <v>49800</v>
      </c>
    </row>
    <row r="166" spans="1:16" ht="13" hidden="1" x14ac:dyDescent="0.25">
      <c r="A166" s="26">
        <f>+A165+1</f>
        <v>160</v>
      </c>
      <c r="B166" s="2" t="s">
        <v>503</v>
      </c>
      <c r="C166" s="7"/>
      <c r="D166" s="4" t="s">
        <v>485</v>
      </c>
      <c r="E166" s="19">
        <v>27000</v>
      </c>
      <c r="F166" s="29">
        <f>+VLOOKUP(B166,Distribuidor!$B$7:$D$533,3,0)</f>
        <v>18500</v>
      </c>
      <c r="G166" s="29">
        <f>+E166-F166</f>
        <v>8500</v>
      </c>
      <c r="H166" s="29"/>
      <c r="I166" s="29">
        <v>12000</v>
      </c>
      <c r="J166" s="29">
        <f>+E166*1.4</f>
        <v>37800</v>
      </c>
      <c r="K166" s="29">
        <f>+J166+I166</f>
        <v>49800</v>
      </c>
    </row>
    <row r="167" spans="1:16" ht="13" hidden="1" x14ac:dyDescent="0.25">
      <c r="A167" s="26">
        <f>+A166+1</f>
        <v>161</v>
      </c>
      <c r="B167" s="2" t="s">
        <v>493</v>
      </c>
      <c r="C167" s="7"/>
      <c r="D167" s="4" t="s">
        <v>485</v>
      </c>
      <c r="E167" s="19">
        <v>27000</v>
      </c>
      <c r="F167" s="29">
        <f>+VLOOKUP(B167,Distribuidor!$B$7:$D$533,3,0)</f>
        <v>18500</v>
      </c>
      <c r="G167" s="29">
        <f>+E167-F167</f>
        <v>8500</v>
      </c>
      <c r="H167" s="29"/>
      <c r="I167" s="29">
        <v>12000</v>
      </c>
      <c r="J167" s="29">
        <f>+E167*1.4</f>
        <v>37800</v>
      </c>
      <c r="K167" s="29">
        <f>+J167+I167</f>
        <v>49800</v>
      </c>
    </row>
    <row r="168" spans="1:16" ht="13" hidden="1" x14ac:dyDescent="0.25">
      <c r="A168" s="26">
        <f>+A167+1</f>
        <v>162</v>
      </c>
      <c r="B168" s="2" t="s">
        <v>294</v>
      </c>
      <c r="C168" s="7"/>
      <c r="D168" s="4" t="s">
        <v>478</v>
      </c>
      <c r="E168" s="19">
        <v>27000</v>
      </c>
      <c r="F168" s="29">
        <f>+VLOOKUP(B168,Distribuidor!$B$7:$D$533,3,0)</f>
        <v>18900</v>
      </c>
      <c r="G168" s="29">
        <f>+E168-F168</f>
        <v>8100</v>
      </c>
      <c r="H168" s="29"/>
      <c r="I168" s="29">
        <v>12000</v>
      </c>
      <c r="J168" s="29">
        <f>+E168*1.4</f>
        <v>37800</v>
      </c>
      <c r="K168" s="29">
        <f>+J168+I168</f>
        <v>49800</v>
      </c>
    </row>
    <row r="169" spans="1:16" ht="13" hidden="1" x14ac:dyDescent="0.25">
      <c r="A169" s="26">
        <f>+A168+1</f>
        <v>163</v>
      </c>
      <c r="B169" s="4" t="s">
        <v>256</v>
      </c>
      <c r="C169" s="7"/>
      <c r="D169" s="4" t="s">
        <v>117</v>
      </c>
      <c r="E169" s="19">
        <v>26000</v>
      </c>
      <c r="F169" s="29">
        <f>+VLOOKUP(B169,Distribuidor!$B$7:$D$533,3,0)</f>
        <v>17900</v>
      </c>
      <c r="G169" s="29">
        <f>+E169-F169</f>
        <v>8100</v>
      </c>
      <c r="H169" s="29"/>
      <c r="I169" s="29">
        <v>12000</v>
      </c>
      <c r="J169" s="29">
        <f>+E169*1.4</f>
        <v>36400</v>
      </c>
      <c r="K169" s="29">
        <f>+J169+I169</f>
        <v>48400</v>
      </c>
    </row>
    <row r="170" spans="1:16" ht="13" hidden="1" x14ac:dyDescent="0.25">
      <c r="A170" s="26">
        <f>+A169+1</f>
        <v>164</v>
      </c>
      <c r="B170" s="39" t="s">
        <v>129</v>
      </c>
      <c r="C170" s="7" t="s">
        <v>618</v>
      </c>
      <c r="D170" s="4" t="s">
        <v>117</v>
      </c>
      <c r="E170" s="19">
        <v>26000</v>
      </c>
      <c r="F170" s="29">
        <f>+VLOOKUP(B170,Distribuidor!$B$7:$D$533,3,0)</f>
        <v>17900</v>
      </c>
      <c r="G170" s="29">
        <f>+E170-F170</f>
        <v>8100</v>
      </c>
      <c r="H170" s="29">
        <f>+G170*L170</f>
        <v>40500</v>
      </c>
      <c r="I170" s="29">
        <v>12000</v>
      </c>
      <c r="J170" s="29">
        <f>+E170*1.4</f>
        <v>36400</v>
      </c>
      <c r="K170" s="29">
        <f>+J170+I170</f>
        <v>48400</v>
      </c>
      <c r="L170" s="1">
        <v>5</v>
      </c>
      <c r="M170" s="29">
        <f>+J170*L170</f>
        <v>182000</v>
      </c>
      <c r="N170" s="29">
        <v>26300</v>
      </c>
      <c r="O170" s="29">
        <f>9000+N170</f>
        <v>35300</v>
      </c>
      <c r="P170" s="37">
        <f>+O170-K170</f>
        <v>-13100</v>
      </c>
    </row>
    <row r="171" spans="1:16" ht="13" hidden="1" x14ac:dyDescent="0.25">
      <c r="A171" s="26">
        <f>+A170+1</f>
        <v>165</v>
      </c>
      <c r="B171" s="4" t="s">
        <v>430</v>
      </c>
      <c r="C171" s="7"/>
      <c r="D171" s="4" t="s">
        <v>468</v>
      </c>
      <c r="E171" s="19">
        <v>26000</v>
      </c>
      <c r="F171" s="29">
        <f>+VLOOKUP(B171,Distribuidor!$B$7:$D$533,3,0)</f>
        <v>18000</v>
      </c>
      <c r="G171" s="29">
        <f>+E171-F171</f>
        <v>8000</v>
      </c>
      <c r="H171" s="29"/>
      <c r="I171" s="29">
        <v>12000</v>
      </c>
      <c r="J171" s="29">
        <f>+E171*1.4</f>
        <v>36400</v>
      </c>
      <c r="K171" s="29">
        <f>+J171+I171</f>
        <v>48400</v>
      </c>
    </row>
    <row r="172" spans="1:16" ht="13" hidden="1" x14ac:dyDescent="0.25">
      <c r="A172" s="26">
        <f>+A171+1</f>
        <v>166</v>
      </c>
      <c r="B172" s="2" t="s">
        <v>392</v>
      </c>
      <c r="C172" s="7"/>
      <c r="D172" s="4" t="s">
        <v>103</v>
      </c>
      <c r="E172" s="19">
        <v>26000</v>
      </c>
      <c r="F172" s="29">
        <f>+VLOOKUP(B172,Distribuidor!$B$7:$D$533,3,0)</f>
        <v>18000</v>
      </c>
      <c r="G172" s="29">
        <f>+E172-F172</f>
        <v>8000</v>
      </c>
      <c r="H172" s="29"/>
      <c r="I172" s="29">
        <v>12000</v>
      </c>
      <c r="J172" s="29">
        <f>+E172*1.4</f>
        <v>36400</v>
      </c>
      <c r="K172" s="29">
        <f>+J172+I172</f>
        <v>48400</v>
      </c>
    </row>
    <row r="173" spans="1:16" ht="13" hidden="1" x14ac:dyDescent="0.25">
      <c r="A173" s="26">
        <f>+A172+1</f>
        <v>167</v>
      </c>
      <c r="B173" s="2" t="s">
        <v>36</v>
      </c>
      <c r="C173" s="7"/>
      <c r="D173" s="4" t="s">
        <v>29</v>
      </c>
      <c r="E173" s="19">
        <v>26000</v>
      </c>
      <c r="F173" s="29">
        <f>+VLOOKUP(B173,Distribuidor!$B$7:$D$533,3,0)</f>
        <v>18000</v>
      </c>
      <c r="G173" s="29">
        <f>+E173-F173</f>
        <v>8000</v>
      </c>
      <c r="H173" s="29"/>
      <c r="I173" s="29">
        <v>12000</v>
      </c>
      <c r="J173" s="29">
        <f>+E173*1.4</f>
        <v>36400</v>
      </c>
      <c r="K173" s="29">
        <f>+J173+I173</f>
        <v>48400</v>
      </c>
    </row>
    <row r="174" spans="1:16" ht="13" x14ac:dyDescent="0.25">
      <c r="A174" s="26">
        <f>+A173+1</f>
        <v>168</v>
      </c>
      <c r="B174" s="2" t="s">
        <v>517</v>
      </c>
      <c r="C174" s="7" t="s">
        <v>618</v>
      </c>
      <c r="D174" s="4" t="s">
        <v>516</v>
      </c>
      <c r="E174" s="19">
        <v>26000</v>
      </c>
      <c r="F174" s="29">
        <f>+VLOOKUP(B174,Distribuidor!$B$7:$D$533,3,0)</f>
        <v>18000</v>
      </c>
      <c r="G174" s="29">
        <f>+E174-F174</f>
        <v>8000</v>
      </c>
      <c r="H174" s="29">
        <f>+G174*L174</f>
        <v>40000</v>
      </c>
      <c r="I174" s="29">
        <v>12000</v>
      </c>
      <c r="J174" s="29">
        <f>+E174*1.4</f>
        <v>36400</v>
      </c>
      <c r="K174" s="29">
        <f>+J174+I174</f>
        <v>48400</v>
      </c>
      <c r="L174" s="1">
        <v>5</v>
      </c>
      <c r="M174" s="29">
        <f>+J174*L174</f>
        <v>182000</v>
      </c>
      <c r="N174" s="29">
        <v>32000</v>
      </c>
      <c r="O174" s="29">
        <f>9000+N174</f>
        <v>41000</v>
      </c>
      <c r="P174" s="37">
        <f>+O174-K174</f>
        <v>-7400</v>
      </c>
    </row>
    <row r="175" spans="1:16" ht="13" hidden="1" x14ac:dyDescent="0.25">
      <c r="A175" s="26">
        <f>+A174+1</f>
        <v>169</v>
      </c>
      <c r="B175" s="2" t="s">
        <v>210</v>
      </c>
      <c r="C175" s="7"/>
      <c r="D175" s="4" t="s">
        <v>1</v>
      </c>
      <c r="E175" s="19">
        <v>26000</v>
      </c>
      <c r="F175" s="29">
        <f>+VLOOKUP(B175,Distribuidor!$B$7:$D$533,3,0)</f>
        <v>18000</v>
      </c>
      <c r="G175" s="29">
        <f>+E175-F175</f>
        <v>8000</v>
      </c>
      <c r="H175" s="29"/>
      <c r="I175" s="29">
        <v>12000</v>
      </c>
      <c r="J175" s="29">
        <f>+E175*1.4</f>
        <v>36400</v>
      </c>
      <c r="K175" s="29">
        <f>+J175+I175</f>
        <v>48400</v>
      </c>
    </row>
    <row r="176" spans="1:16" ht="13" hidden="1" x14ac:dyDescent="0.25">
      <c r="A176" s="26">
        <f>+A175+1</f>
        <v>170</v>
      </c>
      <c r="B176" s="2" t="s">
        <v>211</v>
      </c>
      <c r="C176" s="7"/>
      <c r="D176" s="4" t="s">
        <v>14</v>
      </c>
      <c r="E176" s="19">
        <v>26000</v>
      </c>
      <c r="F176" s="29">
        <f>+VLOOKUP(B176,Distribuidor!$B$7:$D$533,3,0)</f>
        <v>15500</v>
      </c>
      <c r="G176" s="29">
        <f>+E176-F176</f>
        <v>10500</v>
      </c>
      <c r="H176" s="29"/>
      <c r="I176" s="29">
        <v>12000</v>
      </c>
      <c r="J176" s="29">
        <f>+E176*1.4</f>
        <v>36400</v>
      </c>
      <c r="K176" s="29">
        <f>+J176+I176</f>
        <v>48400</v>
      </c>
    </row>
    <row r="177" spans="1:16" ht="13" hidden="1" x14ac:dyDescent="0.25">
      <c r="A177" s="26">
        <f>+A176+1</f>
        <v>171</v>
      </c>
      <c r="B177" s="2" t="s">
        <v>259</v>
      </c>
      <c r="C177" s="7"/>
      <c r="D177" s="4" t="s">
        <v>5</v>
      </c>
      <c r="E177" s="19">
        <v>25000</v>
      </c>
      <c r="F177" s="29">
        <f>+VLOOKUP(B177,Distribuidor!$B$7:$D$533,3,0)</f>
        <v>17000</v>
      </c>
      <c r="G177" s="29">
        <f>+E177-F177</f>
        <v>8000</v>
      </c>
      <c r="H177" s="29"/>
      <c r="I177" s="29">
        <v>12000</v>
      </c>
      <c r="J177" s="29">
        <f>+E177*1.4</f>
        <v>35000</v>
      </c>
      <c r="K177" s="29">
        <f>+J177+I177</f>
        <v>47000</v>
      </c>
    </row>
    <row r="178" spans="1:16" ht="13" hidden="1" x14ac:dyDescent="0.25">
      <c r="A178" s="26">
        <f>+A177+1</f>
        <v>172</v>
      </c>
      <c r="B178" s="2" t="s">
        <v>212</v>
      </c>
      <c r="C178" s="7"/>
      <c r="D178" s="4" t="s">
        <v>5</v>
      </c>
      <c r="E178" s="19">
        <v>25000</v>
      </c>
      <c r="F178" s="29">
        <f>+VLOOKUP(B178,Distribuidor!$B$7:$D$533,3,0)</f>
        <v>17000</v>
      </c>
      <c r="G178" s="29">
        <f>+E178-F178</f>
        <v>8000</v>
      </c>
      <c r="H178" s="29"/>
      <c r="I178" s="29">
        <v>12000</v>
      </c>
      <c r="J178" s="29">
        <f>+E178*1.4</f>
        <v>35000</v>
      </c>
      <c r="K178" s="29">
        <f>+J178+I178</f>
        <v>47000</v>
      </c>
    </row>
    <row r="179" spans="1:16" ht="13" hidden="1" x14ac:dyDescent="0.25">
      <c r="A179" s="26">
        <f>+A178+1</f>
        <v>173</v>
      </c>
      <c r="B179" s="4" t="s">
        <v>66</v>
      </c>
      <c r="C179" s="7"/>
      <c r="D179" s="4" t="s">
        <v>5</v>
      </c>
      <c r="E179" s="19">
        <v>25000</v>
      </c>
      <c r="F179" s="29">
        <f>+VLOOKUP(B179,Distribuidor!$B$7:$D$533,3,0)</f>
        <v>17000</v>
      </c>
      <c r="G179" s="29">
        <f>+E179-F179</f>
        <v>8000</v>
      </c>
      <c r="H179" s="29"/>
      <c r="I179" s="29">
        <v>12000</v>
      </c>
      <c r="J179" s="29">
        <f>+E179*1.4</f>
        <v>35000</v>
      </c>
      <c r="K179" s="29">
        <f>+J179+I179</f>
        <v>47000</v>
      </c>
    </row>
    <row r="180" spans="1:16" ht="13" hidden="1" x14ac:dyDescent="0.25">
      <c r="A180" s="26">
        <f>+A179+1</f>
        <v>174</v>
      </c>
      <c r="B180" s="4" t="s">
        <v>106</v>
      </c>
      <c r="C180" s="7"/>
      <c r="D180" s="4" t="s">
        <v>5</v>
      </c>
      <c r="E180" s="19">
        <v>25000</v>
      </c>
      <c r="F180" s="29">
        <f>+VLOOKUP(B180,Distribuidor!$B$7:$D$533,3,0)</f>
        <v>17000</v>
      </c>
      <c r="G180" s="29">
        <f>+E180-F180</f>
        <v>8000</v>
      </c>
      <c r="H180" s="29"/>
      <c r="I180" s="29">
        <v>12000</v>
      </c>
      <c r="J180" s="29">
        <f>+E180*1.4</f>
        <v>35000</v>
      </c>
      <c r="K180" s="29">
        <f>+J180+I180</f>
        <v>47000</v>
      </c>
    </row>
    <row r="181" spans="1:16" ht="13" hidden="1" x14ac:dyDescent="0.25">
      <c r="A181" s="26">
        <f>+A180+1</f>
        <v>175</v>
      </c>
      <c r="B181" s="4" t="s">
        <v>190</v>
      </c>
      <c r="C181" s="7"/>
      <c r="D181" s="4" t="s">
        <v>5</v>
      </c>
      <c r="E181" s="19">
        <v>25000</v>
      </c>
      <c r="F181" s="29">
        <f>+VLOOKUP(B181,Distribuidor!$B$7:$D$533,3,0)</f>
        <v>17000</v>
      </c>
      <c r="G181" s="29">
        <f>+E181-F181</f>
        <v>8000</v>
      </c>
      <c r="H181" s="29"/>
      <c r="I181" s="29">
        <v>12000</v>
      </c>
      <c r="J181" s="29">
        <f>+E181*1.4</f>
        <v>35000</v>
      </c>
      <c r="K181" s="29">
        <f>+J181+I181</f>
        <v>47000</v>
      </c>
    </row>
    <row r="182" spans="1:16" ht="13" hidden="1" x14ac:dyDescent="0.25">
      <c r="A182" s="26">
        <f>+A181+1</f>
        <v>176</v>
      </c>
      <c r="B182" s="4" t="s">
        <v>128</v>
      </c>
      <c r="C182" s="7"/>
      <c r="D182" s="4" t="s">
        <v>5</v>
      </c>
      <c r="E182" s="19">
        <v>25000</v>
      </c>
      <c r="F182" s="29">
        <f>+VLOOKUP(B182,Distribuidor!$B$7:$D$533,3,0)</f>
        <v>17000</v>
      </c>
      <c r="G182" s="29">
        <f>+E182-F182</f>
        <v>8000</v>
      </c>
      <c r="H182" s="29"/>
      <c r="I182" s="29">
        <v>12000</v>
      </c>
      <c r="J182" s="29">
        <f>+E182*1.4</f>
        <v>35000</v>
      </c>
      <c r="K182" s="29">
        <f>+J182+I182</f>
        <v>47000</v>
      </c>
    </row>
    <row r="183" spans="1:16" ht="13" hidden="1" x14ac:dyDescent="0.25">
      <c r="A183" s="26">
        <f>+A182+1</f>
        <v>177</v>
      </c>
      <c r="B183" s="4" t="s">
        <v>67</v>
      </c>
      <c r="C183" s="7"/>
      <c r="D183" s="4" t="s">
        <v>5</v>
      </c>
      <c r="E183" s="19">
        <v>25000</v>
      </c>
      <c r="F183" s="29">
        <f>+VLOOKUP(B183,Distribuidor!$B$7:$D$533,3,0)</f>
        <v>17000</v>
      </c>
      <c r="G183" s="29">
        <f>+E183-F183</f>
        <v>8000</v>
      </c>
      <c r="H183" s="29"/>
      <c r="I183" s="29">
        <v>12000</v>
      </c>
      <c r="J183" s="29">
        <f>+E183*1.4</f>
        <v>35000</v>
      </c>
      <c r="K183" s="29">
        <f>+J183+I183</f>
        <v>47000</v>
      </c>
    </row>
    <row r="184" spans="1:16" ht="13" hidden="1" x14ac:dyDescent="0.25">
      <c r="A184" s="26">
        <f>+A183+1</f>
        <v>178</v>
      </c>
      <c r="B184" s="4" t="s">
        <v>68</v>
      </c>
      <c r="C184" s="7"/>
      <c r="D184" s="4" t="s">
        <v>5</v>
      </c>
      <c r="E184" s="19">
        <v>25000</v>
      </c>
      <c r="F184" s="29">
        <f>+VLOOKUP(B184,Distribuidor!$B$7:$D$533,3,0)</f>
        <v>17000</v>
      </c>
      <c r="G184" s="29">
        <f>+E184-F184</f>
        <v>8000</v>
      </c>
      <c r="H184" s="29"/>
      <c r="I184" s="29">
        <v>12000</v>
      </c>
      <c r="J184" s="29">
        <f>+E184*1.4</f>
        <v>35000</v>
      </c>
      <c r="K184" s="29">
        <f>+J184+I184</f>
        <v>47000</v>
      </c>
    </row>
    <row r="185" spans="1:16" ht="13" hidden="1" x14ac:dyDescent="0.25">
      <c r="A185" s="26">
        <f>+A184+1</f>
        <v>179</v>
      </c>
      <c r="B185" s="4" t="s">
        <v>213</v>
      </c>
      <c r="C185" s="7"/>
      <c r="D185" s="4" t="s">
        <v>5</v>
      </c>
      <c r="E185" s="19">
        <v>25000</v>
      </c>
      <c r="F185" s="29">
        <f>+VLOOKUP(B185,Distribuidor!$B$7:$D$533,3,0)</f>
        <v>17000</v>
      </c>
      <c r="G185" s="29">
        <f>+E185-F185</f>
        <v>8000</v>
      </c>
      <c r="H185" s="29"/>
      <c r="I185" s="29">
        <v>12000</v>
      </c>
      <c r="J185" s="29">
        <f>+E185*1.4</f>
        <v>35000</v>
      </c>
      <c r="K185" s="29">
        <f>+J185+I185</f>
        <v>47000</v>
      </c>
    </row>
    <row r="186" spans="1:16" ht="13" hidden="1" x14ac:dyDescent="0.25">
      <c r="A186" s="26">
        <f>+A185+1</f>
        <v>180</v>
      </c>
      <c r="B186" s="4" t="s">
        <v>69</v>
      </c>
      <c r="C186" s="7"/>
      <c r="D186" s="4" t="s">
        <v>5</v>
      </c>
      <c r="E186" s="19">
        <v>25000</v>
      </c>
      <c r="F186" s="29">
        <f>+VLOOKUP(B186,Distribuidor!$B$7:$D$533,3,0)</f>
        <v>17000</v>
      </c>
      <c r="G186" s="29">
        <f>+E186-F186</f>
        <v>8000</v>
      </c>
      <c r="H186" s="29"/>
      <c r="I186" s="29">
        <v>12000</v>
      </c>
      <c r="J186" s="29">
        <f>+E186*1.4</f>
        <v>35000</v>
      </c>
      <c r="K186" s="29">
        <f>+J186+I186</f>
        <v>47000</v>
      </c>
    </row>
    <row r="187" spans="1:16" ht="13" hidden="1" x14ac:dyDescent="0.25">
      <c r="A187" s="26">
        <f>+A186+1</f>
        <v>181</v>
      </c>
      <c r="B187" s="4" t="s">
        <v>12</v>
      </c>
      <c r="C187" s="7"/>
      <c r="D187" s="4" t="s">
        <v>8</v>
      </c>
      <c r="E187" s="19">
        <v>25000</v>
      </c>
      <c r="F187" s="29">
        <f>+VLOOKUP(B187,Distribuidor!$B$7:$D$533,3,0)</f>
        <v>17000</v>
      </c>
      <c r="G187" s="29">
        <f>+E187-F187</f>
        <v>8000</v>
      </c>
      <c r="H187" s="29"/>
      <c r="I187" s="29">
        <v>12000</v>
      </c>
      <c r="J187" s="29">
        <f>+E187*1.4</f>
        <v>35000</v>
      </c>
      <c r="K187" s="29">
        <f>+J187+I187</f>
        <v>47000</v>
      </c>
    </row>
    <row r="188" spans="1:16" ht="13" x14ac:dyDescent="0.25">
      <c r="A188" s="26">
        <f>+A187+1</f>
        <v>182</v>
      </c>
      <c r="B188" s="4" t="s">
        <v>426</v>
      </c>
      <c r="C188" s="7" t="s">
        <v>618</v>
      </c>
      <c r="D188" s="4" t="s">
        <v>468</v>
      </c>
      <c r="E188" s="19">
        <v>25000</v>
      </c>
      <c r="F188" s="29">
        <f>+VLOOKUP(B188,Distribuidor!$B$7:$D$533,3,0)</f>
        <v>17000</v>
      </c>
      <c r="G188" s="29">
        <f>+E188-F188</f>
        <v>8000</v>
      </c>
      <c r="H188" s="29">
        <f>+G188*L188</f>
        <v>40000</v>
      </c>
      <c r="I188" s="29">
        <v>12000</v>
      </c>
      <c r="J188" s="29">
        <f>+E188*1.4</f>
        <v>35000</v>
      </c>
      <c r="K188" s="29">
        <f>+J188+I188</f>
        <v>47000</v>
      </c>
      <c r="L188" s="1">
        <v>5</v>
      </c>
      <c r="M188" s="29">
        <f>+J188*L188</f>
        <v>175000</v>
      </c>
      <c r="N188" s="29">
        <v>25900</v>
      </c>
      <c r="O188" s="29">
        <f>9000+N188</f>
        <v>34900</v>
      </c>
      <c r="P188" s="37">
        <f>+O188-K188</f>
        <v>-12100</v>
      </c>
    </row>
    <row r="189" spans="1:16" ht="13" hidden="1" x14ac:dyDescent="0.25">
      <c r="A189" s="26">
        <f>+A188+1</f>
        <v>183</v>
      </c>
      <c r="B189" s="4" t="s">
        <v>427</v>
      </c>
      <c r="C189" s="7"/>
      <c r="D189" s="4" t="s">
        <v>468</v>
      </c>
      <c r="E189" s="19">
        <v>25000</v>
      </c>
      <c r="F189" s="29">
        <f>+VLOOKUP(B189,Distribuidor!$B$7:$D$533,3,0)</f>
        <v>16900</v>
      </c>
      <c r="G189" s="29">
        <f>+E189-F189</f>
        <v>8100</v>
      </c>
      <c r="H189" s="29"/>
      <c r="I189" s="29">
        <v>12000</v>
      </c>
      <c r="J189" s="29">
        <f>+E189*1.4</f>
        <v>35000</v>
      </c>
      <c r="K189" s="29">
        <f>+J189+I189</f>
        <v>47000</v>
      </c>
    </row>
    <row r="190" spans="1:16" ht="13" hidden="1" x14ac:dyDescent="0.25">
      <c r="A190" s="26">
        <f>+A189+1</f>
        <v>184</v>
      </c>
      <c r="B190" s="4" t="s">
        <v>460</v>
      </c>
      <c r="C190" s="7"/>
      <c r="D190" s="4" t="s">
        <v>137</v>
      </c>
      <c r="E190" s="19">
        <v>25000</v>
      </c>
      <c r="F190" s="29">
        <f>+VLOOKUP(B190,Distribuidor!$B$7:$D$533,3,0)</f>
        <v>16900</v>
      </c>
      <c r="G190" s="29">
        <f>+E190-F190</f>
        <v>8100</v>
      </c>
      <c r="H190" s="29"/>
      <c r="I190" s="29">
        <v>12000</v>
      </c>
      <c r="J190" s="29">
        <f>+E190*1.4</f>
        <v>35000</v>
      </c>
      <c r="K190" s="29">
        <f>+J190+I190</f>
        <v>47000</v>
      </c>
    </row>
    <row r="191" spans="1:16" ht="13" hidden="1" x14ac:dyDescent="0.25">
      <c r="A191" s="26">
        <f>+A190+1</f>
        <v>185</v>
      </c>
      <c r="B191" s="4" t="s">
        <v>367</v>
      </c>
      <c r="C191" s="7"/>
      <c r="D191" s="4" t="s">
        <v>137</v>
      </c>
      <c r="E191" s="19">
        <v>25000</v>
      </c>
      <c r="F191" s="29">
        <f>+VLOOKUP(B191,Distribuidor!$B$7:$D$533,3,0)</f>
        <v>16900</v>
      </c>
      <c r="G191" s="29">
        <f>+E191-F191</f>
        <v>8100</v>
      </c>
      <c r="H191" s="29"/>
      <c r="I191" s="29">
        <v>12000</v>
      </c>
      <c r="J191" s="29">
        <f>+E191*1.4</f>
        <v>35000</v>
      </c>
      <c r="K191" s="29">
        <f>+J191+I191</f>
        <v>47000</v>
      </c>
    </row>
    <row r="192" spans="1:16" ht="13" hidden="1" x14ac:dyDescent="0.25">
      <c r="A192" s="26">
        <f>+A191+1</f>
        <v>186</v>
      </c>
      <c r="B192" s="4" t="s">
        <v>408</v>
      </c>
      <c r="C192" s="7"/>
      <c r="D192" s="4" t="s">
        <v>137</v>
      </c>
      <c r="E192" s="19">
        <v>25000</v>
      </c>
      <c r="F192" s="29">
        <f>+VLOOKUP(B192,Distribuidor!$B$7:$D$533,3,0)</f>
        <v>16900</v>
      </c>
      <c r="G192" s="29">
        <f>+E192-F192</f>
        <v>8100</v>
      </c>
      <c r="H192" s="29"/>
      <c r="I192" s="29">
        <v>12000</v>
      </c>
      <c r="J192" s="29">
        <f>+E192*1.4</f>
        <v>35000</v>
      </c>
      <c r="K192" s="29">
        <f>+J192+I192</f>
        <v>47000</v>
      </c>
    </row>
    <row r="193" spans="1:16" ht="13" hidden="1" x14ac:dyDescent="0.25">
      <c r="A193" s="26">
        <f>+A192+1</f>
        <v>187</v>
      </c>
      <c r="B193" s="4" t="s">
        <v>379</v>
      </c>
      <c r="C193" s="7"/>
      <c r="D193" s="4" t="s">
        <v>137</v>
      </c>
      <c r="E193" s="19">
        <v>25000</v>
      </c>
      <c r="F193" s="29">
        <f>+VLOOKUP(B193,Distribuidor!$B$7:$D$533,3,0)</f>
        <v>16900</v>
      </c>
      <c r="G193" s="29">
        <f>+E193-F193</f>
        <v>8100</v>
      </c>
      <c r="H193" s="29"/>
      <c r="I193" s="29">
        <v>12000</v>
      </c>
      <c r="J193" s="29">
        <f>+E193*1.4</f>
        <v>35000</v>
      </c>
      <c r="K193" s="29">
        <f>+J193+I193</f>
        <v>47000</v>
      </c>
    </row>
    <row r="194" spans="1:16" ht="13" hidden="1" x14ac:dyDescent="0.25">
      <c r="A194" s="26">
        <f>+A193+1</f>
        <v>188</v>
      </c>
      <c r="B194" s="4" t="s">
        <v>369</v>
      </c>
      <c r="C194" s="7"/>
      <c r="D194" s="4" t="s">
        <v>137</v>
      </c>
      <c r="E194" s="19">
        <v>25000</v>
      </c>
      <c r="F194" s="29">
        <f>+VLOOKUP(B194,Distribuidor!$B$7:$D$533,3,0)</f>
        <v>16900</v>
      </c>
      <c r="G194" s="29">
        <f>+E194-F194</f>
        <v>8100</v>
      </c>
      <c r="H194" s="29"/>
      <c r="I194" s="29">
        <v>12000</v>
      </c>
      <c r="J194" s="29">
        <f>+E194*1.4</f>
        <v>35000</v>
      </c>
      <c r="K194" s="29">
        <f>+J194+I194</f>
        <v>47000</v>
      </c>
    </row>
    <row r="195" spans="1:16" ht="13" hidden="1" x14ac:dyDescent="0.25">
      <c r="A195" s="26">
        <f>+A194+1</f>
        <v>189</v>
      </c>
      <c r="B195" s="4" t="s">
        <v>451</v>
      </c>
      <c r="C195" s="7"/>
      <c r="D195" s="4" t="s">
        <v>137</v>
      </c>
      <c r="E195" s="19">
        <v>25000</v>
      </c>
      <c r="F195" s="29">
        <f>+VLOOKUP(B195,Distribuidor!$B$7:$D$533,3,0)</f>
        <v>16900</v>
      </c>
      <c r="G195" s="29">
        <f>+E195-F195</f>
        <v>8100</v>
      </c>
      <c r="H195" s="29"/>
      <c r="I195" s="29">
        <v>12000</v>
      </c>
      <c r="J195" s="29">
        <f>+E195*1.4</f>
        <v>35000</v>
      </c>
      <c r="K195" s="29">
        <f>+J195+I195</f>
        <v>47000</v>
      </c>
    </row>
    <row r="196" spans="1:16" ht="13" hidden="1" x14ac:dyDescent="0.25">
      <c r="A196" s="26">
        <f>+A195+1</f>
        <v>190</v>
      </c>
      <c r="B196" s="4" t="s">
        <v>398</v>
      </c>
      <c r="C196" s="7"/>
      <c r="D196" s="4" t="s">
        <v>103</v>
      </c>
      <c r="E196" s="19">
        <v>25000</v>
      </c>
      <c r="F196" s="29">
        <f>+VLOOKUP(B196,Distribuidor!$B$7:$D$533,3,0)</f>
        <v>17300</v>
      </c>
      <c r="G196" s="29">
        <f>+E196-F196</f>
        <v>7700</v>
      </c>
      <c r="H196" s="29"/>
      <c r="I196" s="29">
        <v>12000</v>
      </c>
      <c r="J196" s="29">
        <f>+E196*1.4</f>
        <v>35000</v>
      </c>
      <c r="K196" s="29">
        <f>+J196+I196</f>
        <v>47000</v>
      </c>
    </row>
    <row r="197" spans="1:16" ht="13" hidden="1" x14ac:dyDescent="0.25">
      <c r="A197" s="26">
        <f>+A196+1</f>
        <v>191</v>
      </c>
      <c r="B197" s="4" t="s">
        <v>214</v>
      </c>
      <c r="C197" s="7"/>
      <c r="D197" s="4" t="s">
        <v>22</v>
      </c>
      <c r="E197" s="19">
        <v>25000</v>
      </c>
      <c r="F197" s="29">
        <f>+VLOOKUP(B197,Distribuidor!$B$7:$D$533,3,0)</f>
        <v>17400</v>
      </c>
      <c r="G197" s="29">
        <f>+E197-F197</f>
        <v>7600</v>
      </c>
      <c r="H197" s="29"/>
      <c r="I197" s="29">
        <v>12000</v>
      </c>
      <c r="J197" s="29">
        <f>+E197*1.4</f>
        <v>35000</v>
      </c>
      <c r="K197" s="29">
        <f>+J197+I197</f>
        <v>47000</v>
      </c>
    </row>
    <row r="198" spans="1:16" ht="13" x14ac:dyDescent="0.25">
      <c r="A198" s="26">
        <f>+A197+1</f>
        <v>192</v>
      </c>
      <c r="B198" s="4" t="s">
        <v>519</v>
      </c>
      <c r="C198" s="7" t="s">
        <v>618</v>
      </c>
      <c r="D198" s="4" t="s">
        <v>516</v>
      </c>
      <c r="E198" s="19">
        <v>25000</v>
      </c>
      <c r="F198" s="29">
        <f>+VLOOKUP(B198,Distribuidor!$B$7:$D$533,3,0)</f>
        <v>17200</v>
      </c>
      <c r="G198" s="29">
        <f>+E198-F198</f>
        <v>7800</v>
      </c>
      <c r="H198" s="29">
        <f>+G198*L198</f>
        <v>39000</v>
      </c>
      <c r="I198" s="29">
        <v>12000</v>
      </c>
      <c r="J198" s="29">
        <f>+E198*1.4</f>
        <v>35000</v>
      </c>
      <c r="K198" s="29">
        <f>+J198+I198</f>
        <v>47000</v>
      </c>
      <c r="L198" s="1">
        <v>5</v>
      </c>
      <c r="M198" s="29">
        <f>+J198*L198</f>
        <v>175000</v>
      </c>
      <c r="N198" s="29">
        <v>25900</v>
      </c>
      <c r="O198" s="29">
        <f>9000+N198</f>
        <v>34900</v>
      </c>
      <c r="P198" s="37">
        <f>+O198-K198</f>
        <v>-12100</v>
      </c>
    </row>
    <row r="199" spans="1:16" ht="13" x14ac:dyDescent="0.25">
      <c r="A199" s="26">
        <f>+A198+1</f>
        <v>193</v>
      </c>
      <c r="B199" s="4" t="s">
        <v>522</v>
      </c>
      <c r="C199" s="7" t="s">
        <v>618</v>
      </c>
      <c r="D199" s="4" t="s">
        <v>516</v>
      </c>
      <c r="E199" s="19">
        <v>25000</v>
      </c>
      <c r="F199" s="29">
        <f>+VLOOKUP(B199,Distribuidor!$B$7:$D$533,3,0)</f>
        <v>17000</v>
      </c>
      <c r="G199" s="29">
        <f>+E199-F199</f>
        <v>8000</v>
      </c>
      <c r="H199" s="29">
        <f>+G199*L199</f>
        <v>40000</v>
      </c>
      <c r="I199" s="29">
        <v>12000</v>
      </c>
      <c r="J199" s="29">
        <f>+E199*1.4</f>
        <v>35000</v>
      </c>
      <c r="K199" s="29">
        <f>+J199+I199</f>
        <v>47000</v>
      </c>
      <c r="L199" s="1">
        <v>5</v>
      </c>
      <c r="M199" s="29">
        <f>+J199*L199</f>
        <v>175000</v>
      </c>
      <c r="N199" s="29">
        <v>25900</v>
      </c>
      <c r="O199" s="29">
        <f>9000+N199</f>
        <v>34900</v>
      </c>
      <c r="P199" s="37">
        <f>+O199-K199</f>
        <v>-12100</v>
      </c>
    </row>
    <row r="200" spans="1:16" ht="13" hidden="1" x14ac:dyDescent="0.25">
      <c r="A200" s="26">
        <f>+A199+1</f>
        <v>194</v>
      </c>
      <c r="B200" s="4" t="s">
        <v>429</v>
      </c>
      <c r="C200" s="7"/>
      <c r="D200" s="4" t="s">
        <v>14</v>
      </c>
      <c r="E200" s="19">
        <v>25000</v>
      </c>
      <c r="F200" s="29">
        <f>+VLOOKUP(B200,Distribuidor!$B$7:$D$533,3,0)</f>
        <v>17000</v>
      </c>
      <c r="G200" s="29">
        <f>+E200-F200</f>
        <v>8000</v>
      </c>
      <c r="H200" s="29"/>
      <c r="I200" s="29">
        <v>12000</v>
      </c>
      <c r="J200" s="29">
        <f>+E200*1.4</f>
        <v>35000</v>
      </c>
      <c r="K200" s="29">
        <f>+J200+I200</f>
        <v>47000</v>
      </c>
    </row>
    <row r="201" spans="1:16" ht="13" hidden="1" x14ac:dyDescent="0.25">
      <c r="A201" s="26">
        <f>+A200+1</f>
        <v>195</v>
      </c>
      <c r="B201" s="4" t="s">
        <v>450</v>
      </c>
      <c r="C201" s="7"/>
      <c r="D201" s="4" t="s">
        <v>14</v>
      </c>
      <c r="E201" s="19">
        <v>25000</v>
      </c>
      <c r="F201" s="29">
        <f>+VLOOKUP(B201,Distribuidor!$B$7:$D$533,3,0)</f>
        <v>17200</v>
      </c>
      <c r="G201" s="29">
        <f>+E201-F201</f>
        <v>7800</v>
      </c>
      <c r="H201" s="29"/>
      <c r="I201" s="29">
        <v>12000</v>
      </c>
      <c r="J201" s="29">
        <f>+E201*1.4</f>
        <v>35000</v>
      </c>
      <c r="K201" s="29">
        <f>+J201+I201</f>
        <v>47000</v>
      </c>
    </row>
    <row r="202" spans="1:16" ht="13" hidden="1" x14ac:dyDescent="0.25">
      <c r="A202" s="26">
        <f>+A201+1</f>
        <v>196</v>
      </c>
      <c r="B202" s="4" t="s">
        <v>189</v>
      </c>
      <c r="C202" s="7"/>
      <c r="D202" s="4" t="s">
        <v>5</v>
      </c>
      <c r="E202" s="19">
        <v>24000</v>
      </c>
      <c r="F202" s="29">
        <f>+VLOOKUP(B202,Distribuidor!$B$7:$D$533,3,0)</f>
        <v>16800</v>
      </c>
      <c r="G202" s="29">
        <f>+E202-F202</f>
        <v>7200</v>
      </c>
      <c r="H202" s="29"/>
      <c r="I202" s="29">
        <v>12000</v>
      </c>
      <c r="J202" s="29">
        <f>+E202*1.4</f>
        <v>33600</v>
      </c>
      <c r="K202" s="29">
        <f>+J202+I202</f>
        <v>45600</v>
      </c>
    </row>
    <row r="203" spans="1:16" ht="13" hidden="1" x14ac:dyDescent="0.25">
      <c r="A203" s="26">
        <f>+A202+1</f>
        <v>197</v>
      </c>
      <c r="B203" s="4" t="s">
        <v>62</v>
      </c>
      <c r="C203" s="7"/>
      <c r="D203" s="4" t="s">
        <v>5</v>
      </c>
      <c r="E203" s="19">
        <v>24000</v>
      </c>
      <c r="F203" s="29">
        <f>+VLOOKUP(B203,Distribuidor!$B$7:$D$533,3,0)</f>
        <v>16500</v>
      </c>
      <c r="G203" s="29">
        <f>+E203-F203</f>
        <v>7500</v>
      </c>
      <c r="H203" s="29"/>
      <c r="I203" s="29">
        <v>12000</v>
      </c>
      <c r="J203" s="29">
        <f>+E203*1.4</f>
        <v>33600</v>
      </c>
      <c r="K203" s="29">
        <f>+J203+I203</f>
        <v>45600</v>
      </c>
    </row>
    <row r="204" spans="1:16" ht="13" hidden="1" x14ac:dyDescent="0.25">
      <c r="A204" s="26">
        <f>+A203+1</f>
        <v>198</v>
      </c>
      <c r="B204" s="4" t="s">
        <v>65</v>
      </c>
      <c r="C204" s="7"/>
      <c r="D204" s="4" t="s">
        <v>5</v>
      </c>
      <c r="E204" s="19">
        <v>24000</v>
      </c>
      <c r="F204" s="29">
        <f>+VLOOKUP(B204,Distribuidor!$B$7:$D$533,3,0)</f>
        <v>16500</v>
      </c>
      <c r="G204" s="29">
        <f>+E204-F204</f>
        <v>7500</v>
      </c>
      <c r="H204" s="29"/>
      <c r="I204" s="29">
        <v>12000</v>
      </c>
      <c r="J204" s="29">
        <f>+E204*1.4</f>
        <v>33600</v>
      </c>
      <c r="K204" s="29">
        <f>+J204+I204</f>
        <v>45600</v>
      </c>
    </row>
    <row r="205" spans="1:16" ht="13" hidden="1" x14ac:dyDescent="0.25">
      <c r="A205" s="26">
        <f>+A204+1</f>
        <v>199</v>
      </c>
      <c r="B205" s="4" t="s">
        <v>387</v>
      </c>
      <c r="C205" s="7"/>
      <c r="D205" s="4" t="s">
        <v>376</v>
      </c>
      <c r="E205" s="19">
        <v>24000</v>
      </c>
      <c r="F205" s="29">
        <f>+VLOOKUP(B205,Distribuidor!$B$7:$D$533,3,0)</f>
        <v>16500</v>
      </c>
      <c r="G205" s="29">
        <f>+E205-F205</f>
        <v>7500</v>
      </c>
      <c r="H205" s="29"/>
      <c r="I205" s="29">
        <v>12000</v>
      </c>
      <c r="J205" s="29">
        <f>+E205*1.4</f>
        <v>33600</v>
      </c>
      <c r="K205" s="29">
        <f>+J205+I205</f>
        <v>45600</v>
      </c>
    </row>
    <row r="206" spans="1:16" ht="13" hidden="1" x14ac:dyDescent="0.25">
      <c r="A206" s="26">
        <f>+A205+1</f>
        <v>200</v>
      </c>
      <c r="B206" s="4" t="s">
        <v>388</v>
      </c>
      <c r="C206" s="7"/>
      <c r="D206" s="4" t="s">
        <v>376</v>
      </c>
      <c r="E206" s="19">
        <v>24000</v>
      </c>
      <c r="F206" s="29">
        <f>+VLOOKUP(B206,Distribuidor!$B$7:$D$533,3,0)</f>
        <v>16500</v>
      </c>
      <c r="G206" s="29">
        <f>+E206-F206</f>
        <v>7500</v>
      </c>
      <c r="H206" s="29"/>
      <c r="I206" s="29">
        <v>12000</v>
      </c>
      <c r="J206" s="29">
        <f>+E206*1.4</f>
        <v>33600</v>
      </c>
      <c r="K206" s="29">
        <f>+J206+I206</f>
        <v>45600</v>
      </c>
    </row>
    <row r="207" spans="1:16" ht="13" hidden="1" x14ac:dyDescent="0.25">
      <c r="A207" s="26">
        <f>+A206+1</f>
        <v>201</v>
      </c>
      <c r="B207" s="4" t="s">
        <v>394</v>
      </c>
      <c r="C207" s="7"/>
      <c r="D207" s="4" t="s">
        <v>103</v>
      </c>
      <c r="E207" s="19">
        <v>24000</v>
      </c>
      <c r="F207" s="29">
        <f>+VLOOKUP(B207,Distribuidor!$B$7:$D$533,3,0)</f>
        <v>16700</v>
      </c>
      <c r="G207" s="29">
        <f>+E207-F207</f>
        <v>7300</v>
      </c>
      <c r="H207" s="29"/>
      <c r="I207" s="29">
        <v>12000</v>
      </c>
      <c r="J207" s="29">
        <f>+E207*1.4</f>
        <v>33600</v>
      </c>
      <c r="K207" s="29">
        <f>+J207+I207</f>
        <v>45600</v>
      </c>
    </row>
    <row r="208" spans="1:16" ht="13" hidden="1" x14ac:dyDescent="0.25">
      <c r="A208" s="26">
        <f>+A207+1</f>
        <v>202</v>
      </c>
      <c r="B208" s="4" t="s">
        <v>396</v>
      </c>
      <c r="C208" s="7"/>
      <c r="D208" s="4" t="s">
        <v>103</v>
      </c>
      <c r="E208" s="19">
        <v>24000</v>
      </c>
      <c r="F208" s="29">
        <f>+VLOOKUP(B208,Distribuidor!$B$7:$D$533,3,0)</f>
        <v>16500</v>
      </c>
      <c r="G208" s="29">
        <f>+E208-F208</f>
        <v>7500</v>
      </c>
      <c r="H208" s="29"/>
      <c r="I208" s="29">
        <v>12000</v>
      </c>
      <c r="J208" s="29">
        <f>+E208*1.4</f>
        <v>33600</v>
      </c>
      <c r="K208" s="29">
        <f>+J208+I208</f>
        <v>45600</v>
      </c>
    </row>
    <row r="209" spans="1:11" ht="13" hidden="1" x14ac:dyDescent="0.25">
      <c r="A209" s="26">
        <f>+A208+1</f>
        <v>203</v>
      </c>
      <c r="B209" s="4" t="s">
        <v>248</v>
      </c>
      <c r="C209" s="7"/>
      <c r="D209" s="4" t="s">
        <v>22</v>
      </c>
      <c r="E209" s="19">
        <v>24000</v>
      </c>
      <c r="F209" s="29">
        <f>+VLOOKUP(B209,Distribuidor!$B$7:$D$533,3,0)</f>
        <v>16500</v>
      </c>
      <c r="G209" s="29">
        <f>+E209-F209</f>
        <v>7500</v>
      </c>
      <c r="H209" s="29"/>
      <c r="I209" s="29">
        <v>12000</v>
      </c>
      <c r="J209" s="29">
        <f>+E209*1.4</f>
        <v>33600</v>
      </c>
      <c r="K209" s="29">
        <f>+J209+I209</f>
        <v>45600</v>
      </c>
    </row>
    <row r="210" spans="1:11" ht="13" hidden="1" x14ac:dyDescent="0.25">
      <c r="A210" s="26">
        <f>+A209+1</f>
        <v>204</v>
      </c>
      <c r="B210" s="4" t="s">
        <v>423</v>
      </c>
      <c r="C210" s="7"/>
      <c r="D210" s="4" t="s">
        <v>468</v>
      </c>
      <c r="E210" s="19">
        <v>23000</v>
      </c>
      <c r="F210" s="29">
        <f>+VLOOKUP(B210,Distribuidor!$B$7:$D$533,3,0)</f>
        <v>15900</v>
      </c>
      <c r="G210" s="29">
        <f>+E210-F210</f>
        <v>7100</v>
      </c>
      <c r="H210" s="29"/>
      <c r="I210" s="29">
        <v>12000</v>
      </c>
      <c r="J210" s="29">
        <f>+E210*1.4</f>
        <v>32199.999999999996</v>
      </c>
      <c r="K210" s="29">
        <f>+J210+I210</f>
        <v>44200</v>
      </c>
    </row>
    <row r="211" spans="1:11" ht="13" hidden="1" x14ac:dyDescent="0.25">
      <c r="A211" s="26">
        <f>+A210+1</f>
        <v>205</v>
      </c>
      <c r="B211" s="4" t="s">
        <v>85</v>
      </c>
      <c r="C211" s="7"/>
      <c r="D211" s="4" t="s">
        <v>2</v>
      </c>
      <c r="E211" s="19">
        <v>23000</v>
      </c>
      <c r="F211" s="29">
        <f>+VLOOKUP(B211,Distribuidor!$B$7:$D$533,3,0)</f>
        <v>15700</v>
      </c>
      <c r="G211" s="29">
        <f>+E211-F211</f>
        <v>7300</v>
      </c>
      <c r="H211" s="29"/>
      <c r="I211" s="29">
        <v>12000</v>
      </c>
      <c r="J211" s="29">
        <f>+E211*1.4</f>
        <v>32199.999999999996</v>
      </c>
      <c r="K211" s="29">
        <f>+J211+I211</f>
        <v>44200</v>
      </c>
    </row>
    <row r="212" spans="1:11" ht="13" hidden="1" x14ac:dyDescent="0.25">
      <c r="A212" s="26">
        <f>+A211+1</f>
        <v>206</v>
      </c>
      <c r="B212" s="4" t="s">
        <v>63</v>
      </c>
      <c r="C212" s="7"/>
      <c r="D212" s="4" t="s">
        <v>5</v>
      </c>
      <c r="E212" s="19">
        <v>22000</v>
      </c>
      <c r="F212" s="29">
        <f>+VLOOKUP(B212,Distribuidor!$B$7:$D$533,3,0)</f>
        <v>15300</v>
      </c>
      <c r="G212" s="29">
        <f>+E212-F212</f>
        <v>6700</v>
      </c>
      <c r="H212" s="29"/>
      <c r="I212" s="29">
        <v>12000</v>
      </c>
      <c r="J212" s="29">
        <f>+E212*1.4</f>
        <v>30799.999999999996</v>
      </c>
      <c r="K212" s="29">
        <f>+J212+I212</f>
        <v>42800</v>
      </c>
    </row>
    <row r="213" spans="1:11" ht="13" hidden="1" x14ac:dyDescent="0.25">
      <c r="A213" s="26">
        <f>+A212+1</f>
        <v>207</v>
      </c>
      <c r="B213" s="4" t="s">
        <v>64</v>
      </c>
      <c r="C213" s="7"/>
      <c r="D213" s="4" t="s">
        <v>5</v>
      </c>
      <c r="E213" s="19">
        <v>22000</v>
      </c>
      <c r="F213" s="29">
        <f>+VLOOKUP(B213,Distribuidor!$B$7:$D$533,3,0)</f>
        <v>15300</v>
      </c>
      <c r="G213" s="29">
        <f>+E213-F213</f>
        <v>6700</v>
      </c>
      <c r="H213" s="29"/>
      <c r="I213" s="29">
        <v>12000</v>
      </c>
      <c r="J213" s="29">
        <f>+E213*1.4</f>
        <v>30799.999999999996</v>
      </c>
      <c r="K213" s="29">
        <f>+J213+I213</f>
        <v>42800</v>
      </c>
    </row>
    <row r="214" spans="1:11" ht="13" hidden="1" x14ac:dyDescent="0.25">
      <c r="A214" s="26">
        <f>+A213+1</f>
        <v>208</v>
      </c>
      <c r="B214" s="4" t="s">
        <v>302</v>
      </c>
      <c r="C214" s="7"/>
      <c r="D214" s="4" t="s">
        <v>164</v>
      </c>
      <c r="E214" s="19">
        <v>22000</v>
      </c>
      <c r="F214" s="29">
        <f>+VLOOKUP(B214,Distribuidor!$B$7:$D$533,3,0)</f>
        <v>15000</v>
      </c>
      <c r="G214" s="29">
        <f>+E214-F214</f>
        <v>7000</v>
      </c>
      <c r="H214" s="29"/>
      <c r="I214" s="29">
        <v>12000</v>
      </c>
      <c r="J214" s="29">
        <f>+E214*1.4</f>
        <v>30799.999999999996</v>
      </c>
      <c r="K214" s="29">
        <f>+J214+I214</f>
        <v>42800</v>
      </c>
    </row>
    <row r="215" spans="1:11" ht="13" hidden="1" x14ac:dyDescent="0.25">
      <c r="A215" s="26">
        <f>+A214+1</f>
        <v>209</v>
      </c>
      <c r="B215" s="4" t="s">
        <v>477</v>
      </c>
      <c r="C215" s="7"/>
      <c r="D215" s="4" t="s">
        <v>13</v>
      </c>
      <c r="E215" s="19">
        <v>22000</v>
      </c>
      <c r="F215" s="29">
        <f>+VLOOKUP(B215,Distribuidor!$B$7:$D$533,3,0)</f>
        <v>14900</v>
      </c>
      <c r="G215" s="29">
        <f>+E215-F215</f>
        <v>7100</v>
      </c>
      <c r="H215" s="29"/>
      <c r="I215" s="29">
        <v>12000</v>
      </c>
      <c r="J215" s="29">
        <f>+E215*1.4</f>
        <v>30799.999999999996</v>
      </c>
      <c r="K215" s="29">
        <f>+J215+I215</f>
        <v>42800</v>
      </c>
    </row>
    <row r="216" spans="1:11" ht="13" hidden="1" x14ac:dyDescent="0.25">
      <c r="A216" s="26">
        <f>+A215+1</f>
        <v>210</v>
      </c>
      <c r="B216" s="4" t="s">
        <v>220</v>
      </c>
      <c r="C216" s="7"/>
      <c r="D216" s="4" t="s">
        <v>13</v>
      </c>
      <c r="E216" s="19">
        <v>22000</v>
      </c>
      <c r="F216" s="29">
        <f>+VLOOKUP(B216,Distribuidor!$B$7:$D$533,3,0)</f>
        <v>14900</v>
      </c>
      <c r="G216" s="29">
        <f>+E216-F216</f>
        <v>7100</v>
      </c>
      <c r="H216" s="29"/>
      <c r="I216" s="29">
        <v>12000</v>
      </c>
      <c r="J216" s="29">
        <f>+E216*1.4</f>
        <v>30799.999999999996</v>
      </c>
      <c r="K216" s="29">
        <f>+J216+I216</f>
        <v>42800</v>
      </c>
    </row>
    <row r="217" spans="1:11" ht="13" hidden="1" x14ac:dyDescent="0.25">
      <c r="A217" s="26">
        <f>+A216+1</f>
        <v>211</v>
      </c>
      <c r="B217" s="4" t="s">
        <v>242</v>
      </c>
      <c r="C217" s="7"/>
      <c r="D217" s="4" t="s">
        <v>13</v>
      </c>
      <c r="E217" s="19">
        <v>22000</v>
      </c>
      <c r="F217" s="29">
        <f>+VLOOKUP(B217,Distribuidor!$B$7:$D$533,3,0)</f>
        <v>14900</v>
      </c>
      <c r="G217" s="29">
        <f>+E217-F217</f>
        <v>7100</v>
      </c>
      <c r="H217" s="29"/>
      <c r="I217" s="29">
        <v>12000</v>
      </c>
      <c r="J217" s="29">
        <f>+E217*1.4</f>
        <v>30799.999999999996</v>
      </c>
      <c r="K217" s="29">
        <f>+J217+I217</f>
        <v>42800</v>
      </c>
    </row>
    <row r="218" spans="1:11" ht="13" hidden="1" x14ac:dyDescent="0.25">
      <c r="A218" s="26">
        <f>+A217+1</f>
        <v>212</v>
      </c>
      <c r="B218" s="4" t="s">
        <v>301</v>
      </c>
      <c r="C218" s="7"/>
      <c r="D218" s="4" t="s">
        <v>13</v>
      </c>
      <c r="E218" s="19">
        <v>22000</v>
      </c>
      <c r="F218" s="29">
        <f>+VLOOKUP(B218,Distribuidor!$B$7:$D$533,3,0)</f>
        <v>14900</v>
      </c>
      <c r="G218" s="29">
        <f>+E218-F218</f>
        <v>7100</v>
      </c>
      <c r="H218" s="29"/>
      <c r="I218" s="29">
        <v>12000</v>
      </c>
      <c r="J218" s="29">
        <f>+E218*1.4</f>
        <v>30799.999999999996</v>
      </c>
      <c r="K218" s="29">
        <f>+J218+I218</f>
        <v>42800</v>
      </c>
    </row>
    <row r="219" spans="1:11" ht="13" hidden="1" x14ac:dyDescent="0.25">
      <c r="A219" s="26">
        <f>+A218+1</f>
        <v>213</v>
      </c>
      <c r="B219" s="2" t="s">
        <v>135</v>
      </c>
      <c r="C219" s="7"/>
      <c r="D219" s="4" t="s">
        <v>13</v>
      </c>
      <c r="E219" s="19">
        <v>22000</v>
      </c>
      <c r="F219" s="29">
        <f>+VLOOKUP(B219,Distribuidor!$B$7:$D$533,3,0)</f>
        <v>14900</v>
      </c>
      <c r="G219" s="29">
        <f>+E219-F219</f>
        <v>7100</v>
      </c>
      <c r="H219" s="29"/>
      <c r="I219" s="29">
        <v>12000</v>
      </c>
      <c r="J219" s="29">
        <f>+E219*1.4</f>
        <v>30799.999999999996</v>
      </c>
      <c r="K219" s="29">
        <f>+J219+I219</f>
        <v>42800</v>
      </c>
    </row>
    <row r="220" spans="1:11" ht="13" hidden="1" x14ac:dyDescent="0.25">
      <c r="A220" s="26">
        <f>+A219+1</f>
        <v>214</v>
      </c>
      <c r="B220" s="4" t="s">
        <v>162</v>
      </c>
      <c r="C220" s="7"/>
      <c r="D220" s="4" t="s">
        <v>13</v>
      </c>
      <c r="E220" s="19">
        <v>22000</v>
      </c>
      <c r="F220" s="29">
        <f>+VLOOKUP(B220,Distribuidor!$B$7:$D$533,3,0)</f>
        <v>14900</v>
      </c>
      <c r="G220" s="29">
        <f>+E220-F220</f>
        <v>7100</v>
      </c>
      <c r="H220" s="29"/>
      <c r="I220" s="29">
        <v>12000</v>
      </c>
      <c r="J220" s="29">
        <f>+E220*1.4</f>
        <v>30799.999999999996</v>
      </c>
      <c r="K220" s="29">
        <f>+J220+I220</f>
        <v>42800</v>
      </c>
    </row>
    <row r="221" spans="1:11" ht="13" hidden="1" x14ac:dyDescent="0.25">
      <c r="A221" s="26">
        <f>+A220+1</f>
        <v>215</v>
      </c>
      <c r="B221" s="2" t="s">
        <v>243</v>
      </c>
      <c r="C221" s="7"/>
      <c r="D221" s="4" t="s">
        <v>29</v>
      </c>
      <c r="E221" s="19">
        <v>22000</v>
      </c>
      <c r="F221" s="29">
        <f>+VLOOKUP(B221,Distribuidor!$B$7:$D$533,3,0)</f>
        <v>15000</v>
      </c>
      <c r="G221" s="29">
        <f>+E221-F221</f>
        <v>7000</v>
      </c>
      <c r="H221" s="29"/>
      <c r="I221" s="29">
        <v>12000</v>
      </c>
      <c r="J221" s="29">
        <f>+E221*1.4</f>
        <v>30799.999999999996</v>
      </c>
      <c r="K221" s="29">
        <f>+J221+I221</f>
        <v>42800</v>
      </c>
    </row>
    <row r="222" spans="1:11" ht="13" hidden="1" x14ac:dyDescent="0.25">
      <c r="A222" s="26">
        <f>+A221+1</f>
        <v>216</v>
      </c>
      <c r="B222" s="4" t="s">
        <v>94</v>
      </c>
      <c r="C222" s="7"/>
      <c r="D222" s="4" t="s">
        <v>29</v>
      </c>
      <c r="E222" s="19">
        <v>22000</v>
      </c>
      <c r="F222" s="29">
        <f>+VLOOKUP(B222,Distribuidor!$B$7:$D$533,3,0)</f>
        <v>15400</v>
      </c>
      <c r="G222" s="29">
        <f>+E222-F222</f>
        <v>6600</v>
      </c>
      <c r="H222" s="29"/>
      <c r="I222" s="29">
        <v>12000</v>
      </c>
      <c r="J222" s="29">
        <f>+E222*1.4</f>
        <v>30799.999999999996</v>
      </c>
      <c r="K222" s="29">
        <f>+J222+I222</f>
        <v>42800</v>
      </c>
    </row>
    <row r="223" spans="1:11" ht="13" hidden="1" x14ac:dyDescent="0.25">
      <c r="A223" s="26">
        <f>+A222+1</f>
        <v>217</v>
      </c>
      <c r="B223" s="2" t="s">
        <v>209</v>
      </c>
      <c r="C223" s="7"/>
      <c r="D223" s="4" t="s">
        <v>29</v>
      </c>
      <c r="E223" s="19">
        <v>22000</v>
      </c>
      <c r="F223" s="29">
        <f>+VLOOKUP(B223,Distribuidor!$B$7:$D$533,3,0)</f>
        <v>14800</v>
      </c>
      <c r="G223" s="29">
        <f>+E223-F223</f>
        <v>7200</v>
      </c>
      <c r="H223" s="29"/>
      <c r="I223" s="29">
        <v>12000</v>
      </c>
      <c r="J223" s="29">
        <f>+E223*1.4</f>
        <v>30799.999999999996</v>
      </c>
      <c r="K223" s="29">
        <f>+J223+I223</f>
        <v>42800</v>
      </c>
    </row>
    <row r="224" spans="1:11" ht="13" hidden="1" x14ac:dyDescent="0.25">
      <c r="A224" s="26">
        <f>+A223+1</f>
        <v>218</v>
      </c>
      <c r="B224" s="4" t="s">
        <v>495</v>
      </c>
      <c r="C224" s="7"/>
      <c r="D224" s="4" t="s">
        <v>485</v>
      </c>
      <c r="E224" s="19">
        <v>22000</v>
      </c>
      <c r="F224" s="29">
        <f>+VLOOKUP(B224,Distribuidor!$B$7:$D$533,3,0)</f>
        <v>15000</v>
      </c>
      <c r="G224" s="29">
        <f>+E224-F224</f>
        <v>7000</v>
      </c>
      <c r="H224" s="29"/>
      <c r="I224" s="29">
        <v>12000</v>
      </c>
      <c r="J224" s="29">
        <f>+E224*1.4</f>
        <v>30799.999999999996</v>
      </c>
      <c r="K224" s="29">
        <f>+J224+I224</f>
        <v>42800</v>
      </c>
    </row>
    <row r="225" spans="1:11" ht="13" hidden="1" x14ac:dyDescent="0.25">
      <c r="A225" s="26">
        <f>+A224+1</f>
        <v>219</v>
      </c>
      <c r="B225" s="4" t="s">
        <v>293</v>
      </c>
      <c r="C225" s="7"/>
      <c r="D225" s="4" t="s">
        <v>281</v>
      </c>
      <c r="E225" s="19">
        <v>22000</v>
      </c>
      <c r="F225" s="29">
        <f>+VLOOKUP(B225,Distribuidor!$B$7:$D$533,3,0)</f>
        <v>15100</v>
      </c>
      <c r="G225" s="29">
        <f>+E225-F225</f>
        <v>6900</v>
      </c>
      <c r="H225" s="29"/>
      <c r="I225" s="29">
        <v>12000</v>
      </c>
      <c r="J225" s="29">
        <f>+E225*1.4</f>
        <v>30799.999999999996</v>
      </c>
      <c r="K225" s="29">
        <f>+J225+I225</f>
        <v>42800</v>
      </c>
    </row>
    <row r="226" spans="1:11" ht="13" hidden="1" x14ac:dyDescent="0.25">
      <c r="A226" s="26">
        <f>+A225+1</f>
        <v>220</v>
      </c>
      <c r="B226" s="4" t="s">
        <v>232</v>
      </c>
      <c r="C226" s="7"/>
      <c r="D226" s="4" t="s">
        <v>265</v>
      </c>
      <c r="E226" s="19">
        <v>22000</v>
      </c>
      <c r="F226" s="29">
        <f>+VLOOKUP(B226,Distribuidor!$B$7:$D$533,3,0)</f>
        <v>15300</v>
      </c>
      <c r="G226" s="29">
        <f>+E226-F226</f>
        <v>6700</v>
      </c>
      <c r="H226" s="29"/>
      <c r="I226" s="29">
        <v>12000</v>
      </c>
      <c r="J226" s="29">
        <f>+E226*1.4</f>
        <v>30799.999999999996</v>
      </c>
      <c r="K226" s="29">
        <f>+J226+I226</f>
        <v>42800</v>
      </c>
    </row>
    <row r="227" spans="1:11" ht="13" hidden="1" x14ac:dyDescent="0.25">
      <c r="A227" s="26">
        <f>+A226+1</f>
        <v>221</v>
      </c>
      <c r="B227" s="4" t="s">
        <v>557</v>
      </c>
      <c r="C227" s="7"/>
      <c r="D227" s="4" t="s">
        <v>164</v>
      </c>
      <c r="E227" s="19">
        <v>21000</v>
      </c>
      <c r="F227" s="29">
        <f>+VLOOKUP(B227,Distribuidor!$B$7:$D$533,3,0)</f>
        <v>14200</v>
      </c>
      <c r="G227" s="29">
        <f>+E227-F227</f>
        <v>6800</v>
      </c>
      <c r="H227" s="29"/>
      <c r="I227" s="29">
        <v>12000</v>
      </c>
      <c r="J227" s="29">
        <f>+E227*1.4</f>
        <v>29399.999999999996</v>
      </c>
      <c r="K227" s="29">
        <f>+J227+I227</f>
        <v>41400</v>
      </c>
    </row>
    <row r="228" spans="1:11" ht="13" hidden="1" x14ac:dyDescent="0.25">
      <c r="A228" s="26">
        <f>+A227+1</f>
        <v>222</v>
      </c>
      <c r="B228" s="4" t="s">
        <v>280</v>
      </c>
      <c r="C228" s="7"/>
      <c r="D228" s="4" t="s">
        <v>2</v>
      </c>
      <c r="E228" s="19">
        <v>21000</v>
      </c>
      <c r="F228" s="29">
        <f>+VLOOKUP(B228,Distribuidor!$B$7:$D$533,3,0)</f>
        <v>14700</v>
      </c>
      <c r="G228" s="29">
        <f>+E228-F228</f>
        <v>6300</v>
      </c>
      <c r="H228" s="29"/>
      <c r="I228" s="29">
        <v>12000</v>
      </c>
      <c r="J228" s="29">
        <f>+E228*1.4</f>
        <v>29399.999999999996</v>
      </c>
      <c r="K228" s="29">
        <f>+J228+I228</f>
        <v>41400</v>
      </c>
    </row>
    <row r="229" spans="1:11" ht="13" hidden="1" x14ac:dyDescent="0.25">
      <c r="A229" s="26">
        <f>+A228+1</f>
        <v>223</v>
      </c>
      <c r="B229" s="2" t="s">
        <v>531</v>
      </c>
      <c r="C229" s="7"/>
      <c r="D229" s="4" t="s">
        <v>529</v>
      </c>
      <c r="E229" s="19">
        <v>21000</v>
      </c>
      <c r="F229" s="29">
        <f>+VLOOKUP(B229,Distribuidor!$B$7:$D$533,3,0)</f>
        <v>14400</v>
      </c>
      <c r="G229" s="29">
        <f>+E229-F229</f>
        <v>6600</v>
      </c>
      <c r="H229" s="29"/>
      <c r="I229" s="29">
        <v>12000</v>
      </c>
      <c r="J229" s="29">
        <f>+E229*1.4</f>
        <v>29399.999999999996</v>
      </c>
      <c r="K229" s="29">
        <f>+J229+I229</f>
        <v>41400</v>
      </c>
    </row>
    <row r="230" spans="1:11" ht="13" hidden="1" x14ac:dyDescent="0.25">
      <c r="A230" s="26">
        <f>+A229+1</f>
        <v>224</v>
      </c>
      <c r="B230" s="4" t="s">
        <v>399</v>
      </c>
      <c r="C230" s="7"/>
      <c r="D230" s="4" t="s">
        <v>22</v>
      </c>
      <c r="E230" s="19">
        <v>21000</v>
      </c>
      <c r="F230" s="29">
        <f>+VLOOKUP(B230,Distribuidor!$B$7:$D$533,3,0)</f>
        <v>14300</v>
      </c>
      <c r="G230" s="29">
        <f>+E230-F230</f>
        <v>6700</v>
      </c>
      <c r="H230" s="29"/>
      <c r="I230" s="29">
        <v>12000</v>
      </c>
      <c r="J230" s="29">
        <f>+E230*1.4</f>
        <v>29399.999999999996</v>
      </c>
      <c r="K230" s="29">
        <f>+J230+I230</f>
        <v>41400</v>
      </c>
    </row>
    <row r="231" spans="1:11" ht="13" hidden="1" x14ac:dyDescent="0.25">
      <c r="A231" s="26">
        <f>+A230+1</f>
        <v>225</v>
      </c>
      <c r="B231" s="2" t="s">
        <v>112</v>
      </c>
      <c r="C231" s="7"/>
      <c r="D231" s="4" t="s">
        <v>29</v>
      </c>
      <c r="E231" s="19">
        <v>21000</v>
      </c>
      <c r="F231" s="29">
        <f>+VLOOKUP(B231,Distribuidor!$B$7:$D$533,3,0)</f>
        <v>14400</v>
      </c>
      <c r="G231" s="29">
        <f>+E231-F231</f>
        <v>6600</v>
      </c>
      <c r="H231" s="29"/>
      <c r="I231" s="29">
        <v>12000</v>
      </c>
      <c r="J231" s="29">
        <f>+E231*1.4</f>
        <v>29399.999999999996</v>
      </c>
      <c r="K231" s="29">
        <f>+J231+I231</f>
        <v>41400</v>
      </c>
    </row>
    <row r="232" spans="1:11" ht="13" hidden="1" x14ac:dyDescent="0.25">
      <c r="A232" s="26">
        <f>+A231+1</f>
        <v>226</v>
      </c>
      <c r="B232" s="2" t="s">
        <v>71</v>
      </c>
      <c r="C232" s="7"/>
      <c r="D232" s="4" t="s">
        <v>8</v>
      </c>
      <c r="E232" s="19">
        <v>20000</v>
      </c>
      <c r="F232" s="29">
        <f>+VLOOKUP(B232,Distribuidor!$B$7:$D$533,3,0)</f>
        <v>14000</v>
      </c>
      <c r="G232" s="29">
        <f>+E232-F232</f>
        <v>6000</v>
      </c>
      <c r="H232" s="29"/>
      <c r="I232" s="29">
        <v>12000</v>
      </c>
      <c r="J232" s="29">
        <f>+E232*1.4</f>
        <v>28000</v>
      </c>
      <c r="K232" s="29">
        <f>+J232+I232</f>
        <v>40000</v>
      </c>
    </row>
    <row r="233" spans="1:11" ht="13" hidden="1" x14ac:dyDescent="0.25">
      <c r="A233" s="26">
        <f>+A232+1</f>
        <v>227</v>
      </c>
      <c r="B233" s="4" t="s">
        <v>261</v>
      </c>
      <c r="C233" s="7"/>
      <c r="D233" s="4" t="s">
        <v>113</v>
      </c>
      <c r="E233" s="19">
        <v>20000</v>
      </c>
      <c r="F233" s="29">
        <f>+VLOOKUP(B233,Distribuidor!$B$7:$D$533,3,0)</f>
        <v>14000</v>
      </c>
      <c r="G233" s="29">
        <f>+E233-F233</f>
        <v>6000</v>
      </c>
      <c r="H233" s="29"/>
      <c r="I233" s="29">
        <v>12000</v>
      </c>
      <c r="J233" s="29">
        <f>+E233*1.4</f>
        <v>28000</v>
      </c>
      <c r="K233" s="29">
        <f>+J233+I233</f>
        <v>40000</v>
      </c>
    </row>
    <row r="234" spans="1:11" ht="13" hidden="1" x14ac:dyDescent="0.25">
      <c r="A234" s="26">
        <f>+A233+1</f>
        <v>228</v>
      </c>
      <c r="B234" s="4" t="s">
        <v>88</v>
      </c>
      <c r="C234" s="7"/>
      <c r="D234" s="4" t="s">
        <v>2</v>
      </c>
      <c r="E234" s="19">
        <v>20000</v>
      </c>
      <c r="F234" s="29">
        <f>+VLOOKUP(B234,Distribuidor!$B$7:$D$533,3,0)</f>
        <v>13500</v>
      </c>
      <c r="G234" s="29">
        <f>+E234-F234</f>
        <v>6500</v>
      </c>
      <c r="H234" s="29"/>
      <c r="I234" s="29">
        <v>12000</v>
      </c>
      <c r="J234" s="29">
        <f>+E234*1.4</f>
        <v>28000</v>
      </c>
      <c r="K234" s="29">
        <f>+J234+I234</f>
        <v>40000</v>
      </c>
    </row>
    <row r="235" spans="1:11" ht="13" hidden="1" x14ac:dyDescent="0.25">
      <c r="A235" s="26">
        <f>+A234+1</f>
        <v>229</v>
      </c>
      <c r="B235" s="4" t="s">
        <v>407</v>
      </c>
      <c r="C235" s="7"/>
      <c r="D235" s="4" t="s">
        <v>137</v>
      </c>
      <c r="E235" s="19">
        <v>20000</v>
      </c>
      <c r="F235" s="29">
        <f>+VLOOKUP(B235,Distribuidor!$B$7:$D$533,3,0)</f>
        <v>13500</v>
      </c>
      <c r="G235" s="29">
        <f>+E235-F235</f>
        <v>6500</v>
      </c>
      <c r="H235" s="29"/>
      <c r="I235" s="29">
        <v>12000</v>
      </c>
      <c r="J235" s="29">
        <f>+E235*1.4</f>
        <v>28000</v>
      </c>
      <c r="K235" s="29">
        <f>+J235+I235</f>
        <v>40000</v>
      </c>
    </row>
    <row r="236" spans="1:11" ht="13" hidden="1" x14ac:dyDescent="0.25">
      <c r="A236" s="26">
        <f>+A235+1</f>
        <v>230</v>
      </c>
      <c r="B236" s="4" t="s">
        <v>102</v>
      </c>
      <c r="C236" s="7"/>
      <c r="D236" s="4" t="s">
        <v>3</v>
      </c>
      <c r="E236" s="19">
        <v>20000</v>
      </c>
      <c r="F236" s="29">
        <f>+VLOOKUP(B236,Distribuidor!$B$7:$D$533,3,0)</f>
        <v>13800</v>
      </c>
      <c r="G236" s="29">
        <f>+E236-F236</f>
        <v>6200</v>
      </c>
      <c r="H236" s="29"/>
      <c r="I236" s="29">
        <v>12000</v>
      </c>
      <c r="J236" s="29">
        <f>+E236*1.4</f>
        <v>28000</v>
      </c>
      <c r="K236" s="29">
        <f>+J236+I236</f>
        <v>40000</v>
      </c>
    </row>
    <row r="237" spans="1:11" ht="13" hidden="1" x14ac:dyDescent="0.25">
      <c r="A237" s="26">
        <f>+A236+1</f>
        <v>231</v>
      </c>
      <c r="B237" s="4" t="s">
        <v>494</v>
      </c>
      <c r="C237" s="7"/>
      <c r="D237" s="4" t="s">
        <v>485</v>
      </c>
      <c r="E237" s="19">
        <v>20000</v>
      </c>
      <c r="F237" s="29">
        <f>+VLOOKUP(B237,Distribuidor!$B$7:$D$533,3,0)</f>
        <v>14000</v>
      </c>
      <c r="G237" s="29">
        <f>+E237-F237</f>
        <v>6000</v>
      </c>
      <c r="H237" s="29"/>
      <c r="I237" s="29">
        <v>12000</v>
      </c>
      <c r="J237" s="29">
        <f>+E237*1.4</f>
        <v>28000</v>
      </c>
      <c r="K237" s="29">
        <f>+J237+I237</f>
        <v>40000</v>
      </c>
    </row>
    <row r="238" spans="1:11" ht="13" hidden="1" x14ac:dyDescent="0.25">
      <c r="A238" s="26">
        <f>+A237+1</f>
        <v>232</v>
      </c>
      <c r="B238" s="4" t="s">
        <v>474</v>
      </c>
      <c r="C238" s="7"/>
      <c r="D238" s="4" t="s">
        <v>14</v>
      </c>
      <c r="E238" s="19">
        <v>20000</v>
      </c>
      <c r="F238" s="29">
        <f>+VLOOKUP(B238,Distribuidor!$B$7:$D$533,3,0)</f>
        <v>14000</v>
      </c>
      <c r="G238" s="29">
        <f>+E238-F238</f>
        <v>6000</v>
      </c>
      <c r="H238" s="29"/>
      <c r="I238" s="29">
        <v>12000</v>
      </c>
      <c r="J238" s="29">
        <f>+E238*1.4</f>
        <v>28000</v>
      </c>
      <c r="K238" s="29">
        <f>+J238+I238</f>
        <v>40000</v>
      </c>
    </row>
    <row r="239" spans="1:11" ht="13" hidden="1" x14ac:dyDescent="0.25">
      <c r="A239" s="26">
        <f>+A238+1</f>
        <v>233</v>
      </c>
      <c r="B239" s="4" t="s">
        <v>55</v>
      </c>
      <c r="C239" s="7"/>
      <c r="D239" s="4" t="s">
        <v>5</v>
      </c>
      <c r="E239" s="19">
        <v>19000</v>
      </c>
      <c r="F239" s="29">
        <f>+VLOOKUP(B239,Distribuidor!$B$7:$D$533,3,0)</f>
        <v>13100</v>
      </c>
      <c r="G239" s="29">
        <f>+E239-F239</f>
        <v>5900</v>
      </c>
      <c r="H239" s="29"/>
      <c r="I239" s="29">
        <v>12000</v>
      </c>
      <c r="J239" s="29">
        <f>+E239*1.4</f>
        <v>26600</v>
      </c>
      <c r="K239" s="29">
        <f>+J239+I239</f>
        <v>38600</v>
      </c>
    </row>
    <row r="240" spans="1:11" ht="13" hidden="1" x14ac:dyDescent="0.25">
      <c r="A240" s="26">
        <f>+A239+1</f>
        <v>234</v>
      </c>
      <c r="B240" s="4" t="s">
        <v>375</v>
      </c>
      <c r="C240" s="7"/>
      <c r="D240" s="4" t="s">
        <v>8</v>
      </c>
      <c r="E240" s="19">
        <v>19000</v>
      </c>
      <c r="F240" s="29">
        <f>+VLOOKUP(B240,Distribuidor!$B$7:$D$533,3,0)</f>
        <v>13100</v>
      </c>
      <c r="G240" s="29">
        <f>+E240-F240</f>
        <v>5900</v>
      </c>
      <c r="H240" s="29"/>
      <c r="I240" s="29">
        <v>12000</v>
      </c>
      <c r="J240" s="29">
        <f>+E240*1.4</f>
        <v>26600</v>
      </c>
      <c r="K240" s="29">
        <f>+J240+I240</f>
        <v>38600</v>
      </c>
    </row>
    <row r="241" spans="1:16" ht="13" hidden="1" x14ac:dyDescent="0.25">
      <c r="A241" s="26">
        <f>+A240+1</f>
        <v>235</v>
      </c>
      <c r="B241" s="4" t="s">
        <v>82</v>
      </c>
      <c r="C241" s="7"/>
      <c r="D241" s="4" t="s">
        <v>13</v>
      </c>
      <c r="E241" s="19">
        <v>19000</v>
      </c>
      <c r="F241" s="29">
        <f>+VLOOKUP(B241,Distribuidor!$B$7:$D$533,3,0)</f>
        <v>12700</v>
      </c>
      <c r="G241" s="29">
        <f>+E241-F241</f>
        <v>6300</v>
      </c>
      <c r="H241" s="29"/>
      <c r="I241" s="29">
        <v>12000</v>
      </c>
      <c r="J241" s="29">
        <f>+E241*1.4</f>
        <v>26600</v>
      </c>
      <c r="K241" s="29">
        <f>+J241+I241</f>
        <v>38600</v>
      </c>
    </row>
    <row r="242" spans="1:16" ht="13" hidden="1" x14ac:dyDescent="0.25">
      <c r="A242" s="26">
        <f>+A241+1</f>
        <v>236</v>
      </c>
      <c r="B242" s="4" t="s">
        <v>497</v>
      </c>
      <c r="C242" s="7"/>
      <c r="D242" s="4" t="s">
        <v>130</v>
      </c>
      <c r="E242" s="19">
        <v>19000</v>
      </c>
      <c r="F242" s="29">
        <f>+VLOOKUP(B242,Distribuidor!$B$7:$D$533,3,0)</f>
        <v>12900</v>
      </c>
      <c r="G242" s="29">
        <f>+E242-F242</f>
        <v>6100</v>
      </c>
      <c r="H242" s="29"/>
      <c r="I242" s="29">
        <v>12000</v>
      </c>
      <c r="J242" s="29">
        <f>+E242*1.4</f>
        <v>26600</v>
      </c>
      <c r="K242" s="29">
        <f>+J242+I242</f>
        <v>38600</v>
      </c>
    </row>
    <row r="243" spans="1:16" ht="13" hidden="1" x14ac:dyDescent="0.25">
      <c r="A243" s="26">
        <f>+A242+1</f>
        <v>237</v>
      </c>
      <c r="B243" s="4" t="s">
        <v>283</v>
      </c>
      <c r="C243" s="7"/>
      <c r="D243" s="4" t="s">
        <v>281</v>
      </c>
      <c r="E243" s="19">
        <v>19000</v>
      </c>
      <c r="F243" s="29">
        <f>+VLOOKUP(B243,Distribuidor!$B$7:$D$533,3,0)</f>
        <v>12800</v>
      </c>
      <c r="G243" s="29">
        <f>+E243-F243</f>
        <v>6200</v>
      </c>
      <c r="H243" s="29"/>
      <c r="I243" s="29">
        <v>12000</v>
      </c>
      <c r="J243" s="29">
        <f>+E243*1.4</f>
        <v>26600</v>
      </c>
      <c r="K243" s="29">
        <f>+J243+I243</f>
        <v>38600</v>
      </c>
    </row>
    <row r="244" spans="1:16" ht="13" hidden="1" x14ac:dyDescent="0.25">
      <c r="A244" s="26">
        <f>+A243+1</f>
        <v>238</v>
      </c>
      <c r="B244" s="4" t="s">
        <v>559</v>
      </c>
      <c r="C244" s="7"/>
      <c r="D244" s="4" t="s">
        <v>14</v>
      </c>
      <c r="E244" s="19">
        <v>19000</v>
      </c>
      <c r="F244" s="29">
        <f>+VLOOKUP(B244,Distribuidor!$B$7:$D$533,3,0)</f>
        <v>13000</v>
      </c>
      <c r="G244" s="29">
        <f>+E244-F244</f>
        <v>6000</v>
      </c>
      <c r="H244" s="29"/>
      <c r="I244" s="29">
        <v>12000</v>
      </c>
      <c r="J244" s="29">
        <f>+E244*1.4</f>
        <v>26600</v>
      </c>
      <c r="K244" s="29">
        <f>+J244+I244</f>
        <v>38600</v>
      </c>
    </row>
    <row r="245" spans="1:16" ht="13" hidden="1" x14ac:dyDescent="0.25">
      <c r="A245" s="26">
        <f>+A244+1</f>
        <v>239</v>
      </c>
      <c r="B245" s="38" t="s">
        <v>11</v>
      </c>
      <c r="C245" s="7" t="s">
        <v>618</v>
      </c>
      <c r="D245" s="4" t="s">
        <v>8</v>
      </c>
      <c r="E245" s="19">
        <v>18000</v>
      </c>
      <c r="F245" s="29">
        <f>+VLOOKUP(B245,Distribuidor!$B$7:$D$533,3,0)</f>
        <v>12000</v>
      </c>
      <c r="G245" s="29">
        <f>+E245-F245</f>
        <v>6000</v>
      </c>
      <c r="H245" s="29">
        <f>+G245*L245</f>
        <v>30000</v>
      </c>
      <c r="I245" s="29">
        <v>12000</v>
      </c>
      <c r="J245" s="29">
        <f>+E245*1.4</f>
        <v>25200</v>
      </c>
      <c r="K245" s="29">
        <f>+J245+I245</f>
        <v>37200</v>
      </c>
      <c r="L245" s="1">
        <v>5</v>
      </c>
      <c r="M245" s="29">
        <f>+J245*L245</f>
        <v>126000</v>
      </c>
      <c r="N245" s="29">
        <v>15100</v>
      </c>
      <c r="O245" s="29">
        <f>9000+N245</f>
        <v>24100</v>
      </c>
      <c r="P245" s="37">
        <f>+O245-K245</f>
        <v>-13100</v>
      </c>
    </row>
    <row r="246" spans="1:16" ht="13" hidden="1" x14ac:dyDescent="0.25">
      <c r="A246" s="26">
        <f>+A245+1</f>
        <v>240</v>
      </c>
      <c r="B246" s="4" t="s">
        <v>165</v>
      </c>
      <c r="C246" s="7"/>
      <c r="D246" s="4" t="s">
        <v>164</v>
      </c>
      <c r="E246" s="19">
        <v>18000</v>
      </c>
      <c r="F246" s="29">
        <f>+VLOOKUP(B246,Distribuidor!$B$7:$D$533,3,0)</f>
        <v>12400</v>
      </c>
      <c r="G246" s="29">
        <f>+E246-F246</f>
        <v>5600</v>
      </c>
      <c r="H246" s="29"/>
      <c r="I246" s="29">
        <v>12000</v>
      </c>
      <c r="J246" s="29">
        <f>+E246*1.4</f>
        <v>25200</v>
      </c>
      <c r="K246" s="29">
        <f>+J246+I246</f>
        <v>37200</v>
      </c>
    </row>
    <row r="247" spans="1:16" ht="13" hidden="1" x14ac:dyDescent="0.25">
      <c r="A247" s="26">
        <f>+A246+1</f>
        <v>241</v>
      </c>
      <c r="B247" s="4" t="s">
        <v>166</v>
      </c>
      <c r="C247" s="7"/>
      <c r="D247" s="4" t="s">
        <v>164</v>
      </c>
      <c r="E247" s="19">
        <v>18000</v>
      </c>
      <c r="F247" s="29">
        <f>+VLOOKUP(B247,Distribuidor!$B$7:$D$533,3,0)</f>
        <v>12400</v>
      </c>
      <c r="G247" s="29">
        <f>+E247-F247</f>
        <v>5600</v>
      </c>
      <c r="H247" s="29"/>
      <c r="I247" s="29">
        <v>12000</v>
      </c>
      <c r="J247" s="29">
        <f>+E247*1.4</f>
        <v>25200</v>
      </c>
      <c r="K247" s="29">
        <f>+J247+I247</f>
        <v>37200</v>
      </c>
    </row>
    <row r="248" spans="1:16" ht="13" hidden="1" x14ac:dyDescent="0.25">
      <c r="A248" s="26">
        <f>+A247+1</f>
        <v>242</v>
      </c>
      <c r="B248" s="4" t="s">
        <v>167</v>
      </c>
      <c r="C248" s="7"/>
      <c r="D248" s="4" t="s">
        <v>164</v>
      </c>
      <c r="E248" s="19">
        <v>18000</v>
      </c>
      <c r="F248" s="29">
        <f>+VLOOKUP(B248,Distribuidor!$B$7:$D$533,3,0)</f>
        <v>12400</v>
      </c>
      <c r="G248" s="29">
        <f>+E248-F248</f>
        <v>5600</v>
      </c>
      <c r="H248" s="29"/>
      <c r="I248" s="29">
        <v>12000</v>
      </c>
      <c r="J248" s="29">
        <f>+E248*1.4</f>
        <v>25200</v>
      </c>
      <c r="K248" s="29">
        <f>+J248+I248</f>
        <v>37200</v>
      </c>
    </row>
    <row r="249" spans="1:16" ht="13" hidden="1" x14ac:dyDescent="0.25">
      <c r="A249" s="26">
        <f>+A248+1</f>
        <v>243</v>
      </c>
      <c r="B249" s="4" t="s">
        <v>168</v>
      </c>
      <c r="C249" s="7"/>
      <c r="D249" s="4" t="s">
        <v>164</v>
      </c>
      <c r="E249" s="19">
        <v>18000</v>
      </c>
      <c r="F249" s="29">
        <f>+VLOOKUP(B249,Distribuidor!$B$7:$D$533,3,0)</f>
        <v>12400</v>
      </c>
      <c r="G249" s="29">
        <f>+E249-F249</f>
        <v>5600</v>
      </c>
      <c r="H249" s="29"/>
      <c r="I249" s="29">
        <v>12000</v>
      </c>
      <c r="J249" s="29">
        <f>+E249*1.4</f>
        <v>25200</v>
      </c>
      <c r="K249" s="29">
        <f>+J249+I249</f>
        <v>37200</v>
      </c>
    </row>
    <row r="250" spans="1:16" ht="13" hidden="1" x14ac:dyDescent="0.25">
      <c r="A250" s="26">
        <f>+A249+1</f>
        <v>244</v>
      </c>
      <c r="B250" s="4" t="s">
        <v>169</v>
      </c>
      <c r="C250" s="7"/>
      <c r="D250" s="4" t="s">
        <v>164</v>
      </c>
      <c r="E250" s="19">
        <v>18000</v>
      </c>
      <c r="F250" s="29">
        <f>+VLOOKUP(B250,Distribuidor!$B$7:$D$533,3,0)</f>
        <v>12400</v>
      </c>
      <c r="G250" s="29">
        <f>+E250-F250</f>
        <v>5600</v>
      </c>
      <c r="H250" s="29"/>
      <c r="I250" s="29">
        <v>12000</v>
      </c>
      <c r="J250" s="29">
        <f>+E250*1.4</f>
        <v>25200</v>
      </c>
      <c r="K250" s="29">
        <f>+J250+I250</f>
        <v>37200</v>
      </c>
    </row>
    <row r="251" spans="1:16" ht="13" hidden="1" x14ac:dyDescent="0.25">
      <c r="A251" s="26">
        <f>+A250+1</f>
        <v>245</v>
      </c>
      <c r="B251" s="4" t="s">
        <v>76</v>
      </c>
      <c r="C251" s="7"/>
      <c r="D251" s="4" t="s">
        <v>0</v>
      </c>
      <c r="E251" s="19">
        <v>18000</v>
      </c>
      <c r="F251" s="29">
        <f>+VLOOKUP(B251,Distribuidor!$B$7:$D$533,3,0)</f>
        <v>12000</v>
      </c>
      <c r="G251" s="29">
        <f>+E251-F251</f>
        <v>6000</v>
      </c>
      <c r="H251" s="29"/>
      <c r="I251" s="29">
        <v>12000</v>
      </c>
      <c r="J251" s="29">
        <f>+E251*1.4</f>
        <v>25200</v>
      </c>
      <c r="K251" s="29">
        <f>+J251+I251</f>
        <v>37200</v>
      </c>
    </row>
    <row r="252" spans="1:16" ht="13" hidden="1" x14ac:dyDescent="0.25">
      <c r="A252" s="26">
        <f>+A251+1</f>
        <v>246</v>
      </c>
      <c r="B252" s="4" t="s">
        <v>79</v>
      </c>
      <c r="C252" s="7"/>
      <c r="D252" s="4" t="s">
        <v>13</v>
      </c>
      <c r="E252" s="19">
        <v>18000</v>
      </c>
      <c r="F252" s="29">
        <f>+VLOOKUP(B252,Distribuidor!$B$7:$D$533,3,0)</f>
        <v>12000</v>
      </c>
      <c r="G252" s="29">
        <f>+E252-F252</f>
        <v>6000</v>
      </c>
      <c r="H252" s="29"/>
      <c r="I252" s="29">
        <v>12000</v>
      </c>
      <c r="J252" s="29">
        <f>+E252*1.4</f>
        <v>25200</v>
      </c>
      <c r="K252" s="29">
        <f>+J252+I252</f>
        <v>37200</v>
      </c>
    </row>
    <row r="253" spans="1:16" ht="13" hidden="1" x14ac:dyDescent="0.25">
      <c r="A253" s="26">
        <f>+A252+1</f>
        <v>247</v>
      </c>
      <c r="B253" s="4" t="s">
        <v>93</v>
      </c>
      <c r="C253" s="7"/>
      <c r="D253" s="4" t="s">
        <v>2</v>
      </c>
      <c r="E253" s="19">
        <v>18000</v>
      </c>
      <c r="F253" s="29">
        <f>+VLOOKUP(B253,Distribuidor!$B$7:$D$533,3,0)</f>
        <v>12500</v>
      </c>
      <c r="G253" s="29">
        <f>+E253-F253</f>
        <v>5500</v>
      </c>
      <c r="H253" s="29"/>
      <c r="I253" s="29">
        <v>12000</v>
      </c>
      <c r="J253" s="29">
        <f>+E253*1.4</f>
        <v>25200</v>
      </c>
      <c r="K253" s="29">
        <f>+J253+I253</f>
        <v>37200</v>
      </c>
    </row>
    <row r="254" spans="1:16" ht="13" hidden="1" x14ac:dyDescent="0.25">
      <c r="A254" s="26">
        <f>+A253+1</f>
        <v>248</v>
      </c>
      <c r="B254" s="4" t="s">
        <v>153</v>
      </c>
      <c r="C254" s="7"/>
      <c r="D254" s="4" t="s">
        <v>137</v>
      </c>
      <c r="E254" s="19">
        <v>18000</v>
      </c>
      <c r="F254" s="29">
        <f>+VLOOKUP(B254,Distribuidor!$B$7:$D$533,3,0)</f>
        <v>12200</v>
      </c>
      <c r="G254" s="29">
        <f>+E254-F254</f>
        <v>5800</v>
      </c>
      <c r="H254" s="29"/>
      <c r="I254" s="29">
        <v>12000</v>
      </c>
      <c r="J254" s="29">
        <f>+E254*1.4</f>
        <v>25200</v>
      </c>
      <c r="K254" s="29">
        <f>+J254+I254</f>
        <v>37200</v>
      </c>
    </row>
    <row r="255" spans="1:16" ht="13" hidden="1" x14ac:dyDescent="0.25">
      <c r="A255" s="26">
        <f>+A254+1</f>
        <v>249</v>
      </c>
      <c r="B255" s="4" t="s">
        <v>377</v>
      </c>
      <c r="C255" s="7"/>
      <c r="D255" s="4" t="s">
        <v>376</v>
      </c>
      <c r="E255" s="19">
        <v>18000</v>
      </c>
      <c r="F255" s="29">
        <f>+VLOOKUP(B255,Distribuidor!$B$7:$D$533,3,0)</f>
        <v>12000</v>
      </c>
      <c r="G255" s="29">
        <f>+E255-F255</f>
        <v>6000</v>
      </c>
      <c r="H255" s="29"/>
      <c r="I255" s="29">
        <v>12000</v>
      </c>
      <c r="J255" s="29">
        <f>+E255*1.4</f>
        <v>25200</v>
      </c>
      <c r="K255" s="29">
        <f>+J255+I255</f>
        <v>37200</v>
      </c>
    </row>
    <row r="256" spans="1:16" ht="13" hidden="1" x14ac:dyDescent="0.25">
      <c r="A256" s="26">
        <f>+A255+1</f>
        <v>250</v>
      </c>
      <c r="B256" s="4" t="s">
        <v>490</v>
      </c>
      <c r="C256" s="7"/>
      <c r="D256" s="4" t="s">
        <v>485</v>
      </c>
      <c r="E256" s="19">
        <v>18000</v>
      </c>
      <c r="F256" s="29">
        <f>+VLOOKUP(B256,Distribuidor!$B$7:$D$533,3,0)</f>
        <v>12200</v>
      </c>
      <c r="G256" s="29">
        <f>+E256-F256</f>
        <v>5800</v>
      </c>
      <c r="H256" s="29"/>
      <c r="I256" s="29">
        <v>12000</v>
      </c>
      <c r="J256" s="29">
        <f>+E256*1.4</f>
        <v>25200</v>
      </c>
      <c r="K256" s="29">
        <f>+J256+I256</f>
        <v>37200</v>
      </c>
    </row>
    <row r="257" spans="1:16" ht="13" hidden="1" x14ac:dyDescent="0.25">
      <c r="A257" s="26">
        <f>+A256+1</f>
        <v>251</v>
      </c>
      <c r="B257" s="4" t="s">
        <v>491</v>
      </c>
      <c r="C257" s="7"/>
      <c r="D257" s="4" t="s">
        <v>485</v>
      </c>
      <c r="E257" s="19">
        <v>18000</v>
      </c>
      <c r="F257" s="29">
        <f>+VLOOKUP(B257,Distribuidor!$B$7:$D$533,3,0)</f>
        <v>12000</v>
      </c>
      <c r="G257" s="29">
        <f>+E257-F257</f>
        <v>6000</v>
      </c>
      <c r="H257" s="29"/>
      <c r="I257" s="29">
        <v>12000</v>
      </c>
      <c r="J257" s="29">
        <f>+E257*1.4</f>
        <v>25200</v>
      </c>
      <c r="K257" s="29">
        <f>+J257+I257</f>
        <v>37200</v>
      </c>
    </row>
    <row r="258" spans="1:16" ht="13" hidden="1" x14ac:dyDescent="0.25">
      <c r="A258" s="26">
        <f>+A257+1</f>
        <v>252</v>
      </c>
      <c r="B258" s="4" t="s">
        <v>504</v>
      </c>
      <c r="C258" s="7"/>
      <c r="D258" s="4" t="s">
        <v>485</v>
      </c>
      <c r="E258" s="19">
        <v>18000</v>
      </c>
      <c r="F258" s="29">
        <f>+VLOOKUP(B258,Distribuidor!$B$7:$D$533,3,0)</f>
        <v>12000</v>
      </c>
      <c r="G258" s="29">
        <f>+E258-F258</f>
        <v>6000</v>
      </c>
      <c r="H258" s="29"/>
      <c r="I258" s="29">
        <v>12000</v>
      </c>
      <c r="J258" s="29">
        <f>+E258*1.4</f>
        <v>25200</v>
      </c>
      <c r="K258" s="29">
        <f>+J258+I258</f>
        <v>37200</v>
      </c>
    </row>
    <row r="259" spans="1:16" ht="13" hidden="1" x14ac:dyDescent="0.25">
      <c r="A259" s="26">
        <f>+A258+1</f>
        <v>253</v>
      </c>
      <c r="B259" s="4" t="s">
        <v>445</v>
      </c>
      <c r="C259" s="7"/>
      <c r="D259" s="4" t="s">
        <v>14</v>
      </c>
      <c r="E259" s="19">
        <v>18000</v>
      </c>
      <c r="F259" s="29">
        <f>+VLOOKUP(B259,Distribuidor!$B$7:$D$533,3,0)</f>
        <v>12000</v>
      </c>
      <c r="G259" s="29">
        <f>+E259-F259</f>
        <v>6000</v>
      </c>
      <c r="H259" s="29"/>
      <c r="I259" s="29">
        <v>12000</v>
      </c>
      <c r="J259" s="29">
        <f>+E259*1.4</f>
        <v>25200</v>
      </c>
      <c r="K259" s="29">
        <f>+J259+I259</f>
        <v>37200</v>
      </c>
    </row>
    <row r="260" spans="1:16" ht="13" hidden="1" x14ac:dyDescent="0.25">
      <c r="A260" s="26">
        <f>+A259+1</f>
        <v>254</v>
      </c>
      <c r="B260" s="4" t="s">
        <v>233</v>
      </c>
      <c r="C260" s="7"/>
      <c r="D260" s="4" t="s">
        <v>8</v>
      </c>
      <c r="E260" s="19">
        <v>17000</v>
      </c>
      <c r="F260" s="29">
        <f>+VLOOKUP(B260,Distribuidor!$B$7:$D$533,3,0)</f>
        <v>11900</v>
      </c>
      <c r="G260" s="29">
        <f>+E260-F260</f>
        <v>5100</v>
      </c>
      <c r="H260" s="29"/>
      <c r="I260" s="29">
        <v>12000</v>
      </c>
      <c r="J260" s="29">
        <f>+E260*1.4</f>
        <v>23800</v>
      </c>
      <c r="K260" s="29">
        <f>+J260+I260</f>
        <v>35800</v>
      </c>
    </row>
    <row r="261" spans="1:16" ht="13" hidden="1" x14ac:dyDescent="0.25">
      <c r="A261" s="26">
        <f>+A260+1</f>
        <v>255</v>
      </c>
      <c r="B261" s="4" t="s">
        <v>334</v>
      </c>
      <c r="C261" s="7"/>
      <c r="D261" s="4" t="s">
        <v>117</v>
      </c>
      <c r="E261" s="19">
        <v>17000</v>
      </c>
      <c r="F261" s="29">
        <f>+VLOOKUP(B261,Distribuidor!$B$7:$D$533,3,0)</f>
        <v>11500</v>
      </c>
      <c r="G261" s="29">
        <f>+E261-F261</f>
        <v>5500</v>
      </c>
      <c r="H261" s="29"/>
      <c r="I261" s="29">
        <v>12000</v>
      </c>
      <c r="J261" s="29">
        <f>+E261*1.4</f>
        <v>23800</v>
      </c>
      <c r="K261" s="29">
        <f>+J261+I261</f>
        <v>35800</v>
      </c>
    </row>
    <row r="262" spans="1:16" ht="13" hidden="1" x14ac:dyDescent="0.25">
      <c r="A262" s="26">
        <f>+A261+1</f>
        <v>256</v>
      </c>
      <c r="B262" s="4" t="s">
        <v>114</v>
      </c>
      <c r="C262" s="7"/>
      <c r="D262" s="4" t="s">
        <v>113</v>
      </c>
      <c r="E262" s="19">
        <v>17000</v>
      </c>
      <c r="F262" s="29">
        <f>+VLOOKUP(B262,Distribuidor!$B$7:$D$533,3,0)</f>
        <v>11500</v>
      </c>
      <c r="G262" s="29">
        <f>+E262-F262</f>
        <v>5500</v>
      </c>
      <c r="H262" s="29"/>
      <c r="I262" s="29">
        <v>12000</v>
      </c>
      <c r="J262" s="29">
        <f>+E262*1.4</f>
        <v>23800</v>
      </c>
      <c r="K262" s="29">
        <f>+J262+I262</f>
        <v>35800</v>
      </c>
    </row>
    <row r="263" spans="1:16" ht="13" hidden="1" x14ac:dyDescent="0.25">
      <c r="A263" s="26">
        <f>+A262+1</f>
        <v>257</v>
      </c>
      <c r="B263" s="4" t="s">
        <v>176</v>
      </c>
      <c r="C263" s="7"/>
      <c r="D263" s="4" t="s">
        <v>113</v>
      </c>
      <c r="E263" s="19">
        <v>17000</v>
      </c>
      <c r="F263" s="29">
        <f>+VLOOKUP(B263,Distribuidor!$B$7:$D$533,3,0)</f>
        <v>11500</v>
      </c>
      <c r="G263" s="29">
        <f>+E263-F263</f>
        <v>5500</v>
      </c>
      <c r="H263" s="29"/>
      <c r="I263" s="29">
        <v>12000</v>
      </c>
      <c r="J263" s="29">
        <f>+E263*1.4</f>
        <v>23800</v>
      </c>
      <c r="K263" s="29">
        <f>+J263+I263</f>
        <v>35800</v>
      </c>
    </row>
    <row r="264" spans="1:16" ht="13" hidden="1" x14ac:dyDescent="0.25">
      <c r="A264" s="26">
        <f>+A263+1</f>
        <v>258</v>
      </c>
      <c r="B264" s="4" t="s">
        <v>177</v>
      </c>
      <c r="C264" s="7"/>
      <c r="D264" s="4" t="s">
        <v>113</v>
      </c>
      <c r="E264" s="19">
        <v>17000</v>
      </c>
      <c r="F264" s="29">
        <f>+VLOOKUP(B264,Distribuidor!$B$7:$D$533,3,0)</f>
        <v>11500</v>
      </c>
      <c r="G264" s="29">
        <f>+E264-F264</f>
        <v>5500</v>
      </c>
      <c r="H264" s="29"/>
      <c r="I264" s="29">
        <v>12000</v>
      </c>
      <c r="J264" s="29">
        <f>+E264*1.4</f>
        <v>23800</v>
      </c>
      <c r="K264" s="29">
        <f>+J264+I264</f>
        <v>35800</v>
      </c>
    </row>
    <row r="265" spans="1:16" ht="13" hidden="1" x14ac:dyDescent="0.25">
      <c r="A265" s="26">
        <f>+A264+1</f>
        <v>259</v>
      </c>
      <c r="B265" s="4" t="s">
        <v>564</v>
      </c>
      <c r="C265" s="7"/>
      <c r="D265" s="4" t="s">
        <v>113</v>
      </c>
      <c r="E265" s="19">
        <v>17000</v>
      </c>
      <c r="F265" s="29">
        <f>+VLOOKUP(B265,Distribuidor!$B$7:$D$533,3,0)</f>
        <v>11500</v>
      </c>
      <c r="G265" s="29">
        <f>+E265-F265</f>
        <v>5500</v>
      </c>
      <c r="H265" s="29"/>
      <c r="I265" s="29">
        <v>12000</v>
      </c>
      <c r="J265" s="29">
        <f>+E265*1.4</f>
        <v>23800</v>
      </c>
      <c r="K265" s="29">
        <f>+J265+I265</f>
        <v>35800</v>
      </c>
    </row>
    <row r="266" spans="1:16" ht="13" hidden="1" x14ac:dyDescent="0.25">
      <c r="A266" s="26">
        <f>+A265+1</f>
        <v>260</v>
      </c>
      <c r="B266" s="4" t="s">
        <v>178</v>
      </c>
      <c r="C266" s="7"/>
      <c r="D266" s="4" t="s">
        <v>113</v>
      </c>
      <c r="E266" s="19">
        <v>17000</v>
      </c>
      <c r="F266" s="29">
        <f>+VLOOKUP(B266,Distribuidor!$B$7:$D$533,3,0)</f>
        <v>11500</v>
      </c>
      <c r="G266" s="29">
        <f>+E266-F266</f>
        <v>5500</v>
      </c>
      <c r="H266" s="29"/>
      <c r="I266" s="29">
        <v>12000</v>
      </c>
      <c r="J266" s="29">
        <f>+E266*1.4</f>
        <v>23800</v>
      </c>
      <c r="K266" s="29">
        <f>+J266+I266</f>
        <v>35800</v>
      </c>
    </row>
    <row r="267" spans="1:16" ht="13" hidden="1" x14ac:dyDescent="0.25">
      <c r="A267" s="26">
        <f>+A266+1</f>
        <v>261</v>
      </c>
      <c r="B267" s="4" t="s">
        <v>73</v>
      </c>
      <c r="C267" s="7"/>
      <c r="D267" s="4" t="s">
        <v>0</v>
      </c>
      <c r="E267" s="19">
        <v>17000</v>
      </c>
      <c r="F267" s="29">
        <f>+VLOOKUP(B267,Distribuidor!$B$7:$D$533,3,0)</f>
        <v>11500</v>
      </c>
      <c r="G267" s="29">
        <f>+E267-F267</f>
        <v>5500</v>
      </c>
      <c r="H267" s="29"/>
      <c r="I267" s="29">
        <v>12000</v>
      </c>
      <c r="J267" s="29">
        <f>+E267*1.4</f>
        <v>23800</v>
      </c>
      <c r="K267" s="29">
        <f>+J267+I267</f>
        <v>35800</v>
      </c>
    </row>
    <row r="268" spans="1:16" ht="13" hidden="1" x14ac:dyDescent="0.25">
      <c r="A268" s="26">
        <f>+A267+1</f>
        <v>262</v>
      </c>
      <c r="B268" s="38" t="s">
        <v>74</v>
      </c>
      <c r="C268" s="7" t="s">
        <v>618</v>
      </c>
      <c r="D268" s="4" t="s">
        <v>0</v>
      </c>
      <c r="E268" s="19">
        <v>17000</v>
      </c>
      <c r="F268" s="29">
        <f>+VLOOKUP(B268,Distribuidor!$B$7:$D$533,3,0)</f>
        <v>11500</v>
      </c>
      <c r="G268" s="29">
        <f>+E268-F268</f>
        <v>5500</v>
      </c>
      <c r="H268" s="29">
        <f>+G268*L268</f>
        <v>27500</v>
      </c>
      <c r="I268" s="29">
        <v>12000</v>
      </c>
      <c r="J268" s="29">
        <f>+E268*1.4</f>
        <v>23800</v>
      </c>
      <c r="K268" s="29">
        <f>+J268+I268</f>
        <v>35800</v>
      </c>
      <c r="L268" s="1">
        <v>5</v>
      </c>
      <c r="M268" s="29">
        <f>+J268*L268</f>
        <v>119000</v>
      </c>
      <c r="N268" s="29">
        <v>13700</v>
      </c>
      <c r="O268" s="29">
        <f>9000+N268</f>
        <v>22700</v>
      </c>
      <c r="P268" s="37">
        <f>+O268-K268</f>
        <v>-13100</v>
      </c>
    </row>
    <row r="269" spans="1:16" ht="13" hidden="1" x14ac:dyDescent="0.25">
      <c r="A269" s="26">
        <f>+A268+1</f>
        <v>263</v>
      </c>
      <c r="B269" s="4" t="s">
        <v>81</v>
      </c>
      <c r="C269" s="7"/>
      <c r="D269" s="4" t="s">
        <v>13</v>
      </c>
      <c r="E269" s="19">
        <v>17000</v>
      </c>
      <c r="F269" s="29">
        <f>+VLOOKUP(B269,Distribuidor!$B$7:$D$533,3,0)</f>
        <v>11900</v>
      </c>
      <c r="G269" s="29">
        <f>+E269-F269</f>
        <v>5100</v>
      </c>
      <c r="H269" s="29"/>
      <c r="I269" s="29">
        <v>12000</v>
      </c>
      <c r="J269" s="29">
        <f>+E269*1.4</f>
        <v>23800</v>
      </c>
      <c r="K269" s="29">
        <f>+J269+I269</f>
        <v>35800</v>
      </c>
    </row>
    <row r="270" spans="1:16" ht="13" hidden="1" x14ac:dyDescent="0.25">
      <c r="A270" s="26">
        <f>+A269+1</f>
        <v>264</v>
      </c>
      <c r="B270" s="4" t="s">
        <v>83</v>
      </c>
      <c r="C270" s="7"/>
      <c r="D270" s="4" t="s">
        <v>2</v>
      </c>
      <c r="E270" s="19">
        <v>17000</v>
      </c>
      <c r="F270" s="29">
        <f>+VLOOKUP(B270,Distribuidor!$B$7:$D$533,3,0)</f>
        <v>11300</v>
      </c>
      <c r="G270" s="29">
        <f>+E270-F270</f>
        <v>5700</v>
      </c>
      <c r="H270" s="29"/>
      <c r="I270" s="29">
        <v>12000</v>
      </c>
      <c r="J270" s="29">
        <f>+E270*1.4</f>
        <v>23800</v>
      </c>
      <c r="K270" s="29">
        <f>+J270+I270</f>
        <v>35800</v>
      </c>
    </row>
    <row r="271" spans="1:16" ht="13" hidden="1" x14ac:dyDescent="0.25">
      <c r="A271" s="26">
        <f>+A270+1</f>
        <v>265</v>
      </c>
      <c r="B271" s="4" t="s">
        <v>532</v>
      </c>
      <c r="C271" s="7"/>
      <c r="D271" s="4" t="s">
        <v>529</v>
      </c>
      <c r="E271" s="19">
        <v>17000</v>
      </c>
      <c r="F271" s="29">
        <f>+VLOOKUP(B271,Distribuidor!$B$7:$D$533,3,0)</f>
        <v>11500</v>
      </c>
      <c r="G271" s="29">
        <f>+E271-F271</f>
        <v>5500</v>
      </c>
      <c r="H271" s="29"/>
      <c r="I271" s="29">
        <v>12000</v>
      </c>
      <c r="J271" s="29">
        <f>+E271*1.4</f>
        <v>23800</v>
      </c>
      <c r="K271" s="29">
        <f>+J271+I271</f>
        <v>35800</v>
      </c>
    </row>
    <row r="272" spans="1:16" ht="13" hidden="1" x14ac:dyDescent="0.25">
      <c r="A272" s="26">
        <f>+A271+1</f>
        <v>266</v>
      </c>
      <c r="B272" s="4" t="s">
        <v>34</v>
      </c>
      <c r="C272" s="7"/>
      <c r="D272" s="4" t="s">
        <v>29</v>
      </c>
      <c r="E272" s="19">
        <v>17000</v>
      </c>
      <c r="F272" s="29">
        <f>+VLOOKUP(B272,Distribuidor!$B$7:$D$533,3,0)</f>
        <v>11500</v>
      </c>
      <c r="G272" s="29">
        <f>+E272-F272</f>
        <v>5500</v>
      </c>
      <c r="H272" s="29"/>
      <c r="I272" s="29">
        <v>12000</v>
      </c>
      <c r="J272" s="29">
        <f>+E272*1.4</f>
        <v>23800</v>
      </c>
      <c r="K272" s="29">
        <f>+J272+I272</f>
        <v>35800</v>
      </c>
    </row>
    <row r="273" spans="1:16" ht="13" hidden="1" x14ac:dyDescent="0.25">
      <c r="A273" s="26">
        <f>+A272+1</f>
        <v>267</v>
      </c>
      <c r="B273" s="2" t="s">
        <v>205</v>
      </c>
      <c r="C273" s="7"/>
      <c r="D273" s="4" t="s">
        <v>29</v>
      </c>
      <c r="E273" s="19">
        <v>17000</v>
      </c>
      <c r="F273" s="29">
        <f>+VLOOKUP(B273,Distribuidor!$B$7:$D$533,3,0)</f>
        <v>11500</v>
      </c>
      <c r="G273" s="29">
        <f>+E273-F273</f>
        <v>5500</v>
      </c>
      <c r="H273" s="29"/>
      <c r="I273" s="29">
        <v>12000</v>
      </c>
      <c r="J273" s="29">
        <f>+E273*1.4</f>
        <v>23800</v>
      </c>
      <c r="K273" s="29">
        <f>+J273+I273</f>
        <v>35800</v>
      </c>
    </row>
    <row r="274" spans="1:16" ht="13" hidden="1" x14ac:dyDescent="0.25">
      <c r="A274" s="26">
        <f>+A273+1</f>
        <v>268</v>
      </c>
      <c r="B274" s="2" t="s">
        <v>206</v>
      </c>
      <c r="C274" s="7"/>
      <c r="D274" s="4" t="s">
        <v>29</v>
      </c>
      <c r="E274" s="19">
        <v>17000</v>
      </c>
      <c r="F274" s="29">
        <f>+VLOOKUP(B274,Distribuidor!$B$7:$D$533,3,0)</f>
        <v>11500</v>
      </c>
      <c r="G274" s="29">
        <f>+E274-F274</f>
        <v>5500</v>
      </c>
      <c r="H274" s="29"/>
      <c r="I274" s="29">
        <v>12000</v>
      </c>
      <c r="J274" s="29">
        <f>+E274*1.4</f>
        <v>23800</v>
      </c>
      <c r="K274" s="29">
        <f>+J274+I274</f>
        <v>35800</v>
      </c>
    </row>
    <row r="275" spans="1:16" ht="13" hidden="1" x14ac:dyDescent="0.25">
      <c r="A275" s="26">
        <f>+A274+1</f>
        <v>269</v>
      </c>
      <c r="B275" s="38" t="s">
        <v>230</v>
      </c>
      <c r="C275" s="7" t="s">
        <v>618</v>
      </c>
      <c r="D275" s="4" t="s">
        <v>29</v>
      </c>
      <c r="E275" s="19">
        <v>17000</v>
      </c>
      <c r="F275" s="29">
        <f>+VLOOKUP(B275,Distribuidor!$B$7:$D$533,3,0)</f>
        <v>11900</v>
      </c>
      <c r="G275" s="29">
        <f>+E275-F275</f>
        <v>5100</v>
      </c>
      <c r="H275" s="29">
        <f>+G275*L275</f>
        <v>25500</v>
      </c>
      <c r="I275" s="29">
        <v>12000</v>
      </c>
      <c r="J275" s="29">
        <f>+E275*1.4</f>
        <v>23800</v>
      </c>
      <c r="K275" s="29">
        <f>+J275+I275</f>
        <v>35800</v>
      </c>
      <c r="L275" s="1">
        <v>5</v>
      </c>
      <c r="M275" s="29">
        <f>+J275*L275</f>
        <v>119000</v>
      </c>
      <c r="N275" s="29">
        <v>14000</v>
      </c>
      <c r="O275" s="29">
        <f>9000+N275</f>
        <v>23000</v>
      </c>
      <c r="P275" s="37">
        <f>+O275-K275</f>
        <v>-12800</v>
      </c>
    </row>
    <row r="276" spans="1:16" ht="13" hidden="1" x14ac:dyDescent="0.25">
      <c r="A276" s="26">
        <f>+A275+1</f>
        <v>270</v>
      </c>
      <c r="B276" s="38" t="s">
        <v>231</v>
      </c>
      <c r="C276" s="7" t="s">
        <v>618</v>
      </c>
      <c r="D276" s="4" t="s">
        <v>29</v>
      </c>
      <c r="E276" s="19">
        <v>17000</v>
      </c>
      <c r="F276" s="29">
        <f>+VLOOKUP(B276,Distribuidor!$B$7:$D$533,3,0)</f>
        <v>11500</v>
      </c>
      <c r="G276" s="29">
        <f>+E276-F276</f>
        <v>5500</v>
      </c>
      <c r="H276" s="29">
        <f>+G276*L276</f>
        <v>27500</v>
      </c>
      <c r="I276" s="29">
        <v>12000</v>
      </c>
      <c r="J276" s="29">
        <f>+E276*1.4</f>
        <v>23800</v>
      </c>
      <c r="K276" s="29">
        <f>+J276+I276</f>
        <v>35800</v>
      </c>
      <c r="L276" s="1">
        <v>5</v>
      </c>
      <c r="M276" s="29">
        <f>+J276*L276</f>
        <v>119000</v>
      </c>
      <c r="N276" s="29">
        <v>16900</v>
      </c>
      <c r="O276" s="29">
        <f>9000+N276</f>
        <v>25900</v>
      </c>
      <c r="P276" s="37">
        <f>+O276-K276</f>
        <v>-9900</v>
      </c>
    </row>
    <row r="277" spans="1:16" ht="13" hidden="1" x14ac:dyDescent="0.25">
      <c r="A277" s="26">
        <f>+A276+1</f>
        <v>271</v>
      </c>
      <c r="B277" s="38" t="s">
        <v>544</v>
      </c>
      <c r="C277" s="7" t="s">
        <v>618</v>
      </c>
      <c r="D277" s="4" t="s">
        <v>543</v>
      </c>
      <c r="E277" s="19">
        <v>17000</v>
      </c>
      <c r="F277" s="29">
        <f>+VLOOKUP(B277,Distribuidor!$B$7:$D$533,3,0)</f>
        <v>11300</v>
      </c>
      <c r="G277" s="29">
        <f>+E277-F277</f>
        <v>5700</v>
      </c>
      <c r="H277" s="29">
        <f>+G277*L277</f>
        <v>28500</v>
      </c>
      <c r="I277" s="29">
        <v>12000</v>
      </c>
      <c r="J277" s="29">
        <f>+E277*1.4</f>
        <v>23800</v>
      </c>
      <c r="K277" s="29">
        <f>+J277+I277</f>
        <v>35800</v>
      </c>
      <c r="L277" s="1">
        <v>5</v>
      </c>
      <c r="M277" s="29">
        <f>+J277*L277</f>
        <v>119000</v>
      </c>
      <c r="N277" s="5">
        <f>+E277</f>
        <v>17000</v>
      </c>
      <c r="O277" s="29">
        <f>9000+N277</f>
        <v>26000</v>
      </c>
      <c r="P277" s="37">
        <f>+O277-K277</f>
        <v>-9800</v>
      </c>
    </row>
    <row r="278" spans="1:16" ht="13" hidden="1" x14ac:dyDescent="0.25">
      <c r="A278" s="26">
        <f>+A277+1</f>
        <v>272</v>
      </c>
      <c r="B278" s="2" t="s">
        <v>271</v>
      </c>
      <c r="C278" s="7"/>
      <c r="D278" s="4" t="s">
        <v>130</v>
      </c>
      <c r="E278" s="19">
        <v>17000</v>
      </c>
      <c r="F278" s="29">
        <f>+VLOOKUP(B278,Distribuidor!$B$7:$D$533,3,0)</f>
        <v>11500</v>
      </c>
      <c r="G278" s="29">
        <f>+E278-F278</f>
        <v>5500</v>
      </c>
      <c r="H278" s="29"/>
      <c r="I278" s="29">
        <v>12000</v>
      </c>
      <c r="J278" s="29">
        <f>+E278*1.4</f>
        <v>23800</v>
      </c>
      <c r="K278" s="29">
        <f>+J278+I278</f>
        <v>35800</v>
      </c>
    </row>
    <row r="279" spans="1:16" ht="13" hidden="1" x14ac:dyDescent="0.25">
      <c r="A279" s="26">
        <f>+A278+1</f>
        <v>273</v>
      </c>
      <c r="B279" s="2" t="s">
        <v>133</v>
      </c>
      <c r="C279" s="7"/>
      <c r="D279" s="4" t="s">
        <v>130</v>
      </c>
      <c r="E279" s="19">
        <v>17000</v>
      </c>
      <c r="F279" s="29">
        <f>+VLOOKUP(B279,Distribuidor!$B$7:$D$533,3,0)</f>
        <v>11500</v>
      </c>
      <c r="G279" s="29">
        <f>+E279-F279</f>
        <v>5500</v>
      </c>
      <c r="H279" s="29"/>
      <c r="I279" s="29">
        <v>12000</v>
      </c>
      <c r="J279" s="29">
        <f>+E279*1.4</f>
        <v>23800</v>
      </c>
      <c r="K279" s="29">
        <f>+J279+I279</f>
        <v>35800</v>
      </c>
    </row>
    <row r="280" spans="1:16" ht="13" hidden="1" x14ac:dyDescent="0.25">
      <c r="A280" s="26">
        <f>+A279+1</f>
        <v>274</v>
      </c>
      <c r="B280" s="2" t="s">
        <v>380</v>
      </c>
      <c r="C280" s="7"/>
      <c r="D280" s="4" t="s">
        <v>281</v>
      </c>
      <c r="E280" s="19">
        <v>17000</v>
      </c>
      <c r="F280" s="29">
        <f>+VLOOKUP(B280,Distribuidor!$B$7:$D$533,3,0)</f>
        <v>11300</v>
      </c>
      <c r="G280" s="29">
        <f>+E280-F280</f>
        <v>5700</v>
      </c>
      <c r="H280" s="29"/>
      <c r="I280" s="29">
        <v>12000</v>
      </c>
      <c r="J280" s="29">
        <f>+E280*1.4</f>
        <v>23800</v>
      </c>
      <c r="K280" s="29">
        <f>+J280+I280</f>
        <v>35800</v>
      </c>
    </row>
    <row r="281" spans="1:16" ht="13" hidden="1" x14ac:dyDescent="0.25">
      <c r="A281" s="26">
        <f>+A280+1</f>
        <v>275</v>
      </c>
      <c r="B281" s="2" t="s">
        <v>381</v>
      </c>
      <c r="C281" s="7"/>
      <c r="D281" s="4" t="s">
        <v>281</v>
      </c>
      <c r="E281" s="19">
        <v>17000</v>
      </c>
      <c r="F281" s="29">
        <f>+VLOOKUP(B281,Distribuidor!$B$7:$D$533,3,0)</f>
        <v>11300</v>
      </c>
      <c r="G281" s="29">
        <f>+E281-F281</f>
        <v>5700</v>
      </c>
      <c r="H281" s="29"/>
      <c r="I281" s="29">
        <v>12000</v>
      </c>
      <c r="J281" s="29">
        <f>+E281*1.4</f>
        <v>23800</v>
      </c>
      <c r="K281" s="29">
        <f>+J281+I281</f>
        <v>35800</v>
      </c>
    </row>
    <row r="282" spans="1:16" ht="13" hidden="1" x14ac:dyDescent="0.25">
      <c r="A282" s="26">
        <f>+A281+1</f>
        <v>276</v>
      </c>
      <c r="B282" s="39" t="s">
        <v>119</v>
      </c>
      <c r="C282" s="7" t="s">
        <v>618</v>
      </c>
      <c r="D282" s="4" t="s">
        <v>117</v>
      </c>
      <c r="E282" s="19">
        <v>16000</v>
      </c>
      <c r="F282" s="29">
        <f>+VLOOKUP(B282,Distribuidor!$B$7:$D$533,3,0)</f>
        <v>10800</v>
      </c>
      <c r="G282" s="29">
        <f>+E282-F282</f>
        <v>5200</v>
      </c>
      <c r="H282" s="29">
        <f>+G282*L282</f>
        <v>26000</v>
      </c>
      <c r="I282" s="29">
        <v>12000</v>
      </c>
      <c r="J282" s="29">
        <f>+E282*1.4</f>
        <v>22400</v>
      </c>
      <c r="K282" s="29">
        <f>+J282+I282</f>
        <v>34400</v>
      </c>
      <c r="L282" s="1">
        <v>5</v>
      </c>
      <c r="M282" s="29">
        <f>+J282*L282</f>
        <v>112000</v>
      </c>
      <c r="N282" s="29">
        <v>27000</v>
      </c>
      <c r="O282" s="29">
        <f>9000+N282</f>
        <v>36000</v>
      </c>
      <c r="P282" s="37">
        <f>+O282-K282</f>
        <v>1600</v>
      </c>
    </row>
    <row r="283" spans="1:16" ht="13" hidden="1" x14ac:dyDescent="0.25">
      <c r="A283" s="26">
        <f>+A282+1</f>
        <v>277</v>
      </c>
      <c r="B283" s="4" t="s">
        <v>118</v>
      </c>
      <c r="C283" s="7"/>
      <c r="D283" s="4" t="s">
        <v>117</v>
      </c>
      <c r="E283" s="19">
        <v>16000</v>
      </c>
      <c r="F283" s="29">
        <f>+VLOOKUP(B283,Distribuidor!$B$7:$D$533,3,0)</f>
        <v>10800</v>
      </c>
      <c r="G283" s="29">
        <f>+E283-F283</f>
        <v>5200</v>
      </c>
      <c r="H283" s="29"/>
      <c r="I283" s="29">
        <v>12000</v>
      </c>
      <c r="J283" s="29">
        <f>+E283*1.4</f>
        <v>22400</v>
      </c>
      <c r="K283" s="29">
        <f>+J283+I283</f>
        <v>34400</v>
      </c>
    </row>
    <row r="284" spans="1:16" ht="13" hidden="1" x14ac:dyDescent="0.25">
      <c r="A284" s="26">
        <f>+A283+1</f>
        <v>278</v>
      </c>
      <c r="B284" s="38" t="s">
        <v>120</v>
      </c>
      <c r="C284" s="7" t="s">
        <v>618</v>
      </c>
      <c r="D284" s="4" t="s">
        <v>117</v>
      </c>
      <c r="E284" s="19">
        <v>16000</v>
      </c>
      <c r="F284" s="29">
        <f>+VLOOKUP(B284,Distribuidor!$B$7:$D$533,3,0)</f>
        <v>10800</v>
      </c>
      <c r="G284" s="29">
        <f>+E284-F284</f>
        <v>5200</v>
      </c>
      <c r="H284" s="29">
        <f>+G284*L284</f>
        <v>26000</v>
      </c>
      <c r="I284" s="29">
        <v>12000</v>
      </c>
      <c r="J284" s="29">
        <f>+E284*1.4</f>
        <v>22400</v>
      </c>
      <c r="K284" s="29">
        <f>+J284+I284</f>
        <v>34400</v>
      </c>
      <c r="L284" s="1">
        <v>5</v>
      </c>
      <c r="M284" s="29">
        <f>+J284*L284</f>
        <v>112000</v>
      </c>
      <c r="N284" s="29">
        <v>27000</v>
      </c>
      <c r="O284" s="29">
        <f>9000+N284</f>
        <v>36000</v>
      </c>
      <c r="P284" s="37">
        <f>+O284-K284</f>
        <v>1600</v>
      </c>
    </row>
    <row r="285" spans="1:16" ht="13" hidden="1" x14ac:dyDescent="0.25">
      <c r="A285" s="26">
        <f>+A284+1</f>
        <v>279</v>
      </c>
      <c r="B285" s="38" t="s">
        <v>121</v>
      </c>
      <c r="C285" s="7" t="s">
        <v>618</v>
      </c>
      <c r="D285" s="4" t="s">
        <v>117</v>
      </c>
      <c r="E285" s="19">
        <v>16000</v>
      </c>
      <c r="F285" s="29">
        <f>+VLOOKUP(B285,Distribuidor!$B$7:$D$533,3,0)</f>
        <v>11200</v>
      </c>
      <c r="G285" s="29">
        <f>+E285-F285</f>
        <v>4800</v>
      </c>
      <c r="H285" s="29">
        <f>+G285*L285</f>
        <v>24000</v>
      </c>
      <c r="I285" s="29">
        <v>12000</v>
      </c>
      <c r="J285" s="29">
        <f>+E285*1.4</f>
        <v>22400</v>
      </c>
      <c r="K285" s="29">
        <f>+J285+I285</f>
        <v>34400</v>
      </c>
      <c r="L285" s="1">
        <v>5</v>
      </c>
      <c r="M285" s="29">
        <f>+J285*L285</f>
        <v>112000</v>
      </c>
      <c r="N285" s="29">
        <v>18900</v>
      </c>
      <c r="O285" s="29">
        <f>9000+N285</f>
        <v>27900</v>
      </c>
      <c r="P285" s="37">
        <f>+O285-K285</f>
        <v>-6500</v>
      </c>
    </row>
    <row r="286" spans="1:16" ht="13" hidden="1" x14ac:dyDescent="0.25">
      <c r="A286" s="26">
        <f>+A285+1</f>
        <v>280</v>
      </c>
      <c r="B286" s="4" t="s">
        <v>537</v>
      </c>
      <c r="C286" s="7"/>
      <c r="D286" s="4" t="s">
        <v>529</v>
      </c>
      <c r="E286" s="19">
        <v>16000</v>
      </c>
      <c r="F286" s="29">
        <f>+VLOOKUP(B286,Distribuidor!$B$7:$D$533,3,0)</f>
        <v>10900</v>
      </c>
      <c r="G286" s="29">
        <f>+E286-F286</f>
        <v>5100</v>
      </c>
      <c r="H286" s="29"/>
      <c r="I286" s="29">
        <v>12000</v>
      </c>
      <c r="J286" s="29">
        <f>+E286*1.4</f>
        <v>22400</v>
      </c>
      <c r="K286" s="29">
        <f>+J286+I286</f>
        <v>34400</v>
      </c>
    </row>
    <row r="287" spans="1:16" ht="13" hidden="1" x14ac:dyDescent="0.25">
      <c r="A287" s="26">
        <f>+A286+1</f>
        <v>281</v>
      </c>
      <c r="B287" s="4" t="s">
        <v>207</v>
      </c>
      <c r="C287" s="7"/>
      <c r="D287" s="4" t="s">
        <v>29</v>
      </c>
      <c r="E287" s="19">
        <v>16000</v>
      </c>
      <c r="F287" s="29">
        <f>+VLOOKUP(B287,Distribuidor!$B$7:$D$533,3,0)</f>
        <v>10700</v>
      </c>
      <c r="G287" s="29">
        <f>+E287-F287</f>
        <v>5300</v>
      </c>
      <c r="H287" s="29"/>
      <c r="I287" s="29">
        <v>12000</v>
      </c>
      <c r="J287" s="29">
        <f>+E287*1.4</f>
        <v>22400</v>
      </c>
      <c r="K287" s="29">
        <f>+J287+I287</f>
        <v>34400</v>
      </c>
    </row>
    <row r="288" spans="1:16" ht="13" hidden="1" x14ac:dyDescent="0.25">
      <c r="A288" s="26">
        <f>+A287+1</f>
        <v>282</v>
      </c>
      <c r="B288" s="4" t="s">
        <v>32</v>
      </c>
      <c r="C288" s="7"/>
      <c r="D288" s="4" t="s">
        <v>29</v>
      </c>
      <c r="E288" s="19">
        <v>16000</v>
      </c>
      <c r="F288" s="29">
        <f>+VLOOKUP(B288,Distribuidor!$B$7:$D$533,3,0)</f>
        <v>10700</v>
      </c>
      <c r="G288" s="29">
        <f>+E288-F288</f>
        <v>5300</v>
      </c>
      <c r="H288" s="29"/>
      <c r="I288" s="29">
        <v>12000</v>
      </c>
      <c r="J288" s="29">
        <f>+E288*1.4</f>
        <v>22400</v>
      </c>
      <c r="K288" s="29">
        <f>+J288+I288</f>
        <v>34400</v>
      </c>
    </row>
    <row r="289" spans="1:16" ht="13" hidden="1" x14ac:dyDescent="0.25">
      <c r="A289" s="26">
        <f>+A288+1</f>
        <v>283</v>
      </c>
      <c r="B289" s="4" t="s">
        <v>33</v>
      </c>
      <c r="C289" s="7"/>
      <c r="D289" s="4" t="s">
        <v>29</v>
      </c>
      <c r="E289" s="19">
        <v>16000</v>
      </c>
      <c r="F289" s="29">
        <f>+VLOOKUP(B289,Distribuidor!$B$7:$D$533,3,0)</f>
        <v>10700</v>
      </c>
      <c r="G289" s="29">
        <f>+E289-F289</f>
        <v>5300</v>
      </c>
      <c r="H289" s="29"/>
      <c r="I289" s="29">
        <v>12000</v>
      </c>
      <c r="J289" s="29">
        <f>+E289*1.4</f>
        <v>22400</v>
      </c>
      <c r="K289" s="29">
        <f>+J289+I289</f>
        <v>34400</v>
      </c>
    </row>
    <row r="290" spans="1:16" ht="13" hidden="1" x14ac:dyDescent="0.25">
      <c r="A290" s="26">
        <f>+A289+1</f>
        <v>284</v>
      </c>
      <c r="B290" s="4" t="s">
        <v>31</v>
      </c>
      <c r="C290" s="7"/>
      <c r="D290" s="4" t="s">
        <v>29</v>
      </c>
      <c r="E290" s="19">
        <v>16000</v>
      </c>
      <c r="F290" s="29">
        <f>+VLOOKUP(B290,Distribuidor!$B$7:$D$533,3,0)</f>
        <v>10700</v>
      </c>
      <c r="G290" s="29">
        <f>+E290-F290</f>
        <v>5300</v>
      </c>
      <c r="H290" s="29"/>
      <c r="I290" s="29">
        <v>12000</v>
      </c>
      <c r="J290" s="29">
        <f>+E290*1.4</f>
        <v>22400</v>
      </c>
      <c r="K290" s="29">
        <f>+J290+I290</f>
        <v>34400</v>
      </c>
    </row>
    <row r="291" spans="1:16" ht="13" hidden="1" x14ac:dyDescent="0.25">
      <c r="A291" s="26">
        <f>+A290+1</f>
        <v>285</v>
      </c>
      <c r="B291" s="4" t="s">
        <v>208</v>
      </c>
      <c r="C291" s="7"/>
      <c r="D291" s="4" t="s">
        <v>29</v>
      </c>
      <c r="E291" s="19">
        <v>16000</v>
      </c>
      <c r="F291" s="29">
        <f>+VLOOKUP(B291,Distribuidor!$B$7:$D$533,3,0)</f>
        <v>11100</v>
      </c>
      <c r="G291" s="29">
        <f>+E291-F291</f>
        <v>4900</v>
      </c>
      <c r="H291" s="29"/>
      <c r="I291" s="29">
        <v>12000</v>
      </c>
      <c r="J291" s="29">
        <f>+E291*1.4</f>
        <v>22400</v>
      </c>
      <c r="K291" s="29">
        <f>+J291+I291</f>
        <v>34400</v>
      </c>
    </row>
    <row r="292" spans="1:16" ht="13" hidden="1" x14ac:dyDescent="0.25">
      <c r="A292" s="26">
        <f>+A291+1</f>
        <v>286</v>
      </c>
      <c r="B292" s="4" t="s">
        <v>496</v>
      </c>
      <c r="C292" s="7"/>
      <c r="D292" s="4" t="s">
        <v>485</v>
      </c>
      <c r="E292" s="19">
        <v>16000</v>
      </c>
      <c r="F292" s="29">
        <f>+VLOOKUP(B292,Distribuidor!$B$7:$D$533,3,0)</f>
        <v>11000</v>
      </c>
      <c r="G292" s="29">
        <f>+E292-F292</f>
        <v>5000</v>
      </c>
      <c r="H292" s="29"/>
      <c r="I292" s="29">
        <v>12000</v>
      </c>
      <c r="J292" s="29">
        <f>+E292*1.4</f>
        <v>22400</v>
      </c>
      <c r="K292" s="29">
        <f>+J292+I292</f>
        <v>34400</v>
      </c>
    </row>
    <row r="293" spans="1:16" ht="13" hidden="1" x14ac:dyDescent="0.25">
      <c r="A293" s="26">
        <f>+A292+1</f>
        <v>287</v>
      </c>
      <c r="B293" s="4" t="s">
        <v>97</v>
      </c>
      <c r="C293" s="7"/>
      <c r="D293" s="4" t="s">
        <v>1</v>
      </c>
      <c r="E293" s="19">
        <v>16000</v>
      </c>
      <c r="F293" s="29">
        <f>+VLOOKUP(B293,Distribuidor!$B$7:$D$533,3,0)</f>
        <v>11200</v>
      </c>
      <c r="G293" s="29">
        <f>+E293-F293</f>
        <v>4800</v>
      </c>
      <c r="H293" s="29"/>
      <c r="I293" s="29">
        <v>12000</v>
      </c>
      <c r="J293" s="29">
        <f>+E293*1.4</f>
        <v>22400</v>
      </c>
      <c r="K293" s="29">
        <f>+J293+I293</f>
        <v>34400</v>
      </c>
    </row>
    <row r="294" spans="1:16" ht="13" hidden="1" x14ac:dyDescent="0.25">
      <c r="A294" s="26">
        <f>+A293+1</f>
        <v>288</v>
      </c>
      <c r="B294" s="38" t="s">
        <v>98</v>
      </c>
      <c r="C294" s="7" t="s">
        <v>618</v>
      </c>
      <c r="D294" s="4" t="s">
        <v>1</v>
      </c>
      <c r="E294" s="19">
        <v>16000</v>
      </c>
      <c r="F294" s="29">
        <f>+VLOOKUP(B294,Distribuidor!$B$7:$D$533,3,0)</f>
        <v>11200</v>
      </c>
      <c r="G294" s="29">
        <f>+E294-F294</f>
        <v>4800</v>
      </c>
      <c r="H294" s="29">
        <f>+G294*L294</f>
        <v>24000</v>
      </c>
      <c r="I294" s="29">
        <v>12000</v>
      </c>
      <c r="J294" s="29">
        <f>+E294*1.4</f>
        <v>22400</v>
      </c>
      <c r="K294" s="29">
        <f>+J294+I294</f>
        <v>34400</v>
      </c>
      <c r="L294" s="1">
        <v>5</v>
      </c>
      <c r="M294" s="29">
        <f>+J294*L294</f>
        <v>112000</v>
      </c>
      <c r="N294" s="29">
        <v>18900</v>
      </c>
      <c r="O294" s="29">
        <f>9000+N294</f>
        <v>27900</v>
      </c>
      <c r="P294" s="37">
        <f>+O294-K294</f>
        <v>-6500</v>
      </c>
    </row>
    <row r="295" spans="1:16" ht="13" hidden="1" x14ac:dyDescent="0.25">
      <c r="A295" s="26">
        <f>+A294+1</f>
        <v>289</v>
      </c>
      <c r="B295" s="4" t="s">
        <v>269</v>
      </c>
      <c r="C295" s="7"/>
      <c r="D295" s="4" t="s">
        <v>265</v>
      </c>
      <c r="E295" s="19">
        <v>16000</v>
      </c>
      <c r="F295" s="29">
        <f>+VLOOKUP(B295,Distribuidor!$B$7:$D$533,3,0)</f>
        <v>10800</v>
      </c>
      <c r="G295" s="29">
        <f>+E295-F295</f>
        <v>5200</v>
      </c>
      <c r="H295" s="29"/>
      <c r="I295" s="29">
        <v>12000</v>
      </c>
      <c r="J295" s="29">
        <f>+E295*1.4</f>
        <v>22400</v>
      </c>
      <c r="K295" s="29">
        <f>+J295+I295</f>
        <v>34400</v>
      </c>
    </row>
    <row r="296" spans="1:16" ht="13" hidden="1" x14ac:dyDescent="0.25">
      <c r="A296" s="32">
        <v>1</v>
      </c>
      <c r="B296" s="4" t="s">
        <v>40</v>
      </c>
      <c r="C296" s="7"/>
      <c r="D296" s="4" t="s">
        <v>5</v>
      </c>
      <c r="E296" s="19">
        <v>15000</v>
      </c>
      <c r="F296" s="29">
        <f>+VLOOKUP(B296,Distribuidor!$B$7:$D$533,3,0)</f>
        <v>10000</v>
      </c>
      <c r="G296" s="29">
        <f>+E296-F296</f>
        <v>5000</v>
      </c>
      <c r="H296" s="29"/>
      <c r="I296" s="29">
        <v>12000</v>
      </c>
      <c r="J296" s="29">
        <f>+E296*1.4</f>
        <v>21000</v>
      </c>
      <c r="K296" s="29">
        <f>+J296+I296</f>
        <v>33000</v>
      </c>
    </row>
    <row r="297" spans="1:16" ht="13" hidden="1" x14ac:dyDescent="0.25">
      <c r="A297" s="26">
        <f>+A296+1</f>
        <v>2</v>
      </c>
      <c r="B297" s="4" t="s">
        <v>221</v>
      </c>
      <c r="C297" s="7"/>
      <c r="D297" s="4" t="s">
        <v>5</v>
      </c>
      <c r="E297" s="19">
        <v>15000</v>
      </c>
      <c r="F297" s="29">
        <f>+VLOOKUP(B297,Distribuidor!$B$7:$D$533,3,0)</f>
        <v>10000</v>
      </c>
      <c r="G297" s="29">
        <f>+E297-F297</f>
        <v>5000</v>
      </c>
      <c r="H297" s="29"/>
      <c r="I297" s="29">
        <v>12000</v>
      </c>
      <c r="J297" s="29">
        <f>+E297*1.4</f>
        <v>21000</v>
      </c>
      <c r="K297" s="29">
        <f>+J297+I297</f>
        <v>33000</v>
      </c>
    </row>
    <row r="298" spans="1:16" ht="13" hidden="1" x14ac:dyDescent="0.25">
      <c r="A298" s="26">
        <f>+A297+1</f>
        <v>3</v>
      </c>
      <c r="B298" s="4" t="s">
        <v>41</v>
      </c>
      <c r="C298" s="7"/>
      <c r="D298" s="4" t="s">
        <v>5</v>
      </c>
      <c r="E298" s="19">
        <v>15000</v>
      </c>
      <c r="F298" s="29">
        <f>+VLOOKUP(B298,Distribuidor!$B$7:$D$533,3,0)</f>
        <v>10000</v>
      </c>
      <c r="G298" s="29">
        <f>+E298-F298</f>
        <v>5000</v>
      </c>
      <c r="H298" s="29"/>
      <c r="I298" s="29">
        <v>12000</v>
      </c>
      <c r="J298" s="29">
        <f>+E298*1.4</f>
        <v>21000</v>
      </c>
      <c r="K298" s="29">
        <f>+J298+I298</f>
        <v>33000</v>
      </c>
    </row>
    <row r="299" spans="1:16" ht="13" hidden="1" x14ac:dyDescent="0.25">
      <c r="A299" s="26">
        <f>+A298+1</f>
        <v>4</v>
      </c>
      <c r="B299" s="4" t="s">
        <v>224</v>
      </c>
      <c r="C299" s="7"/>
      <c r="D299" s="4" t="s">
        <v>5</v>
      </c>
      <c r="E299" s="19">
        <v>15000</v>
      </c>
      <c r="F299" s="29">
        <f>+VLOOKUP(B299,Distribuidor!$B$7:$D$533,3,0)</f>
        <v>10000</v>
      </c>
      <c r="G299" s="29">
        <f>+E299-F299</f>
        <v>5000</v>
      </c>
      <c r="H299" s="29"/>
      <c r="I299" s="29">
        <v>12000</v>
      </c>
      <c r="J299" s="29">
        <f>+E299*1.4</f>
        <v>21000</v>
      </c>
      <c r="K299" s="29">
        <f>+J299+I299</f>
        <v>33000</v>
      </c>
    </row>
    <row r="300" spans="1:16" ht="13" hidden="1" x14ac:dyDescent="0.25">
      <c r="A300" s="26">
        <f>+A299+1</f>
        <v>5</v>
      </c>
      <c r="B300" s="4" t="s">
        <v>43</v>
      </c>
      <c r="C300" s="7"/>
      <c r="D300" s="4" t="s">
        <v>5</v>
      </c>
      <c r="E300" s="19">
        <v>15000</v>
      </c>
      <c r="F300" s="29">
        <f>+VLOOKUP(B300,Distribuidor!$B$7:$D$533,3,0)</f>
        <v>10000</v>
      </c>
      <c r="G300" s="29">
        <f>+E300-F300</f>
        <v>5000</v>
      </c>
      <c r="H300" s="29"/>
      <c r="I300" s="29">
        <v>12000</v>
      </c>
      <c r="J300" s="29">
        <f>+E300*1.4</f>
        <v>21000</v>
      </c>
      <c r="K300" s="29">
        <f>+J300+I300</f>
        <v>33000</v>
      </c>
    </row>
    <row r="301" spans="1:16" ht="13" hidden="1" x14ac:dyDescent="0.25">
      <c r="A301" s="26">
        <f>+A300+1</f>
        <v>6</v>
      </c>
      <c r="B301" s="4" t="s">
        <v>105</v>
      </c>
      <c r="C301" s="7"/>
      <c r="D301" s="4" t="s">
        <v>5</v>
      </c>
      <c r="E301" s="19">
        <v>15000</v>
      </c>
      <c r="F301" s="29">
        <f>+VLOOKUP(B301,Distribuidor!$B$7:$D$533,3,0)</f>
        <v>10000</v>
      </c>
      <c r="G301" s="29">
        <f>+E301-F301</f>
        <v>5000</v>
      </c>
      <c r="H301" s="29"/>
      <c r="I301" s="29">
        <v>12000</v>
      </c>
      <c r="J301" s="29">
        <f>+E301*1.4</f>
        <v>21000</v>
      </c>
      <c r="K301" s="29">
        <f>+J301+I301</f>
        <v>33000</v>
      </c>
    </row>
    <row r="302" spans="1:16" ht="13" hidden="1" x14ac:dyDescent="0.25">
      <c r="A302" s="26">
        <f>+A301+1</f>
        <v>7</v>
      </c>
      <c r="B302" s="4" t="s">
        <v>44</v>
      </c>
      <c r="C302" s="7"/>
      <c r="D302" s="4" t="s">
        <v>5</v>
      </c>
      <c r="E302" s="19">
        <v>15000</v>
      </c>
      <c r="F302" s="29">
        <f>+VLOOKUP(B302,Distribuidor!$B$7:$D$533,3,0)</f>
        <v>10000</v>
      </c>
      <c r="G302" s="29">
        <f>+E302-F302</f>
        <v>5000</v>
      </c>
      <c r="H302" s="29"/>
      <c r="I302" s="29">
        <v>12000</v>
      </c>
      <c r="J302" s="29">
        <f>+E302*1.4</f>
        <v>21000</v>
      </c>
      <c r="K302" s="29">
        <f>+J302+I302</f>
        <v>33000</v>
      </c>
    </row>
    <row r="303" spans="1:16" ht="13" hidden="1" x14ac:dyDescent="0.25">
      <c r="A303" s="26">
        <f>+A302+1</f>
        <v>8</v>
      </c>
      <c r="B303" s="4" t="s">
        <v>45</v>
      </c>
      <c r="C303" s="7"/>
      <c r="D303" s="4" t="s">
        <v>5</v>
      </c>
      <c r="E303" s="19">
        <v>15000</v>
      </c>
      <c r="F303" s="29">
        <f>+VLOOKUP(B303,Distribuidor!$B$7:$D$533,3,0)</f>
        <v>10000</v>
      </c>
      <c r="G303" s="29">
        <f>+E303-F303</f>
        <v>5000</v>
      </c>
      <c r="H303" s="29"/>
      <c r="I303" s="29">
        <v>12000</v>
      </c>
      <c r="J303" s="29">
        <f>+E303*1.4</f>
        <v>21000</v>
      </c>
      <c r="K303" s="29">
        <f>+J303+I303</f>
        <v>33000</v>
      </c>
    </row>
    <row r="304" spans="1:16" ht="13" hidden="1" x14ac:dyDescent="0.25">
      <c r="A304" s="26">
        <f>+A303+1</f>
        <v>9</v>
      </c>
      <c r="B304" s="4" t="s">
        <v>46</v>
      </c>
      <c r="C304" s="7"/>
      <c r="D304" s="4" t="s">
        <v>5</v>
      </c>
      <c r="E304" s="19">
        <v>15000</v>
      </c>
      <c r="F304" s="29">
        <f>+VLOOKUP(B304,Distribuidor!$B$7:$D$533,3,0)</f>
        <v>10000</v>
      </c>
      <c r="G304" s="29">
        <f>+E304-F304</f>
        <v>5000</v>
      </c>
      <c r="H304" s="29"/>
      <c r="I304" s="29">
        <v>12000</v>
      </c>
      <c r="J304" s="29">
        <f>+E304*1.4</f>
        <v>21000</v>
      </c>
      <c r="K304" s="29">
        <f>+J304+I304</f>
        <v>33000</v>
      </c>
    </row>
    <row r="305" spans="1:11" ht="13" hidden="1" x14ac:dyDescent="0.25">
      <c r="A305" s="26">
        <f>+A304+1</f>
        <v>10</v>
      </c>
      <c r="B305" s="4" t="s">
        <v>47</v>
      </c>
      <c r="C305" s="7"/>
      <c r="D305" s="4" t="s">
        <v>5</v>
      </c>
      <c r="E305" s="19">
        <v>15000</v>
      </c>
      <c r="F305" s="29">
        <f>+VLOOKUP(B305,Distribuidor!$B$7:$D$533,3,0)</f>
        <v>10200</v>
      </c>
      <c r="G305" s="29">
        <f>+E305-F305</f>
        <v>4800</v>
      </c>
      <c r="H305" s="29"/>
      <c r="I305" s="29">
        <v>12000</v>
      </c>
      <c r="J305" s="29">
        <f>+E305*1.4</f>
        <v>21000</v>
      </c>
      <c r="K305" s="29">
        <f>+J305+I305</f>
        <v>33000</v>
      </c>
    </row>
    <row r="306" spans="1:11" ht="13" hidden="1" x14ac:dyDescent="0.25">
      <c r="A306" s="26">
        <f>+A305+1</f>
        <v>11</v>
      </c>
      <c r="B306" s="4" t="s">
        <v>48</v>
      </c>
      <c r="C306" s="7"/>
      <c r="D306" s="4" t="s">
        <v>5</v>
      </c>
      <c r="E306" s="19">
        <v>15000</v>
      </c>
      <c r="F306" s="29">
        <f>+VLOOKUP(B306,Distribuidor!$B$7:$D$533,3,0)</f>
        <v>10000</v>
      </c>
      <c r="G306" s="29">
        <f>+E306-F306</f>
        <v>5000</v>
      </c>
      <c r="H306" s="29"/>
      <c r="I306" s="29">
        <v>12000</v>
      </c>
      <c r="J306" s="29">
        <f>+E306*1.4</f>
        <v>21000</v>
      </c>
      <c r="K306" s="29">
        <f>+J306+I306</f>
        <v>33000</v>
      </c>
    </row>
    <row r="307" spans="1:11" ht="13" hidden="1" x14ac:dyDescent="0.25">
      <c r="A307" s="26">
        <f>+A306+1</f>
        <v>12</v>
      </c>
      <c r="B307" s="4" t="s">
        <v>49</v>
      </c>
      <c r="C307" s="7"/>
      <c r="D307" s="4" t="s">
        <v>5</v>
      </c>
      <c r="E307" s="19">
        <v>15000</v>
      </c>
      <c r="F307" s="29">
        <f>+VLOOKUP(B307,Distribuidor!$B$7:$D$533,3,0)</f>
        <v>10000</v>
      </c>
      <c r="G307" s="29">
        <f>+E307-F307</f>
        <v>5000</v>
      </c>
      <c r="H307" s="29"/>
      <c r="I307" s="29">
        <v>12000</v>
      </c>
      <c r="J307" s="29">
        <f>+E307*1.4</f>
        <v>21000</v>
      </c>
      <c r="K307" s="29">
        <f>+J307+I307</f>
        <v>33000</v>
      </c>
    </row>
    <row r="308" spans="1:11" ht="13" hidden="1" x14ac:dyDescent="0.25">
      <c r="A308" s="26">
        <f>+A307+1</f>
        <v>13</v>
      </c>
      <c r="B308" s="4" t="s">
        <v>50</v>
      </c>
      <c r="C308" s="7"/>
      <c r="D308" s="4" t="s">
        <v>5</v>
      </c>
      <c r="E308" s="19">
        <v>15000</v>
      </c>
      <c r="F308" s="29">
        <f>+VLOOKUP(B308,Distribuidor!$B$7:$D$533,3,0)</f>
        <v>10000</v>
      </c>
      <c r="G308" s="29">
        <f>+E308-F308</f>
        <v>5000</v>
      </c>
      <c r="H308" s="29"/>
      <c r="I308" s="29">
        <v>12000</v>
      </c>
      <c r="J308" s="29">
        <f>+E308*1.4</f>
        <v>21000</v>
      </c>
      <c r="K308" s="29">
        <f>+J308+I308</f>
        <v>33000</v>
      </c>
    </row>
    <row r="309" spans="1:11" ht="13" hidden="1" x14ac:dyDescent="0.25">
      <c r="A309" s="26">
        <f>+A308+1</f>
        <v>14</v>
      </c>
      <c r="B309" s="4" t="s">
        <v>51</v>
      </c>
      <c r="C309" s="7"/>
      <c r="D309" s="4" t="s">
        <v>5</v>
      </c>
      <c r="E309" s="19">
        <v>15000</v>
      </c>
      <c r="F309" s="29">
        <f>+VLOOKUP(B309,Distribuidor!$B$7:$D$533,3,0)</f>
        <v>10000</v>
      </c>
      <c r="G309" s="29">
        <f>+E309-F309</f>
        <v>5000</v>
      </c>
      <c r="H309" s="29"/>
      <c r="I309" s="29">
        <v>12000</v>
      </c>
      <c r="J309" s="29">
        <f>+E309*1.4</f>
        <v>21000</v>
      </c>
      <c r="K309" s="29">
        <f>+J309+I309</f>
        <v>33000</v>
      </c>
    </row>
    <row r="310" spans="1:11" ht="13" hidden="1" x14ac:dyDescent="0.25">
      <c r="A310" s="26">
        <f>+A309+1</f>
        <v>15</v>
      </c>
      <c r="B310" s="4" t="s">
        <v>52</v>
      </c>
      <c r="C310" s="7"/>
      <c r="D310" s="4" t="s">
        <v>5</v>
      </c>
      <c r="E310" s="19">
        <v>15000</v>
      </c>
      <c r="F310" s="29">
        <f>+VLOOKUP(B310,Distribuidor!$B$7:$D$533,3,0)</f>
        <v>10000</v>
      </c>
      <c r="G310" s="29">
        <f>+E310-F310</f>
        <v>5000</v>
      </c>
      <c r="H310" s="29"/>
      <c r="I310" s="29">
        <v>12000</v>
      </c>
      <c r="J310" s="29">
        <f>+E310*1.4</f>
        <v>21000</v>
      </c>
      <c r="K310" s="29">
        <f>+J310+I310</f>
        <v>33000</v>
      </c>
    </row>
    <row r="311" spans="1:11" ht="13" hidden="1" x14ac:dyDescent="0.25">
      <c r="A311" s="26">
        <f>+A310+1</f>
        <v>16</v>
      </c>
      <c r="B311" s="4" t="s">
        <v>53</v>
      </c>
      <c r="C311" s="7"/>
      <c r="D311" s="4" t="s">
        <v>5</v>
      </c>
      <c r="E311" s="19">
        <v>15000</v>
      </c>
      <c r="F311" s="29">
        <f>+VLOOKUP(B311,Distribuidor!$B$7:$D$533,3,0)</f>
        <v>10000</v>
      </c>
      <c r="G311" s="29">
        <f>+E311-F311</f>
        <v>5000</v>
      </c>
      <c r="H311" s="29"/>
      <c r="I311" s="29">
        <v>12000</v>
      </c>
      <c r="J311" s="29">
        <f>+E311*1.4</f>
        <v>21000</v>
      </c>
      <c r="K311" s="29">
        <f>+J311+I311</f>
        <v>33000</v>
      </c>
    </row>
    <row r="312" spans="1:11" ht="13" hidden="1" x14ac:dyDescent="0.25">
      <c r="A312" s="26">
        <f>+A311+1</f>
        <v>17</v>
      </c>
      <c r="B312" s="4" t="s">
        <v>54</v>
      </c>
      <c r="C312" s="7"/>
      <c r="D312" s="4" t="s">
        <v>5</v>
      </c>
      <c r="E312" s="19">
        <v>15000</v>
      </c>
      <c r="F312" s="29">
        <f>+VLOOKUP(B312,Distribuidor!$B$7:$D$533,3,0)</f>
        <v>10000</v>
      </c>
      <c r="G312" s="29">
        <f>+E312-F312</f>
        <v>5000</v>
      </c>
      <c r="H312" s="29"/>
      <c r="I312" s="29">
        <v>12000</v>
      </c>
      <c r="J312" s="29">
        <f>+E312*1.4</f>
        <v>21000</v>
      </c>
      <c r="K312" s="29">
        <f>+J312+I312</f>
        <v>33000</v>
      </c>
    </row>
    <row r="313" spans="1:11" ht="13" hidden="1" x14ac:dyDescent="0.25">
      <c r="A313" s="26">
        <f>+A312+1</f>
        <v>18</v>
      </c>
      <c r="B313" s="4" t="s">
        <v>56</v>
      </c>
      <c r="C313" s="7"/>
      <c r="D313" s="4" t="s">
        <v>5</v>
      </c>
      <c r="E313" s="19">
        <v>15000</v>
      </c>
      <c r="F313" s="29">
        <f>+VLOOKUP(B313,Distribuidor!$B$7:$D$533,3,0)</f>
        <v>10000</v>
      </c>
      <c r="G313" s="29">
        <f>+E313-F313</f>
        <v>5000</v>
      </c>
      <c r="H313" s="29"/>
      <c r="I313" s="29">
        <v>12000</v>
      </c>
      <c r="J313" s="29">
        <f>+E313*1.4</f>
        <v>21000</v>
      </c>
      <c r="K313" s="29">
        <f>+J313+I313</f>
        <v>33000</v>
      </c>
    </row>
    <row r="314" spans="1:11" ht="13" hidden="1" x14ac:dyDescent="0.25">
      <c r="A314" s="26">
        <f>+A313+1</f>
        <v>19</v>
      </c>
      <c r="B314" s="4" t="s">
        <v>57</v>
      </c>
      <c r="C314" s="7"/>
      <c r="D314" s="4" t="s">
        <v>5</v>
      </c>
      <c r="E314" s="19">
        <v>15000</v>
      </c>
      <c r="F314" s="29">
        <f>+VLOOKUP(B314,Distribuidor!$B$7:$D$533,3,0)</f>
        <v>10000</v>
      </c>
      <c r="G314" s="29">
        <f>+E314-F314</f>
        <v>5000</v>
      </c>
      <c r="H314" s="29"/>
      <c r="I314" s="29">
        <v>12000</v>
      </c>
      <c r="J314" s="29">
        <f>+E314*1.4</f>
        <v>21000</v>
      </c>
      <c r="K314" s="29">
        <f>+J314+I314</f>
        <v>33000</v>
      </c>
    </row>
    <row r="315" spans="1:11" ht="13" hidden="1" x14ac:dyDescent="0.25">
      <c r="A315" s="26">
        <f>+A314+1</f>
        <v>20</v>
      </c>
      <c r="B315" s="4" t="s">
        <v>104</v>
      </c>
      <c r="C315" s="7"/>
      <c r="D315" s="4" t="s">
        <v>5</v>
      </c>
      <c r="E315" s="19">
        <v>15000</v>
      </c>
      <c r="F315" s="29">
        <f>+VLOOKUP(B315,Distribuidor!$B$7:$D$533,3,0)</f>
        <v>10000</v>
      </c>
      <c r="G315" s="29">
        <f>+E315-F315</f>
        <v>5000</v>
      </c>
      <c r="H315" s="29"/>
      <c r="I315" s="29">
        <v>12000</v>
      </c>
      <c r="J315" s="29">
        <f>+E315*1.4</f>
        <v>21000</v>
      </c>
      <c r="K315" s="29">
        <f>+J315+I315</f>
        <v>33000</v>
      </c>
    </row>
    <row r="316" spans="1:11" ht="13" hidden="1" x14ac:dyDescent="0.25">
      <c r="A316" s="26">
        <f>+A315+1</f>
        <v>21</v>
      </c>
      <c r="B316" s="4" t="s">
        <v>58</v>
      </c>
      <c r="C316" s="7"/>
      <c r="D316" s="4" t="s">
        <v>5</v>
      </c>
      <c r="E316" s="19">
        <v>15000</v>
      </c>
      <c r="F316" s="29">
        <f>+VLOOKUP(B316,Distribuidor!$B$7:$D$533,3,0)</f>
        <v>10000</v>
      </c>
      <c r="G316" s="29">
        <f>+E316-F316</f>
        <v>5000</v>
      </c>
      <c r="H316" s="29"/>
      <c r="I316" s="29">
        <v>12000</v>
      </c>
      <c r="J316" s="29">
        <f>+E316*1.4</f>
        <v>21000</v>
      </c>
      <c r="K316" s="29">
        <f>+J316+I316</f>
        <v>33000</v>
      </c>
    </row>
    <row r="317" spans="1:11" ht="13" hidden="1" x14ac:dyDescent="0.25">
      <c r="A317" s="26">
        <f>+A316+1</f>
        <v>22</v>
      </c>
      <c r="B317" s="4" t="s">
        <v>59</v>
      </c>
      <c r="C317" s="7"/>
      <c r="D317" s="4" t="s">
        <v>5</v>
      </c>
      <c r="E317" s="19">
        <v>15000</v>
      </c>
      <c r="F317" s="29">
        <f>+VLOOKUP(B317,Distribuidor!$B$7:$D$533,3,0)</f>
        <v>10000</v>
      </c>
      <c r="G317" s="29">
        <f>+E317-F317</f>
        <v>5000</v>
      </c>
      <c r="H317" s="29"/>
      <c r="I317" s="29">
        <v>12000</v>
      </c>
      <c r="J317" s="29">
        <f>+E317*1.4</f>
        <v>21000</v>
      </c>
      <c r="K317" s="29">
        <f>+J317+I317</f>
        <v>33000</v>
      </c>
    </row>
    <row r="318" spans="1:11" ht="13" hidden="1" x14ac:dyDescent="0.25">
      <c r="A318" s="26">
        <f>+A317+1</f>
        <v>23</v>
      </c>
      <c r="B318" s="4" t="s">
        <v>136</v>
      </c>
      <c r="C318" s="7"/>
      <c r="D318" s="4" t="s">
        <v>113</v>
      </c>
      <c r="E318" s="19">
        <v>15000</v>
      </c>
      <c r="F318" s="29">
        <f>+VLOOKUP(B318,Distribuidor!$B$7:$D$533,3,0)</f>
        <v>10500</v>
      </c>
      <c r="G318" s="29">
        <f>+E318-F318</f>
        <v>4500</v>
      </c>
      <c r="H318" s="29"/>
      <c r="I318" s="29">
        <v>12000</v>
      </c>
      <c r="J318" s="29">
        <f>+E318*1.4</f>
        <v>21000</v>
      </c>
      <c r="K318" s="29">
        <f>+J318+I318</f>
        <v>33000</v>
      </c>
    </row>
    <row r="319" spans="1:11" ht="13" hidden="1" x14ac:dyDescent="0.25">
      <c r="A319" s="26">
        <f>+A318+1</f>
        <v>24</v>
      </c>
      <c r="B319" s="4" t="s">
        <v>228</v>
      </c>
      <c r="C319" s="7"/>
      <c r="D319" s="4" t="s">
        <v>113</v>
      </c>
      <c r="E319" s="19">
        <v>15000</v>
      </c>
      <c r="F319" s="29">
        <f>+VLOOKUP(B319,Distribuidor!$B$7:$D$533,3,0)</f>
        <v>10500</v>
      </c>
      <c r="G319" s="29">
        <f>+E319-F319</f>
        <v>4500</v>
      </c>
      <c r="H319" s="29"/>
      <c r="I319" s="29">
        <v>12000</v>
      </c>
      <c r="J319" s="29">
        <f>+E319*1.4</f>
        <v>21000</v>
      </c>
      <c r="K319" s="29">
        <f>+J319+I319</f>
        <v>33000</v>
      </c>
    </row>
    <row r="320" spans="1:11" ht="13" hidden="1" x14ac:dyDescent="0.25">
      <c r="A320" s="26">
        <f>+A319+1</f>
        <v>25</v>
      </c>
      <c r="B320" s="4" t="s">
        <v>236</v>
      </c>
      <c r="C320" s="7"/>
      <c r="D320" s="4" t="s">
        <v>2</v>
      </c>
      <c r="E320" s="19">
        <v>15000</v>
      </c>
      <c r="F320" s="29">
        <f>+VLOOKUP(B320,Distribuidor!$B$7:$D$533,3,0)</f>
        <v>10500</v>
      </c>
      <c r="G320" s="29">
        <f>+E320-F320</f>
        <v>4500</v>
      </c>
      <c r="H320" s="29"/>
      <c r="I320" s="29">
        <v>12000</v>
      </c>
      <c r="J320" s="29">
        <f>+E320*1.4</f>
        <v>21000</v>
      </c>
      <c r="K320" s="29">
        <f>+J320+I320</f>
        <v>33000</v>
      </c>
    </row>
    <row r="321" spans="1:16" ht="13" hidden="1" x14ac:dyDescent="0.25">
      <c r="A321" s="26">
        <f>+A320+1</f>
        <v>26</v>
      </c>
      <c r="B321" s="38" t="s">
        <v>84</v>
      </c>
      <c r="C321" s="7" t="s">
        <v>618</v>
      </c>
      <c r="D321" s="4" t="s">
        <v>2</v>
      </c>
      <c r="E321" s="19">
        <v>15000</v>
      </c>
      <c r="F321" s="29">
        <f>+VLOOKUP(B321,Distribuidor!$B$7:$D$533,3,0)</f>
        <v>10400</v>
      </c>
      <c r="G321" s="29">
        <f>+E321-F321</f>
        <v>4600</v>
      </c>
      <c r="H321" s="29">
        <f>+G321*L321</f>
        <v>23000</v>
      </c>
      <c r="I321" s="29">
        <v>12000</v>
      </c>
      <c r="J321" s="29">
        <f>+E321*1.4</f>
        <v>21000</v>
      </c>
      <c r="K321" s="29">
        <f>+J321+I321</f>
        <v>33000</v>
      </c>
      <c r="L321" s="1">
        <v>5</v>
      </c>
      <c r="M321" s="29">
        <f>+J321*L321</f>
        <v>105000</v>
      </c>
      <c r="N321" s="29">
        <v>30000</v>
      </c>
      <c r="O321" s="29">
        <f>9000+N321</f>
        <v>39000</v>
      </c>
      <c r="P321" s="37">
        <f>+O321-K321</f>
        <v>6000</v>
      </c>
    </row>
    <row r="322" spans="1:16" ht="13" hidden="1" x14ac:dyDescent="0.25">
      <c r="A322" s="26">
        <f>+A321+1</f>
        <v>27</v>
      </c>
      <c r="B322" s="4" t="s">
        <v>285</v>
      </c>
      <c r="C322" s="7"/>
      <c r="D322" s="4" t="s">
        <v>2</v>
      </c>
      <c r="E322" s="19">
        <v>15000</v>
      </c>
      <c r="F322" s="29">
        <f>+VLOOKUP(B322,Distribuidor!$B$7:$D$533,3,0)</f>
        <v>10300</v>
      </c>
      <c r="G322" s="29">
        <f>+E322-F322</f>
        <v>4700</v>
      </c>
      <c r="H322" s="29"/>
      <c r="I322" s="29">
        <v>12000</v>
      </c>
      <c r="J322" s="29">
        <f>+E322*1.4</f>
        <v>21000</v>
      </c>
      <c r="K322" s="29">
        <f>+J322+I322</f>
        <v>33000</v>
      </c>
    </row>
    <row r="323" spans="1:16" ht="13" hidden="1" x14ac:dyDescent="0.25">
      <c r="A323" s="26">
        <f>+A322+1</f>
        <v>28</v>
      </c>
      <c r="B323" s="4" t="s">
        <v>194</v>
      </c>
      <c r="C323" s="7"/>
      <c r="D323" s="4" t="s">
        <v>137</v>
      </c>
      <c r="E323" s="19">
        <v>15000</v>
      </c>
      <c r="F323" s="29">
        <f>+VLOOKUP(B323,Distribuidor!$B$7:$D$533,3,0)</f>
        <v>10500</v>
      </c>
      <c r="G323" s="29">
        <f>+E323-F323</f>
        <v>4500</v>
      </c>
      <c r="H323" s="29"/>
      <c r="I323" s="29">
        <v>12000</v>
      </c>
      <c r="J323" s="29">
        <f>+E323*1.4</f>
        <v>21000</v>
      </c>
      <c r="K323" s="29">
        <f>+J323+I323</f>
        <v>33000</v>
      </c>
    </row>
    <row r="324" spans="1:16" ht="13" hidden="1" x14ac:dyDescent="0.25">
      <c r="A324" s="26">
        <f>+A323+1</f>
        <v>29</v>
      </c>
      <c r="B324" s="4" t="s">
        <v>149</v>
      </c>
      <c r="C324" s="7"/>
      <c r="D324" s="4" t="s">
        <v>137</v>
      </c>
      <c r="E324" s="19">
        <v>15000</v>
      </c>
      <c r="F324" s="29">
        <f>+VLOOKUP(B324,Distribuidor!$B$7:$D$533,3,0)</f>
        <v>10500</v>
      </c>
      <c r="G324" s="29">
        <f>+E324-F324</f>
        <v>4500</v>
      </c>
      <c r="H324" s="29"/>
      <c r="I324" s="29">
        <v>12000</v>
      </c>
      <c r="J324" s="29">
        <f>+E324*1.4</f>
        <v>21000</v>
      </c>
      <c r="K324" s="29">
        <f>+J324+I324</f>
        <v>33000</v>
      </c>
    </row>
    <row r="325" spans="1:16" ht="13" hidden="1" x14ac:dyDescent="0.25">
      <c r="A325" s="26">
        <f>+A324+1</f>
        <v>30</v>
      </c>
      <c r="B325" s="4" t="s">
        <v>193</v>
      </c>
      <c r="C325" s="7"/>
      <c r="D325" s="4" t="s">
        <v>137</v>
      </c>
      <c r="E325" s="19">
        <v>15000</v>
      </c>
      <c r="F325" s="29">
        <f>+VLOOKUP(B325,Distribuidor!$B$7:$D$533,3,0)</f>
        <v>10500</v>
      </c>
      <c r="G325" s="29">
        <f>+E325-F325</f>
        <v>4500</v>
      </c>
      <c r="H325" s="29"/>
      <c r="I325" s="29">
        <v>12000</v>
      </c>
      <c r="J325" s="29">
        <f>+E325*1.4</f>
        <v>21000</v>
      </c>
      <c r="K325" s="29">
        <f>+J325+I325</f>
        <v>33000</v>
      </c>
    </row>
    <row r="326" spans="1:16" ht="13" hidden="1" x14ac:dyDescent="0.25">
      <c r="A326" s="26">
        <f>+A325+1</f>
        <v>31</v>
      </c>
      <c r="B326" s="4" t="s">
        <v>195</v>
      </c>
      <c r="C326" s="7"/>
      <c r="D326" s="4" t="s">
        <v>137</v>
      </c>
      <c r="E326" s="19">
        <v>15000</v>
      </c>
      <c r="F326" s="29">
        <f>+VLOOKUP(B326,Distribuidor!$B$7:$D$533,3,0)</f>
        <v>10500</v>
      </c>
      <c r="G326" s="29">
        <f>+E326-F326</f>
        <v>4500</v>
      </c>
      <c r="H326" s="29"/>
      <c r="I326" s="29">
        <v>12000</v>
      </c>
      <c r="J326" s="29">
        <f>+E326*1.4</f>
        <v>21000</v>
      </c>
      <c r="K326" s="29">
        <f>+J326+I326</f>
        <v>33000</v>
      </c>
    </row>
    <row r="327" spans="1:16" ht="13" hidden="1" x14ac:dyDescent="0.25">
      <c r="A327" s="26">
        <f>+A326+1</f>
        <v>32</v>
      </c>
      <c r="B327" s="4" t="s">
        <v>150</v>
      </c>
      <c r="C327" s="7"/>
      <c r="D327" s="4" t="s">
        <v>137</v>
      </c>
      <c r="E327" s="19">
        <v>15000</v>
      </c>
      <c r="F327" s="29">
        <f>+VLOOKUP(B327,Distribuidor!$B$7:$D$533,3,0)</f>
        <v>10500</v>
      </c>
      <c r="G327" s="29">
        <f>+E327-F327</f>
        <v>4500</v>
      </c>
      <c r="H327" s="29"/>
      <c r="I327" s="29">
        <v>12000</v>
      </c>
      <c r="J327" s="29">
        <f>+E327*1.4</f>
        <v>21000</v>
      </c>
      <c r="K327" s="29">
        <f>+J327+I327</f>
        <v>33000</v>
      </c>
    </row>
    <row r="328" spans="1:16" ht="13" hidden="1" x14ac:dyDescent="0.25">
      <c r="A328" s="26">
        <f>+A327+1</f>
        <v>33</v>
      </c>
      <c r="B328" s="4" t="s">
        <v>459</v>
      </c>
      <c r="C328" s="7"/>
      <c r="D328" s="4" t="s">
        <v>137</v>
      </c>
      <c r="E328" s="19">
        <v>15000</v>
      </c>
      <c r="F328" s="29">
        <f>+VLOOKUP(B328,Distribuidor!$B$7:$D$533,3,0)</f>
        <v>10500</v>
      </c>
      <c r="G328" s="29">
        <f>+E328-F328</f>
        <v>4500</v>
      </c>
      <c r="H328" s="29"/>
      <c r="I328" s="29">
        <v>12000</v>
      </c>
      <c r="J328" s="29">
        <f>+E328*1.4</f>
        <v>21000</v>
      </c>
      <c r="K328" s="29">
        <f>+J328+I328</f>
        <v>33000</v>
      </c>
    </row>
    <row r="329" spans="1:16" ht="13" hidden="1" x14ac:dyDescent="0.25">
      <c r="A329" s="26">
        <f>+A328+1</f>
        <v>34</v>
      </c>
      <c r="B329" s="4" t="s">
        <v>180</v>
      </c>
      <c r="C329" s="7"/>
      <c r="D329" s="4" t="s">
        <v>137</v>
      </c>
      <c r="E329" s="19">
        <v>15000</v>
      </c>
      <c r="F329" s="29">
        <f>+VLOOKUP(B329,Distribuidor!$B$7:$D$533,3,0)</f>
        <v>10500</v>
      </c>
      <c r="G329" s="29">
        <f>+E329-F329</f>
        <v>4500</v>
      </c>
      <c r="H329" s="29"/>
      <c r="I329" s="29">
        <v>12000</v>
      </c>
      <c r="J329" s="29">
        <f>+E329*1.4</f>
        <v>21000</v>
      </c>
      <c r="K329" s="29">
        <f>+J329+I329</f>
        <v>33000</v>
      </c>
    </row>
    <row r="330" spans="1:16" ht="13" hidden="1" x14ac:dyDescent="0.25">
      <c r="A330" s="26">
        <f>+A329+1</f>
        <v>35</v>
      </c>
      <c r="B330" s="4" t="s">
        <v>196</v>
      </c>
      <c r="C330" s="7"/>
      <c r="D330" s="4" t="s">
        <v>137</v>
      </c>
      <c r="E330" s="19">
        <v>15000</v>
      </c>
      <c r="F330" s="29">
        <f>+VLOOKUP(B330,Distribuidor!$B$7:$D$533,3,0)</f>
        <v>10500</v>
      </c>
      <c r="G330" s="29">
        <f>+E330-F330</f>
        <v>4500</v>
      </c>
      <c r="H330" s="29"/>
      <c r="I330" s="29">
        <v>12000</v>
      </c>
      <c r="J330" s="29">
        <f>+E330*1.4</f>
        <v>21000</v>
      </c>
      <c r="K330" s="29">
        <f>+J330+I330</f>
        <v>33000</v>
      </c>
    </row>
    <row r="331" spans="1:16" ht="13" hidden="1" x14ac:dyDescent="0.25">
      <c r="A331" s="26">
        <f>+A330+1</f>
        <v>36</v>
      </c>
      <c r="B331" s="4" t="s">
        <v>151</v>
      </c>
      <c r="C331" s="7"/>
      <c r="D331" s="4" t="s">
        <v>137</v>
      </c>
      <c r="E331" s="19">
        <v>15000</v>
      </c>
      <c r="F331" s="29">
        <f>+VLOOKUP(B331,Distribuidor!$B$7:$D$533,3,0)</f>
        <v>10500</v>
      </c>
      <c r="G331" s="29">
        <f>+E331-F331</f>
        <v>4500</v>
      </c>
      <c r="H331" s="29"/>
      <c r="I331" s="29">
        <v>12000</v>
      </c>
      <c r="J331" s="29">
        <f>+E331*1.4</f>
        <v>21000</v>
      </c>
      <c r="K331" s="29">
        <f>+J331+I331</f>
        <v>33000</v>
      </c>
    </row>
    <row r="332" spans="1:16" ht="13" hidden="1" x14ac:dyDescent="0.25">
      <c r="A332" s="26">
        <f>+A331+1</f>
        <v>37</v>
      </c>
      <c r="B332" s="4" t="s">
        <v>172</v>
      </c>
      <c r="C332" s="7"/>
      <c r="D332" s="4" t="s">
        <v>137</v>
      </c>
      <c r="E332" s="19">
        <v>15000</v>
      </c>
      <c r="F332" s="29">
        <f>+VLOOKUP(B332,Distribuidor!$B$7:$D$533,3,0)</f>
        <v>10500</v>
      </c>
      <c r="G332" s="29">
        <f>+E332-F332</f>
        <v>4500</v>
      </c>
      <c r="H332" s="29"/>
      <c r="I332" s="29">
        <v>12000</v>
      </c>
      <c r="J332" s="29">
        <f>+E332*1.4</f>
        <v>21000</v>
      </c>
      <c r="K332" s="29">
        <f>+J332+I332</f>
        <v>33000</v>
      </c>
    </row>
    <row r="333" spans="1:16" ht="13" hidden="1" x14ac:dyDescent="0.25">
      <c r="A333" s="26">
        <f>+A332+1</f>
        <v>38</v>
      </c>
      <c r="B333" s="4" t="s">
        <v>461</v>
      </c>
      <c r="C333" s="7"/>
      <c r="D333" s="4" t="s">
        <v>137</v>
      </c>
      <c r="E333" s="19">
        <v>15000</v>
      </c>
      <c r="F333" s="29">
        <f>+VLOOKUP(B333,Distribuidor!$B$7:$D$533,3,0)</f>
        <v>10500</v>
      </c>
      <c r="G333" s="29">
        <f>+E333-F333</f>
        <v>4500</v>
      </c>
      <c r="H333" s="29"/>
      <c r="I333" s="29">
        <v>12000</v>
      </c>
      <c r="J333" s="29">
        <f>+E333*1.4</f>
        <v>21000</v>
      </c>
      <c r="K333" s="29">
        <f>+J333+I333</f>
        <v>33000</v>
      </c>
    </row>
    <row r="334" spans="1:16" ht="13" hidden="1" x14ac:dyDescent="0.25">
      <c r="A334" s="26">
        <f>+A333+1</f>
        <v>39</v>
      </c>
      <c r="B334" s="4" t="s">
        <v>152</v>
      </c>
      <c r="C334" s="7"/>
      <c r="D334" s="4" t="s">
        <v>137</v>
      </c>
      <c r="E334" s="19">
        <v>15000</v>
      </c>
      <c r="F334" s="29">
        <f>+VLOOKUP(B334,Distribuidor!$B$7:$D$533,3,0)</f>
        <v>10500</v>
      </c>
      <c r="G334" s="29">
        <f>+E334-F334</f>
        <v>4500</v>
      </c>
      <c r="H334" s="29"/>
      <c r="I334" s="29">
        <v>12000</v>
      </c>
      <c r="J334" s="29">
        <f>+E334*1.4</f>
        <v>21000</v>
      </c>
      <c r="K334" s="29">
        <f>+J334+I334</f>
        <v>33000</v>
      </c>
    </row>
    <row r="335" spans="1:16" ht="13" hidden="1" x14ac:dyDescent="0.25">
      <c r="A335" s="26">
        <f>+A334+1</f>
        <v>40</v>
      </c>
      <c r="B335" s="4" t="s">
        <v>181</v>
      </c>
      <c r="C335" s="7"/>
      <c r="D335" s="4" t="s">
        <v>137</v>
      </c>
      <c r="E335" s="19">
        <v>15000</v>
      </c>
      <c r="F335" s="29">
        <f>+VLOOKUP(B335,Distribuidor!$B$7:$D$533,3,0)</f>
        <v>10500</v>
      </c>
      <c r="G335" s="29">
        <f>+E335-F335</f>
        <v>4500</v>
      </c>
      <c r="H335" s="29"/>
      <c r="I335" s="29">
        <v>12000</v>
      </c>
      <c r="J335" s="29">
        <f>+E335*1.4</f>
        <v>21000</v>
      </c>
      <c r="K335" s="29">
        <f>+J335+I335</f>
        <v>33000</v>
      </c>
    </row>
    <row r="336" spans="1:16" ht="13" hidden="1" x14ac:dyDescent="0.25">
      <c r="A336" s="26">
        <f>+A335+1</f>
        <v>41</v>
      </c>
      <c r="B336" s="4" t="s">
        <v>154</v>
      </c>
      <c r="C336" s="7"/>
      <c r="D336" s="4" t="s">
        <v>137</v>
      </c>
      <c r="E336" s="19">
        <v>15000</v>
      </c>
      <c r="F336" s="29">
        <f>+VLOOKUP(B336,Distribuidor!$B$7:$D$533,3,0)</f>
        <v>10500</v>
      </c>
      <c r="G336" s="29">
        <f>+E336-F336</f>
        <v>4500</v>
      </c>
      <c r="H336" s="29"/>
      <c r="I336" s="29">
        <v>12000</v>
      </c>
      <c r="J336" s="29">
        <f>+E336*1.4</f>
        <v>21000</v>
      </c>
      <c r="K336" s="29">
        <f>+J336+I336</f>
        <v>33000</v>
      </c>
    </row>
    <row r="337" spans="1:16" ht="13" hidden="1" x14ac:dyDescent="0.25">
      <c r="A337" s="26">
        <f>+A336+1</f>
        <v>42</v>
      </c>
      <c r="B337" s="4" t="s">
        <v>173</v>
      </c>
      <c r="C337" s="7"/>
      <c r="D337" s="4" t="s">
        <v>137</v>
      </c>
      <c r="E337" s="19">
        <v>15000</v>
      </c>
      <c r="F337" s="29">
        <f>+VLOOKUP(B337,Distribuidor!$B$7:$D$533,3,0)</f>
        <v>10500</v>
      </c>
      <c r="G337" s="29">
        <f>+E337-F337</f>
        <v>4500</v>
      </c>
      <c r="H337" s="29"/>
      <c r="I337" s="29">
        <v>12000</v>
      </c>
      <c r="J337" s="29">
        <f>+E337*1.4</f>
        <v>21000</v>
      </c>
      <c r="K337" s="29">
        <f>+J337+I337</f>
        <v>33000</v>
      </c>
    </row>
    <row r="338" spans="1:16" ht="13" hidden="1" x14ac:dyDescent="0.25">
      <c r="A338" s="26">
        <f>+A337+1</f>
        <v>43</v>
      </c>
      <c r="B338" s="4" t="s">
        <v>155</v>
      </c>
      <c r="C338" s="7"/>
      <c r="D338" s="4" t="s">
        <v>137</v>
      </c>
      <c r="E338" s="19">
        <v>15000</v>
      </c>
      <c r="F338" s="29">
        <f>+VLOOKUP(B338,Distribuidor!$B$7:$D$533,3,0)</f>
        <v>10500</v>
      </c>
      <c r="G338" s="29">
        <f>+E338-F338</f>
        <v>4500</v>
      </c>
      <c r="H338" s="29"/>
      <c r="I338" s="29">
        <v>12000</v>
      </c>
      <c r="J338" s="29">
        <f>+E338*1.4</f>
        <v>21000</v>
      </c>
      <c r="K338" s="29">
        <f>+J338+I338</f>
        <v>33000</v>
      </c>
    </row>
    <row r="339" spans="1:16" ht="13" hidden="1" x14ac:dyDescent="0.25">
      <c r="A339" s="26">
        <f>+A338+1</f>
        <v>44</v>
      </c>
      <c r="B339" s="4" t="s">
        <v>197</v>
      </c>
      <c r="C339" s="7"/>
      <c r="D339" s="4" t="s">
        <v>137</v>
      </c>
      <c r="E339" s="19">
        <v>15000</v>
      </c>
      <c r="F339" s="29">
        <f>+VLOOKUP(B339,Distribuidor!$B$7:$D$533,3,0)</f>
        <v>10500</v>
      </c>
      <c r="G339" s="29">
        <f>+E339-F339</f>
        <v>4500</v>
      </c>
      <c r="H339" s="29"/>
      <c r="I339" s="29">
        <v>12000</v>
      </c>
      <c r="J339" s="29">
        <f>+E339*1.4</f>
        <v>21000</v>
      </c>
      <c r="K339" s="29">
        <f>+J339+I339</f>
        <v>33000</v>
      </c>
    </row>
    <row r="340" spans="1:16" ht="13" x14ac:dyDescent="0.25">
      <c r="A340" s="26">
        <f>+A339+1</f>
        <v>45</v>
      </c>
      <c r="B340" s="4" t="s">
        <v>156</v>
      </c>
      <c r="C340" s="7" t="s">
        <v>618</v>
      </c>
      <c r="D340" s="4" t="s">
        <v>137</v>
      </c>
      <c r="E340" s="19">
        <v>15000</v>
      </c>
      <c r="F340" s="29">
        <f>+VLOOKUP(B340,Distribuidor!$B$7:$D$533,3,0)</f>
        <v>10500</v>
      </c>
      <c r="G340" s="29">
        <f>+E340-F340</f>
        <v>4500</v>
      </c>
      <c r="H340" s="29">
        <f>+G340*L340</f>
        <v>22500</v>
      </c>
      <c r="I340" s="29">
        <v>12000</v>
      </c>
      <c r="J340" s="29">
        <f>+E340*1.4</f>
        <v>21000</v>
      </c>
      <c r="K340" s="29">
        <f>+J340+I340</f>
        <v>33000</v>
      </c>
      <c r="L340" s="1">
        <v>5</v>
      </c>
      <c r="M340" s="29">
        <f>+J340*L340</f>
        <v>105000</v>
      </c>
      <c r="N340" s="29">
        <v>19900</v>
      </c>
      <c r="O340" s="29">
        <f>9000+N340</f>
        <v>28900</v>
      </c>
      <c r="P340" s="37">
        <f>+O340-K340</f>
        <v>-4100</v>
      </c>
    </row>
    <row r="341" spans="1:16" ht="13" x14ac:dyDescent="0.25">
      <c r="A341" s="26">
        <f>+A340+1</f>
        <v>46</v>
      </c>
      <c r="B341" s="4" t="s">
        <v>198</v>
      </c>
      <c r="C341" s="7" t="s">
        <v>618</v>
      </c>
      <c r="D341" s="4" t="s">
        <v>137</v>
      </c>
      <c r="E341" s="19">
        <v>15000</v>
      </c>
      <c r="F341" s="29">
        <f>+VLOOKUP(B341,Distribuidor!$B$7:$D$533,3,0)</f>
        <v>10500</v>
      </c>
      <c r="G341" s="29">
        <f>+E341-F341</f>
        <v>4500</v>
      </c>
      <c r="H341" s="29">
        <f>+G341*L341</f>
        <v>22500</v>
      </c>
      <c r="I341" s="29">
        <v>12000</v>
      </c>
      <c r="J341" s="29">
        <f>+E341*1.4</f>
        <v>21000</v>
      </c>
      <c r="K341" s="29">
        <f>+J341+I341</f>
        <v>33000</v>
      </c>
      <c r="L341" s="1">
        <v>5</v>
      </c>
      <c r="M341" s="29">
        <f>+J341*L341</f>
        <v>105000</v>
      </c>
      <c r="N341" s="29">
        <v>19900</v>
      </c>
      <c r="O341" s="29">
        <f>9000+N341</f>
        <v>28900</v>
      </c>
      <c r="P341" s="37">
        <f>+O341-K341</f>
        <v>-4100</v>
      </c>
    </row>
    <row r="342" spans="1:16" ht="13" hidden="1" x14ac:dyDescent="0.25">
      <c r="A342" s="26">
        <f>+A341+1</f>
        <v>47</v>
      </c>
      <c r="B342" s="4" t="s">
        <v>157</v>
      </c>
      <c r="C342" s="7"/>
      <c r="D342" s="4" t="s">
        <v>137</v>
      </c>
      <c r="E342" s="19">
        <v>15000</v>
      </c>
      <c r="F342" s="29">
        <f>+VLOOKUP(B342,Distribuidor!$B$7:$D$533,3,0)</f>
        <v>10500</v>
      </c>
      <c r="G342" s="29">
        <f>+E342-F342</f>
        <v>4500</v>
      </c>
      <c r="H342" s="29"/>
      <c r="I342" s="29">
        <v>12000</v>
      </c>
      <c r="J342" s="29">
        <f>+E342*1.4</f>
        <v>21000</v>
      </c>
      <c r="K342" s="29">
        <f>+J342+I342</f>
        <v>33000</v>
      </c>
    </row>
    <row r="343" spans="1:16" ht="13" hidden="1" x14ac:dyDescent="0.25">
      <c r="A343" s="26">
        <f>+A342+1</f>
        <v>48</v>
      </c>
      <c r="B343" s="4" t="s">
        <v>199</v>
      </c>
      <c r="C343" s="7"/>
      <c r="D343" s="4" t="s">
        <v>137</v>
      </c>
      <c r="E343" s="19">
        <v>15000</v>
      </c>
      <c r="F343" s="29">
        <f>+VLOOKUP(B343,Distribuidor!$B$7:$D$533,3,0)</f>
        <v>10500</v>
      </c>
      <c r="G343" s="29">
        <f>+E343-F343</f>
        <v>4500</v>
      </c>
      <c r="H343" s="29"/>
      <c r="I343" s="29">
        <v>12000</v>
      </c>
      <c r="J343" s="29">
        <f>+E343*1.4</f>
        <v>21000</v>
      </c>
      <c r="K343" s="29">
        <f>+J343+I343</f>
        <v>33000</v>
      </c>
    </row>
    <row r="344" spans="1:16" ht="13" hidden="1" x14ac:dyDescent="0.25">
      <c r="A344" s="26">
        <f>+A343+1</f>
        <v>49</v>
      </c>
      <c r="B344" s="2" t="s">
        <v>100</v>
      </c>
      <c r="C344" s="7"/>
      <c r="D344" s="4" t="s">
        <v>29</v>
      </c>
      <c r="E344" s="19">
        <v>15000</v>
      </c>
      <c r="F344" s="29">
        <f>+VLOOKUP(B344,Distribuidor!$B$7:$D$533,3,0)</f>
        <v>10300</v>
      </c>
      <c r="G344" s="29">
        <f>+E344-F344</f>
        <v>4700</v>
      </c>
      <c r="H344" s="29"/>
      <c r="I344" s="29">
        <v>12000</v>
      </c>
      <c r="J344" s="29">
        <f>+E344*1.4</f>
        <v>21000</v>
      </c>
      <c r="K344" s="29">
        <f>+J344+I344</f>
        <v>33000</v>
      </c>
    </row>
    <row r="345" spans="1:16" ht="13" hidden="1" x14ac:dyDescent="0.25">
      <c r="A345" s="26">
        <f>+A344+1</f>
        <v>50</v>
      </c>
      <c r="B345" s="2" t="s">
        <v>257</v>
      </c>
      <c r="C345" s="7"/>
      <c r="D345" s="4" t="s">
        <v>8</v>
      </c>
      <c r="E345" s="19">
        <v>14000</v>
      </c>
      <c r="F345" s="29">
        <f>+VLOOKUP(B345,Distribuidor!$B$7:$D$533,3,0)</f>
        <v>9500</v>
      </c>
      <c r="G345" s="29">
        <f>+E345-F345</f>
        <v>4500</v>
      </c>
      <c r="H345" s="29"/>
      <c r="I345" s="29">
        <v>12000</v>
      </c>
      <c r="J345" s="29">
        <f>+E345*1.4</f>
        <v>19600</v>
      </c>
      <c r="K345" s="29">
        <f>+J345+I345</f>
        <v>31600</v>
      </c>
    </row>
    <row r="346" spans="1:16" ht="13" hidden="1" x14ac:dyDescent="0.25">
      <c r="A346" s="26">
        <f>+A345+1</f>
        <v>51</v>
      </c>
      <c r="B346" s="2" t="s">
        <v>10</v>
      </c>
      <c r="C346" s="7"/>
      <c r="D346" s="4" t="s">
        <v>8</v>
      </c>
      <c r="E346" s="19">
        <v>14000</v>
      </c>
      <c r="F346" s="29">
        <f>+VLOOKUP(B346,Distribuidor!$B$7:$D$533,3,0)</f>
        <v>9500</v>
      </c>
      <c r="G346" s="29">
        <f>+E346-F346</f>
        <v>4500</v>
      </c>
      <c r="H346" s="29"/>
      <c r="I346" s="29">
        <v>12000</v>
      </c>
      <c r="J346" s="29">
        <f>+E346*1.4</f>
        <v>19600</v>
      </c>
      <c r="K346" s="29">
        <f>+J346+I346</f>
        <v>31600</v>
      </c>
    </row>
    <row r="347" spans="1:16" ht="13" hidden="1" x14ac:dyDescent="0.25">
      <c r="A347" s="26">
        <f>+A346+1</f>
        <v>52</v>
      </c>
      <c r="B347" s="4" t="s">
        <v>171</v>
      </c>
      <c r="C347" s="7"/>
      <c r="D347" s="4" t="s">
        <v>164</v>
      </c>
      <c r="E347" s="19">
        <v>14000</v>
      </c>
      <c r="F347" s="29">
        <f>+VLOOKUP(B347,Distribuidor!$B$7:$D$533,3,0)</f>
        <v>9700</v>
      </c>
      <c r="G347" s="29">
        <f>+E347-F347</f>
        <v>4300</v>
      </c>
      <c r="H347" s="29"/>
      <c r="I347" s="29">
        <v>12000</v>
      </c>
      <c r="J347" s="29">
        <f>+E347*1.4</f>
        <v>19600</v>
      </c>
      <c r="K347" s="29">
        <f>+J347+I347</f>
        <v>31600</v>
      </c>
    </row>
    <row r="348" spans="1:16" ht="13" hidden="1" x14ac:dyDescent="0.25">
      <c r="A348" s="26">
        <f>+A347+1</f>
        <v>53</v>
      </c>
      <c r="B348" s="4" t="s">
        <v>134</v>
      </c>
      <c r="C348" s="7"/>
      <c r="D348" s="4" t="s">
        <v>130</v>
      </c>
      <c r="E348" s="19">
        <v>14000</v>
      </c>
      <c r="F348" s="29">
        <f>+VLOOKUP(B348,Distribuidor!$B$7:$D$533,3,0)</f>
        <v>9300</v>
      </c>
      <c r="G348" s="29">
        <f>+E348-F348</f>
        <v>4700</v>
      </c>
      <c r="H348" s="29"/>
      <c r="I348" s="29">
        <v>12000</v>
      </c>
      <c r="J348" s="29">
        <f>+E348*1.4</f>
        <v>19600</v>
      </c>
      <c r="K348" s="29">
        <f>+J348+I348</f>
        <v>31600</v>
      </c>
    </row>
    <row r="349" spans="1:16" ht="13" hidden="1" x14ac:dyDescent="0.25">
      <c r="A349" s="26">
        <f>+A348+1</f>
        <v>54</v>
      </c>
      <c r="B349" s="2" t="s">
        <v>110</v>
      </c>
      <c r="C349" s="7"/>
      <c r="D349" s="4" t="s">
        <v>8</v>
      </c>
      <c r="E349" s="19">
        <v>13000</v>
      </c>
      <c r="F349" s="29">
        <f>+VLOOKUP(B349,Distribuidor!$B$7:$D$533,3,0)</f>
        <v>8900</v>
      </c>
      <c r="G349" s="29">
        <f>+E349-F349</f>
        <v>4100</v>
      </c>
      <c r="H349" s="29"/>
      <c r="I349" s="29">
        <v>12000</v>
      </c>
      <c r="J349" s="29">
        <f>+E349*1.4</f>
        <v>18200</v>
      </c>
      <c r="K349" s="29">
        <f>+J349+I349</f>
        <v>30200</v>
      </c>
    </row>
    <row r="350" spans="1:16" ht="13" hidden="1" x14ac:dyDescent="0.25">
      <c r="A350" s="26">
        <f>+A349+1</f>
        <v>55</v>
      </c>
      <c r="B350" s="4" t="s">
        <v>467</v>
      </c>
      <c r="C350" s="7"/>
      <c r="D350" s="4" t="s">
        <v>13</v>
      </c>
      <c r="E350" s="19">
        <v>13000</v>
      </c>
      <c r="F350" s="29">
        <f>+VLOOKUP(B350,Distribuidor!$B$7:$D$533,3,0)</f>
        <v>8800</v>
      </c>
      <c r="G350" s="29">
        <f>+E350-F350</f>
        <v>4200</v>
      </c>
      <c r="H350" s="29"/>
      <c r="I350" s="29">
        <v>12000</v>
      </c>
      <c r="J350" s="29">
        <f>+E350*1.4</f>
        <v>18200</v>
      </c>
      <c r="K350" s="29">
        <f>+J350+I350</f>
        <v>30200</v>
      </c>
    </row>
    <row r="351" spans="1:16" ht="13" hidden="1" x14ac:dyDescent="0.25">
      <c r="A351" s="26">
        <f>+A350+1</f>
        <v>56</v>
      </c>
      <c r="B351" s="4" t="s">
        <v>536</v>
      </c>
      <c r="C351" s="7"/>
      <c r="D351" s="4" t="s">
        <v>529</v>
      </c>
      <c r="E351" s="19">
        <v>13000</v>
      </c>
      <c r="F351" s="29">
        <f>+VLOOKUP(B351,Distribuidor!$B$7:$D$533,3,0)</f>
        <v>8500</v>
      </c>
      <c r="G351" s="29">
        <f>+E351-F351</f>
        <v>4500</v>
      </c>
      <c r="H351" s="29"/>
      <c r="I351" s="29">
        <v>12000</v>
      </c>
      <c r="J351" s="29">
        <f>+E351*1.4</f>
        <v>18200</v>
      </c>
      <c r="K351" s="29">
        <f>+J351+I351</f>
        <v>30200</v>
      </c>
    </row>
    <row r="352" spans="1:16" ht="13" hidden="1" x14ac:dyDescent="0.25">
      <c r="A352" s="26">
        <f>+A351+1</f>
        <v>57</v>
      </c>
      <c r="B352" s="4" t="s">
        <v>480</v>
      </c>
      <c r="C352" s="7"/>
      <c r="D352" s="4" t="s">
        <v>479</v>
      </c>
      <c r="E352" s="19">
        <v>13000</v>
      </c>
      <c r="F352" s="29">
        <f>+VLOOKUP(B352,Distribuidor!$B$7:$D$533,3,0)</f>
        <v>8500</v>
      </c>
      <c r="G352" s="29">
        <f>+E352-F352</f>
        <v>4500</v>
      </c>
      <c r="H352" s="29"/>
      <c r="I352" s="29">
        <v>12000</v>
      </c>
      <c r="J352" s="29">
        <f>+E352*1.4</f>
        <v>18200</v>
      </c>
      <c r="K352" s="29">
        <f>+J352+I352</f>
        <v>30200</v>
      </c>
    </row>
    <row r="353" spans="1:16" ht="13" hidden="1" x14ac:dyDescent="0.25">
      <c r="A353" s="26">
        <f>+A352+1</f>
        <v>58</v>
      </c>
      <c r="B353" s="4" t="s">
        <v>540</v>
      </c>
      <c r="C353" s="7"/>
      <c r="D353" s="4" t="s">
        <v>479</v>
      </c>
      <c r="E353" s="19">
        <v>13000</v>
      </c>
      <c r="F353" s="29">
        <f>+VLOOKUP(B353,Distribuidor!$B$7:$D$533,3,0)</f>
        <v>8500</v>
      </c>
      <c r="G353" s="29">
        <f>+E353-F353</f>
        <v>4500</v>
      </c>
      <c r="H353" s="29"/>
      <c r="I353" s="29">
        <v>12000</v>
      </c>
      <c r="J353" s="29">
        <f>+E353*1.4</f>
        <v>18200</v>
      </c>
      <c r="K353" s="29">
        <f>+J353+I353</f>
        <v>30200</v>
      </c>
    </row>
    <row r="354" spans="1:16" ht="13" hidden="1" x14ac:dyDescent="0.25">
      <c r="A354" s="26">
        <f>+A353+1</f>
        <v>59</v>
      </c>
      <c r="B354" s="4" t="s">
        <v>481</v>
      </c>
      <c r="C354" s="7"/>
      <c r="D354" s="4" t="s">
        <v>479</v>
      </c>
      <c r="E354" s="19">
        <v>13000</v>
      </c>
      <c r="F354" s="29">
        <f>+VLOOKUP(B354,Distribuidor!$B$7:$D$533,3,0)</f>
        <v>8500</v>
      </c>
      <c r="G354" s="29">
        <f>+E354-F354</f>
        <v>4500</v>
      </c>
      <c r="H354" s="29"/>
      <c r="I354" s="29">
        <v>12000</v>
      </c>
      <c r="J354" s="29">
        <f>+E354*1.4</f>
        <v>18200</v>
      </c>
      <c r="K354" s="29">
        <f>+J354+I354</f>
        <v>30200</v>
      </c>
    </row>
    <row r="355" spans="1:16" ht="13" hidden="1" x14ac:dyDescent="0.25">
      <c r="A355" s="26">
        <f>+A354+1</f>
        <v>60</v>
      </c>
      <c r="B355" s="4" t="s">
        <v>482</v>
      </c>
      <c r="C355" s="7"/>
      <c r="D355" s="4" t="s">
        <v>479</v>
      </c>
      <c r="E355" s="19">
        <v>13000</v>
      </c>
      <c r="F355" s="29">
        <f>+VLOOKUP(B355,Distribuidor!$B$7:$D$533,3,0)</f>
        <v>8500</v>
      </c>
      <c r="G355" s="29">
        <f>+E355-F355</f>
        <v>4500</v>
      </c>
      <c r="H355" s="29"/>
      <c r="I355" s="29">
        <v>12000</v>
      </c>
      <c r="J355" s="29">
        <f>+E355*1.4</f>
        <v>18200</v>
      </c>
      <c r="K355" s="29">
        <f>+J355+I355</f>
        <v>30200</v>
      </c>
    </row>
    <row r="356" spans="1:16" ht="13" hidden="1" x14ac:dyDescent="0.25">
      <c r="A356" s="26">
        <f>+A355+1</f>
        <v>61</v>
      </c>
      <c r="B356" s="4" t="s">
        <v>483</v>
      </c>
      <c r="C356" s="7"/>
      <c r="D356" s="4" t="s">
        <v>479</v>
      </c>
      <c r="E356" s="19">
        <v>13000</v>
      </c>
      <c r="F356" s="29">
        <f>+VLOOKUP(B356,Distribuidor!$B$7:$D$533,3,0)</f>
        <v>8500</v>
      </c>
      <c r="G356" s="29">
        <f>+E356-F356</f>
        <v>4500</v>
      </c>
      <c r="H356" s="29"/>
      <c r="I356" s="29">
        <v>12000</v>
      </c>
      <c r="J356" s="29">
        <f>+E356*1.4</f>
        <v>18200</v>
      </c>
      <c r="K356" s="29">
        <f>+J356+I356</f>
        <v>30200</v>
      </c>
    </row>
    <row r="357" spans="1:16" ht="13" hidden="1" x14ac:dyDescent="0.25">
      <c r="A357" s="26">
        <f>+A356+1</f>
        <v>62</v>
      </c>
      <c r="B357" s="4" t="s">
        <v>484</v>
      </c>
      <c r="C357" s="7"/>
      <c r="D357" s="4" t="s">
        <v>479</v>
      </c>
      <c r="E357" s="19">
        <v>13000</v>
      </c>
      <c r="F357" s="29">
        <f>+VLOOKUP(B357,Distribuidor!$B$7:$D$533,3,0)</f>
        <v>8500</v>
      </c>
      <c r="G357" s="29">
        <f>+E357-F357</f>
        <v>4500</v>
      </c>
      <c r="H357" s="29"/>
      <c r="I357" s="29">
        <v>12000</v>
      </c>
      <c r="J357" s="29">
        <f>+E357*1.4</f>
        <v>18200</v>
      </c>
      <c r="K357" s="29">
        <f>+J357+I357</f>
        <v>30200</v>
      </c>
    </row>
    <row r="358" spans="1:16" ht="13" hidden="1" x14ac:dyDescent="0.25">
      <c r="A358" s="26">
        <f>+A357+1</f>
        <v>63</v>
      </c>
      <c r="B358" s="4" t="s">
        <v>282</v>
      </c>
      <c r="C358" s="7"/>
      <c r="D358" s="4" t="s">
        <v>281</v>
      </c>
      <c r="E358" s="19">
        <v>13000</v>
      </c>
      <c r="F358" s="29">
        <f>+VLOOKUP(B358,Distribuidor!$B$7:$D$533,3,0)</f>
        <v>8800</v>
      </c>
      <c r="G358" s="29">
        <f>+E358-F358</f>
        <v>4200</v>
      </c>
      <c r="H358" s="29"/>
      <c r="I358" s="29">
        <v>12000</v>
      </c>
      <c r="J358" s="29">
        <f>+E358*1.4</f>
        <v>18200</v>
      </c>
      <c r="K358" s="29">
        <f>+J358+I358</f>
        <v>30200</v>
      </c>
    </row>
    <row r="359" spans="1:16" ht="13" hidden="1" x14ac:dyDescent="0.25">
      <c r="A359" s="26">
        <f>+A358+1</f>
        <v>64</v>
      </c>
      <c r="B359" s="4" t="s">
        <v>300</v>
      </c>
      <c r="C359" s="7"/>
      <c r="D359" s="4" t="s">
        <v>113</v>
      </c>
      <c r="E359" s="19">
        <v>12000</v>
      </c>
      <c r="F359" s="29">
        <f>+VLOOKUP(B359,Distribuidor!$B$7:$D$533,3,0)</f>
        <v>7900</v>
      </c>
      <c r="G359" s="29">
        <f>+E359-F359</f>
        <v>4100</v>
      </c>
      <c r="H359" s="29"/>
      <c r="I359" s="29">
        <v>12000</v>
      </c>
      <c r="J359" s="29">
        <f>+E359*1.4</f>
        <v>16800</v>
      </c>
      <c r="K359" s="29">
        <f>+J359+I359</f>
        <v>28800</v>
      </c>
    </row>
    <row r="360" spans="1:16" ht="13" hidden="1" x14ac:dyDescent="0.25">
      <c r="A360" s="26">
        <f>+A359+1</f>
        <v>65</v>
      </c>
      <c r="B360" s="4" t="s">
        <v>298</v>
      </c>
      <c r="C360" s="7"/>
      <c r="D360" s="4" t="s">
        <v>113</v>
      </c>
      <c r="E360" s="19">
        <v>12000</v>
      </c>
      <c r="F360" s="29">
        <f>+VLOOKUP(B360,Distribuidor!$B$7:$D$533,3,0)</f>
        <v>7900</v>
      </c>
      <c r="G360" s="29">
        <f>+E360-F360</f>
        <v>4100</v>
      </c>
      <c r="H360" s="29"/>
      <c r="I360" s="29">
        <v>12000</v>
      </c>
      <c r="J360" s="29">
        <f>+E360*1.4</f>
        <v>16800</v>
      </c>
      <c r="K360" s="29">
        <f>+J360+I360</f>
        <v>28800</v>
      </c>
    </row>
    <row r="361" spans="1:16" ht="13" x14ac:dyDescent="0.25">
      <c r="A361" s="26">
        <f>+A360+1</f>
        <v>66</v>
      </c>
      <c r="B361" s="4" t="s">
        <v>244</v>
      </c>
      <c r="C361" s="7" t="s">
        <v>618</v>
      </c>
      <c r="D361" s="4" t="s">
        <v>13</v>
      </c>
      <c r="E361" s="19">
        <v>12000</v>
      </c>
      <c r="F361" s="29">
        <f>+VLOOKUP(B361,Distribuidor!$B$7:$D$533,3,0)</f>
        <v>8200</v>
      </c>
      <c r="G361" s="29">
        <f>+E361-F361</f>
        <v>3800</v>
      </c>
      <c r="H361" s="29">
        <f>+G361*L361</f>
        <v>19000</v>
      </c>
      <c r="I361" s="29">
        <v>12000</v>
      </c>
      <c r="J361" s="29">
        <f>+E361*1.4</f>
        <v>16800</v>
      </c>
      <c r="K361" s="29">
        <f>+J361+I361</f>
        <v>28800</v>
      </c>
      <c r="L361" s="1">
        <v>5</v>
      </c>
      <c r="M361" s="29">
        <f>+J361*L361</f>
        <v>84000</v>
      </c>
      <c r="N361" s="29">
        <v>15000</v>
      </c>
      <c r="O361" s="29">
        <f>9000+N361</f>
        <v>24000</v>
      </c>
      <c r="P361" s="37">
        <f>+O361-K361</f>
        <v>-4800</v>
      </c>
    </row>
    <row r="362" spans="1:16" ht="13" hidden="1" x14ac:dyDescent="0.25">
      <c r="A362" s="26">
        <f>+A361+1</f>
        <v>67</v>
      </c>
      <c r="B362" s="4" t="s">
        <v>37</v>
      </c>
      <c r="C362" s="7"/>
      <c r="D362" s="4" t="s">
        <v>29</v>
      </c>
      <c r="E362" s="19">
        <v>12000</v>
      </c>
      <c r="F362" s="29">
        <f>+VLOOKUP(B362,Distribuidor!$B$7:$D$533,3,0)</f>
        <v>8200</v>
      </c>
      <c r="G362" s="29">
        <f>+E362-F362</f>
        <v>3800</v>
      </c>
      <c r="H362" s="29"/>
      <c r="I362" s="29">
        <v>12000</v>
      </c>
      <c r="J362" s="29">
        <f>+E362*1.4</f>
        <v>16800</v>
      </c>
      <c r="K362" s="29">
        <f>+J362+I362</f>
        <v>28800</v>
      </c>
    </row>
    <row r="363" spans="1:16" ht="13" hidden="1" x14ac:dyDescent="0.25">
      <c r="A363" s="26">
        <f>+A362+1</f>
        <v>68</v>
      </c>
      <c r="B363" s="4" t="s">
        <v>132</v>
      </c>
      <c r="C363" s="7"/>
      <c r="D363" s="4" t="s">
        <v>130</v>
      </c>
      <c r="E363" s="19">
        <v>12000</v>
      </c>
      <c r="F363" s="29">
        <f>+VLOOKUP(B363,Distribuidor!$B$7:$D$533,3,0)</f>
        <v>7900</v>
      </c>
      <c r="G363" s="29">
        <f>+E363-F363</f>
        <v>4100</v>
      </c>
      <c r="H363" s="29"/>
      <c r="I363" s="29">
        <v>12000</v>
      </c>
      <c r="J363" s="29">
        <f>+E363*1.4</f>
        <v>16800</v>
      </c>
      <c r="K363" s="29">
        <f>+J363+I363</f>
        <v>28800</v>
      </c>
    </row>
    <row r="364" spans="1:16" ht="13" hidden="1" x14ac:dyDescent="0.25">
      <c r="A364" s="26">
        <f>+A363+1</f>
        <v>69</v>
      </c>
      <c r="B364" s="4" t="s">
        <v>486</v>
      </c>
      <c r="C364" s="7"/>
      <c r="D364" s="4" t="s">
        <v>485</v>
      </c>
      <c r="E364" s="19">
        <v>12000</v>
      </c>
      <c r="F364" s="29">
        <f>+VLOOKUP(B364,Distribuidor!$B$7:$D$533,3,0)</f>
        <v>8000</v>
      </c>
      <c r="G364" s="29">
        <f>+E364-F364</f>
        <v>4000</v>
      </c>
      <c r="H364" s="29"/>
      <c r="I364" s="29">
        <v>12000</v>
      </c>
      <c r="J364" s="29">
        <f>+E364*1.4</f>
        <v>16800</v>
      </c>
      <c r="K364" s="29">
        <f>+J364+I364</f>
        <v>28800</v>
      </c>
    </row>
    <row r="365" spans="1:16" ht="13" hidden="1" x14ac:dyDescent="0.25">
      <c r="A365" s="26">
        <f>+A364+1</f>
        <v>70</v>
      </c>
      <c r="B365" s="4" t="s">
        <v>502</v>
      </c>
      <c r="C365" s="7"/>
      <c r="D365" s="4" t="s">
        <v>485</v>
      </c>
      <c r="E365" s="19">
        <v>12000</v>
      </c>
      <c r="F365" s="29">
        <f>+VLOOKUP(B365,Distribuidor!$B$7:$D$533,3,0)</f>
        <v>8000</v>
      </c>
      <c r="G365" s="29">
        <f>+E365-F365</f>
        <v>4000</v>
      </c>
      <c r="H365" s="29"/>
      <c r="I365" s="29">
        <v>12000</v>
      </c>
      <c r="J365" s="29">
        <f>+E365*1.4</f>
        <v>16800</v>
      </c>
      <c r="K365" s="29">
        <f>+J365+I365</f>
        <v>28800</v>
      </c>
    </row>
    <row r="366" spans="1:16" ht="13" hidden="1" x14ac:dyDescent="0.25">
      <c r="A366" s="26">
        <f>+A365+1</f>
        <v>71</v>
      </c>
      <c r="B366" s="4" t="s">
        <v>487</v>
      </c>
      <c r="C366" s="7"/>
      <c r="D366" s="4" t="s">
        <v>485</v>
      </c>
      <c r="E366" s="19">
        <v>12000</v>
      </c>
      <c r="F366" s="29">
        <f>+VLOOKUP(B366,Distribuidor!$B$7:$D$533,3,0)</f>
        <v>8000</v>
      </c>
      <c r="G366" s="29">
        <f>+E366-F366</f>
        <v>4000</v>
      </c>
      <c r="H366" s="29"/>
      <c r="I366" s="29">
        <v>12000</v>
      </c>
      <c r="J366" s="29">
        <f>+E366*1.4</f>
        <v>16800</v>
      </c>
      <c r="K366" s="29">
        <f>+J366+I366</f>
        <v>28800</v>
      </c>
    </row>
    <row r="367" spans="1:16" ht="13" hidden="1" x14ac:dyDescent="0.25">
      <c r="A367" s="26">
        <f>+A366+1</f>
        <v>72</v>
      </c>
      <c r="B367" s="4" t="s">
        <v>488</v>
      </c>
      <c r="C367" s="7"/>
      <c r="D367" s="4" t="s">
        <v>485</v>
      </c>
      <c r="E367" s="19">
        <v>12000</v>
      </c>
      <c r="F367" s="29">
        <f>+VLOOKUP(B367,Distribuidor!$B$7:$D$533,3,0)</f>
        <v>8000</v>
      </c>
      <c r="G367" s="29">
        <f>+E367-F367</f>
        <v>4000</v>
      </c>
      <c r="H367" s="29"/>
      <c r="I367" s="29">
        <v>12000</v>
      </c>
      <c r="J367" s="29">
        <f>+E367*1.4</f>
        <v>16800</v>
      </c>
      <c r="K367" s="29">
        <f>+J367+I367</f>
        <v>28800</v>
      </c>
    </row>
    <row r="368" spans="1:16" ht="13" hidden="1" x14ac:dyDescent="0.25">
      <c r="A368" s="26">
        <f>+A367+1</f>
        <v>73</v>
      </c>
      <c r="B368" s="4" t="s">
        <v>291</v>
      </c>
      <c r="C368" s="7"/>
      <c r="D368" s="4" t="s">
        <v>281</v>
      </c>
      <c r="E368" s="19">
        <v>12000</v>
      </c>
      <c r="F368" s="29">
        <f>+VLOOKUP(B368,Distribuidor!$B$7:$D$533,3,0)</f>
        <v>8300</v>
      </c>
      <c r="G368" s="29">
        <f>+E368-F368</f>
        <v>3700</v>
      </c>
      <c r="H368" s="29"/>
      <c r="I368" s="29">
        <v>12000</v>
      </c>
      <c r="J368" s="29">
        <f>+E368*1.4</f>
        <v>16800</v>
      </c>
      <c r="K368" s="29">
        <f>+J368+I368</f>
        <v>28800</v>
      </c>
    </row>
    <row r="369" spans="1:11" ht="13" hidden="1" x14ac:dyDescent="0.25">
      <c r="A369" s="26">
        <f>+A368+1</f>
        <v>74</v>
      </c>
      <c r="B369" s="4" t="s">
        <v>292</v>
      </c>
      <c r="C369" s="7"/>
      <c r="D369" s="4" t="s">
        <v>281</v>
      </c>
      <c r="E369" s="19">
        <v>12000</v>
      </c>
      <c r="F369" s="29">
        <f>+VLOOKUP(B369,Distribuidor!$B$7:$D$533,3,0)</f>
        <v>8300</v>
      </c>
      <c r="G369" s="29">
        <f>+E369-F369</f>
        <v>3700</v>
      </c>
      <c r="H369" s="29"/>
      <c r="I369" s="29">
        <v>12000</v>
      </c>
      <c r="J369" s="29">
        <f>+E369*1.4</f>
        <v>16800</v>
      </c>
      <c r="K369" s="29">
        <f>+J369+I369</f>
        <v>28800</v>
      </c>
    </row>
    <row r="370" spans="1:11" ht="13" hidden="1" x14ac:dyDescent="0.25">
      <c r="A370" s="26">
        <f>+A369+1</f>
        <v>75</v>
      </c>
      <c r="B370" s="4" t="s">
        <v>279</v>
      </c>
      <c r="C370" s="7"/>
      <c r="D370" s="4" t="s">
        <v>164</v>
      </c>
      <c r="E370" s="19">
        <v>11000</v>
      </c>
      <c r="F370" s="29">
        <f>+VLOOKUP(B370,Distribuidor!$B$7:$D$533,3,0)</f>
        <v>7100</v>
      </c>
      <c r="G370" s="29">
        <f>+E370-F370</f>
        <v>3900</v>
      </c>
      <c r="H370" s="29"/>
      <c r="I370" s="29">
        <v>12000</v>
      </c>
      <c r="J370" s="29">
        <f>+E370*1.4</f>
        <v>15399.999999999998</v>
      </c>
      <c r="K370" s="29">
        <f>+J370+I370</f>
        <v>27400</v>
      </c>
    </row>
    <row r="371" spans="1:11" ht="13" hidden="1" x14ac:dyDescent="0.25">
      <c r="A371" s="26">
        <f>+A370+1</f>
        <v>76</v>
      </c>
      <c r="B371" s="4" t="s">
        <v>333</v>
      </c>
      <c r="C371" s="7"/>
      <c r="D371" s="4" t="s">
        <v>117</v>
      </c>
      <c r="E371" s="19">
        <v>11000</v>
      </c>
      <c r="F371" s="29">
        <f>+VLOOKUP(B371,Distribuidor!$B$7:$D$533,3,0)</f>
        <v>7200</v>
      </c>
      <c r="G371" s="29">
        <f>+E371-F371</f>
        <v>3800</v>
      </c>
      <c r="H371" s="29"/>
      <c r="I371" s="29">
        <v>12000</v>
      </c>
      <c r="J371" s="29">
        <f>+E371*1.4</f>
        <v>15399.999999999998</v>
      </c>
      <c r="K371" s="29">
        <f>+J371+I371</f>
        <v>27400</v>
      </c>
    </row>
    <row r="372" spans="1:11" ht="13" hidden="1" x14ac:dyDescent="0.25">
      <c r="A372" s="26">
        <f>+A371+1</f>
        <v>77</v>
      </c>
      <c r="B372" s="4" t="s">
        <v>563</v>
      </c>
      <c r="C372" s="7"/>
      <c r="D372" s="4" t="s">
        <v>113</v>
      </c>
      <c r="E372" s="19">
        <v>11000</v>
      </c>
      <c r="F372" s="29">
        <f>+VLOOKUP(B372,Distribuidor!$B$7:$D$533,3,0)</f>
        <v>7300</v>
      </c>
      <c r="G372" s="29">
        <f>+E372-F372</f>
        <v>3700</v>
      </c>
      <c r="H372" s="29"/>
      <c r="I372" s="29">
        <v>12000</v>
      </c>
      <c r="J372" s="29">
        <f>+E372*1.4</f>
        <v>15399.999999999998</v>
      </c>
      <c r="K372" s="29">
        <f>+J372+I372</f>
        <v>27400</v>
      </c>
    </row>
    <row r="373" spans="1:11" ht="13" hidden="1" x14ac:dyDescent="0.25">
      <c r="A373" s="26">
        <f>+A372+1</f>
        <v>78</v>
      </c>
      <c r="B373" s="4" t="s">
        <v>80</v>
      </c>
      <c r="C373" s="7"/>
      <c r="D373" s="4" t="s">
        <v>13</v>
      </c>
      <c r="E373" s="19">
        <v>11000</v>
      </c>
      <c r="F373" s="29">
        <f>+VLOOKUP(B373,Distribuidor!$B$7:$D$533,3,0)</f>
        <v>7500</v>
      </c>
      <c r="G373" s="29">
        <f>+E373-F373</f>
        <v>3500</v>
      </c>
      <c r="H373" s="29"/>
      <c r="I373" s="29">
        <v>12000</v>
      </c>
      <c r="J373" s="29">
        <f>+E373*1.4</f>
        <v>15399.999999999998</v>
      </c>
      <c r="K373" s="29">
        <f>+J373+I373</f>
        <v>27400</v>
      </c>
    </row>
    <row r="374" spans="1:11" ht="13" hidden="1" x14ac:dyDescent="0.25">
      <c r="A374" s="26">
        <f>+A373+1</f>
        <v>79</v>
      </c>
      <c r="B374" s="4" t="s">
        <v>466</v>
      </c>
      <c r="C374" s="7"/>
      <c r="D374" s="4" t="s">
        <v>13</v>
      </c>
      <c r="E374" s="19">
        <v>11000</v>
      </c>
      <c r="F374" s="29">
        <f>+VLOOKUP(B374,Distribuidor!$B$7:$D$533,3,0)</f>
        <v>7500</v>
      </c>
      <c r="G374" s="29">
        <f>+E374-F374</f>
        <v>3500</v>
      </c>
      <c r="H374" s="29"/>
      <c r="I374" s="29">
        <v>12000</v>
      </c>
      <c r="J374" s="29">
        <f>+E374*1.4</f>
        <v>15399.999999999998</v>
      </c>
      <c r="K374" s="29">
        <f>+J374+I374</f>
        <v>27400</v>
      </c>
    </row>
    <row r="375" spans="1:11" ht="13" hidden="1" x14ac:dyDescent="0.25">
      <c r="A375" s="26">
        <f>+A374+1</f>
        <v>80</v>
      </c>
      <c r="B375" s="2" t="s">
        <v>229</v>
      </c>
      <c r="C375" s="7"/>
      <c r="D375" s="4" t="s">
        <v>2</v>
      </c>
      <c r="E375" s="19">
        <v>11000</v>
      </c>
      <c r="F375" s="29">
        <f>+VLOOKUP(B375,Distribuidor!$B$7:$D$533,3,0)</f>
        <v>7200</v>
      </c>
      <c r="G375" s="29">
        <f>+E375-F375</f>
        <v>3800</v>
      </c>
      <c r="H375" s="29"/>
      <c r="I375" s="29">
        <v>12000</v>
      </c>
      <c r="J375" s="29">
        <f>+E375*1.4</f>
        <v>15399.999999999998</v>
      </c>
      <c r="K375" s="29">
        <f>+J375+I375</f>
        <v>27400</v>
      </c>
    </row>
    <row r="376" spans="1:11" ht="13" hidden="1" x14ac:dyDescent="0.25">
      <c r="A376" s="26">
        <f>+A375+1</f>
        <v>81</v>
      </c>
      <c r="B376" s="2" t="s">
        <v>91</v>
      </c>
      <c r="C376" s="7"/>
      <c r="D376" s="4" t="s">
        <v>2</v>
      </c>
      <c r="E376" s="19">
        <v>11000</v>
      </c>
      <c r="F376" s="29">
        <f>+VLOOKUP(B376,Distribuidor!$B$7:$D$533,3,0)</f>
        <v>7500</v>
      </c>
      <c r="G376" s="29">
        <f>+E376-F376</f>
        <v>3500</v>
      </c>
      <c r="H376" s="29"/>
      <c r="I376" s="29">
        <v>12000</v>
      </c>
      <c r="J376" s="29">
        <f>+E376*1.4</f>
        <v>15399.999999999998</v>
      </c>
      <c r="K376" s="29">
        <f>+J376+I376</f>
        <v>27400</v>
      </c>
    </row>
    <row r="377" spans="1:11" ht="13" hidden="1" x14ac:dyDescent="0.25">
      <c r="A377" s="26">
        <f>+A376+1</f>
        <v>82</v>
      </c>
      <c r="B377" s="4" t="s">
        <v>249</v>
      </c>
      <c r="C377" s="7"/>
      <c r="D377" s="4" t="s">
        <v>22</v>
      </c>
      <c r="E377" s="19">
        <v>11000</v>
      </c>
      <c r="F377" s="29">
        <f>+VLOOKUP(B377,Distribuidor!$B$7:$D$533,3,0)</f>
        <v>7200</v>
      </c>
      <c r="G377" s="29">
        <f>+E377-F377</f>
        <v>3800</v>
      </c>
      <c r="H377" s="29"/>
      <c r="I377" s="29">
        <v>12000</v>
      </c>
      <c r="J377" s="29">
        <f>+E377*1.4</f>
        <v>15399.999999999998</v>
      </c>
      <c r="K377" s="29">
        <f>+J377+I377</f>
        <v>27400</v>
      </c>
    </row>
    <row r="378" spans="1:11" ht="13" hidden="1" x14ac:dyDescent="0.25">
      <c r="A378" s="26">
        <f>+A377+1</f>
        <v>83</v>
      </c>
      <c r="B378" s="4" t="s">
        <v>250</v>
      </c>
      <c r="C378" s="7"/>
      <c r="D378" s="4" t="s">
        <v>22</v>
      </c>
      <c r="E378" s="19">
        <v>11000</v>
      </c>
      <c r="F378" s="29">
        <f>+VLOOKUP(B378,Distribuidor!$B$7:$D$533,3,0)</f>
        <v>7200</v>
      </c>
      <c r="G378" s="29">
        <f>+E378-F378</f>
        <v>3800</v>
      </c>
      <c r="H378" s="29"/>
      <c r="I378" s="29">
        <v>12000</v>
      </c>
      <c r="J378" s="29">
        <f>+E378*1.4</f>
        <v>15399.999999999998</v>
      </c>
      <c r="K378" s="29">
        <f>+J378+I378</f>
        <v>27400</v>
      </c>
    </row>
    <row r="379" spans="1:11" ht="13" hidden="1" x14ac:dyDescent="0.25">
      <c r="A379" s="26">
        <f>+A378+1</f>
        <v>84</v>
      </c>
      <c r="B379" s="4" t="s">
        <v>373</v>
      </c>
      <c r="C379" s="7"/>
      <c r="D379" s="4" t="s">
        <v>308</v>
      </c>
      <c r="E379" s="19">
        <v>11000</v>
      </c>
      <c r="F379" s="29">
        <f>+VLOOKUP(B379,Distribuidor!$B$7:$D$533,3,0)</f>
        <v>7300</v>
      </c>
      <c r="G379" s="29">
        <f>+E379-F379</f>
        <v>3700</v>
      </c>
      <c r="H379" s="29"/>
      <c r="I379" s="29">
        <v>12000</v>
      </c>
      <c r="J379" s="29">
        <f>+E379*1.4</f>
        <v>15399.999999999998</v>
      </c>
      <c r="K379" s="29">
        <f>+J379+I379</f>
        <v>27400</v>
      </c>
    </row>
    <row r="380" spans="1:11" ht="13" hidden="1" x14ac:dyDescent="0.25">
      <c r="A380" s="26">
        <f>+A379+1</f>
        <v>85</v>
      </c>
      <c r="B380" s="4" t="s">
        <v>99</v>
      </c>
      <c r="C380" s="7"/>
      <c r="D380" s="4" t="s">
        <v>29</v>
      </c>
      <c r="E380" s="19">
        <v>11000</v>
      </c>
      <c r="F380" s="29">
        <f>+VLOOKUP(B380,Distribuidor!$B$7:$D$533,3,0)</f>
        <v>7500</v>
      </c>
      <c r="G380" s="29">
        <f>+E380-F380</f>
        <v>3500</v>
      </c>
      <c r="H380" s="29"/>
      <c r="I380" s="29">
        <v>12000</v>
      </c>
      <c r="J380" s="29">
        <f>+E380*1.4</f>
        <v>15399.999999999998</v>
      </c>
      <c r="K380" s="29">
        <f>+J380+I380</f>
        <v>27400</v>
      </c>
    </row>
    <row r="381" spans="1:11" ht="13" hidden="1" x14ac:dyDescent="0.25">
      <c r="A381" s="26">
        <f>+A380+1</f>
        <v>86</v>
      </c>
      <c r="B381" s="4" t="s">
        <v>260</v>
      </c>
      <c r="C381" s="7"/>
      <c r="D381" s="4" t="s">
        <v>29</v>
      </c>
      <c r="E381" s="19">
        <v>11000</v>
      </c>
      <c r="F381" s="29">
        <f>+VLOOKUP(B381,Distribuidor!$B$7:$D$533,3,0)</f>
        <v>7700</v>
      </c>
      <c r="G381" s="29">
        <f>+E381-F381</f>
        <v>3300</v>
      </c>
      <c r="H381" s="29"/>
      <c r="I381" s="29">
        <v>12000</v>
      </c>
      <c r="J381" s="29">
        <f>+E381*1.4</f>
        <v>15399.999999999998</v>
      </c>
      <c r="K381" s="29">
        <f>+J381+I381</f>
        <v>27400</v>
      </c>
    </row>
    <row r="382" spans="1:11" ht="13" hidden="1" x14ac:dyDescent="0.25">
      <c r="A382" s="26">
        <f>+A381+1</f>
        <v>87</v>
      </c>
      <c r="B382" s="4" t="s">
        <v>35</v>
      </c>
      <c r="C382" s="7"/>
      <c r="D382" s="4" t="s">
        <v>29</v>
      </c>
      <c r="E382" s="19">
        <v>11000</v>
      </c>
      <c r="F382" s="29">
        <f>+VLOOKUP(B382,Distribuidor!$B$7:$D$533,3,0)</f>
        <v>7700</v>
      </c>
      <c r="G382" s="29">
        <f>+E382-F382</f>
        <v>3300</v>
      </c>
      <c r="H382" s="29"/>
      <c r="I382" s="29">
        <v>12000</v>
      </c>
      <c r="J382" s="29">
        <f>+E382*1.4</f>
        <v>15399.999999999998</v>
      </c>
      <c r="K382" s="29">
        <f>+J382+I382</f>
        <v>27400</v>
      </c>
    </row>
    <row r="383" spans="1:11" ht="13" hidden="1" x14ac:dyDescent="0.25">
      <c r="A383" s="26">
        <f>+A382+1</f>
        <v>88</v>
      </c>
      <c r="B383" s="2" t="s">
        <v>122</v>
      </c>
      <c r="C383" s="7"/>
      <c r="D383" s="4" t="s">
        <v>117</v>
      </c>
      <c r="E383" s="19">
        <v>10000</v>
      </c>
      <c r="F383" s="29">
        <f>+VLOOKUP(B383,Distribuidor!$B$7:$D$533,3,0)</f>
        <v>6500</v>
      </c>
      <c r="G383" s="29">
        <f>+E383-F383</f>
        <v>3500</v>
      </c>
      <c r="H383" s="29"/>
      <c r="I383" s="29">
        <v>12000</v>
      </c>
      <c r="J383" s="29">
        <f>+E383*1.4</f>
        <v>14000</v>
      </c>
      <c r="K383" s="29">
        <f>+J383+I383</f>
        <v>26000</v>
      </c>
    </row>
    <row r="384" spans="1:11" ht="13" hidden="1" x14ac:dyDescent="0.25">
      <c r="A384" s="26">
        <f>+A383+1</f>
        <v>89</v>
      </c>
      <c r="B384" s="2" t="s">
        <v>160</v>
      </c>
      <c r="C384" s="7"/>
      <c r="D384" s="4" t="s">
        <v>113</v>
      </c>
      <c r="E384" s="19">
        <v>10000</v>
      </c>
      <c r="F384" s="29">
        <f>+VLOOKUP(B384,Distribuidor!$B$7:$D$533,3,0)</f>
        <v>7000</v>
      </c>
      <c r="G384" s="29">
        <f>+E384-F384</f>
        <v>3000</v>
      </c>
      <c r="H384" s="29"/>
      <c r="I384" s="29">
        <v>12000</v>
      </c>
      <c r="J384" s="29">
        <f>+E384*1.4</f>
        <v>14000</v>
      </c>
      <c r="K384" s="29">
        <f>+J384+I384</f>
        <v>26000</v>
      </c>
    </row>
    <row r="385" spans="1:16" ht="13" hidden="1" x14ac:dyDescent="0.25">
      <c r="A385" s="26">
        <f>+A384+1</f>
        <v>90</v>
      </c>
      <c r="B385" s="2" t="s">
        <v>144</v>
      </c>
      <c r="C385" s="7"/>
      <c r="D385" s="4" t="s">
        <v>137</v>
      </c>
      <c r="E385" s="19">
        <v>10000</v>
      </c>
      <c r="F385" s="29">
        <f>+VLOOKUP(B385,Distribuidor!$B$7:$D$533,3,0)</f>
        <v>6500</v>
      </c>
      <c r="G385" s="29">
        <f>+E385-F385</f>
        <v>3500</v>
      </c>
      <c r="H385" s="29"/>
      <c r="I385" s="29">
        <v>12000</v>
      </c>
      <c r="J385" s="29">
        <f>+E385*1.4</f>
        <v>14000</v>
      </c>
      <c r="K385" s="29">
        <f>+J385+I385</f>
        <v>26000</v>
      </c>
    </row>
    <row r="386" spans="1:16" ht="13" hidden="1" x14ac:dyDescent="0.25">
      <c r="A386" s="26">
        <f>+A385+1</f>
        <v>91</v>
      </c>
      <c r="B386" s="2" t="s">
        <v>145</v>
      </c>
      <c r="C386" s="7"/>
      <c r="D386" s="4" t="s">
        <v>137</v>
      </c>
      <c r="E386" s="19">
        <v>10000</v>
      </c>
      <c r="F386" s="29">
        <f>+VLOOKUP(B386,Distribuidor!$B$7:$D$533,3,0)</f>
        <v>6500</v>
      </c>
      <c r="G386" s="29">
        <f>+E386-F386</f>
        <v>3500</v>
      </c>
      <c r="H386" s="29"/>
      <c r="I386" s="29">
        <v>12000</v>
      </c>
      <c r="J386" s="29">
        <f>+E386*1.4</f>
        <v>14000</v>
      </c>
      <c r="K386" s="29">
        <f>+J386+I386</f>
        <v>26000</v>
      </c>
    </row>
    <row r="387" spans="1:16" ht="13" hidden="1" x14ac:dyDescent="0.25">
      <c r="A387" s="26">
        <f>+A386+1</f>
        <v>92</v>
      </c>
      <c r="B387" s="2" t="s">
        <v>146</v>
      </c>
      <c r="C387" s="7"/>
      <c r="D387" s="4" t="s">
        <v>137</v>
      </c>
      <c r="E387" s="19">
        <v>10000</v>
      </c>
      <c r="F387" s="29">
        <f>+VLOOKUP(B387,Distribuidor!$B$7:$D$533,3,0)</f>
        <v>6500</v>
      </c>
      <c r="G387" s="29">
        <f>+E387-F387</f>
        <v>3500</v>
      </c>
      <c r="H387" s="29"/>
      <c r="I387" s="29">
        <v>12000</v>
      </c>
      <c r="J387" s="29">
        <f>+E387*1.4</f>
        <v>14000</v>
      </c>
      <c r="K387" s="29">
        <f>+J387+I387</f>
        <v>26000</v>
      </c>
    </row>
    <row r="388" spans="1:16" ht="13" hidden="1" x14ac:dyDescent="0.25">
      <c r="A388" s="26">
        <f>+A387+1</f>
        <v>93</v>
      </c>
      <c r="B388" s="2" t="s">
        <v>147</v>
      </c>
      <c r="C388" s="7"/>
      <c r="D388" s="4" t="s">
        <v>137</v>
      </c>
      <c r="E388" s="19">
        <v>10000</v>
      </c>
      <c r="F388" s="29">
        <f>+VLOOKUP(B388,Distribuidor!$B$7:$D$533,3,0)</f>
        <v>6500</v>
      </c>
      <c r="G388" s="29">
        <f>+E388-F388</f>
        <v>3500</v>
      </c>
      <c r="H388" s="29"/>
      <c r="I388" s="29">
        <v>12000</v>
      </c>
      <c r="J388" s="29">
        <f>+E388*1.4</f>
        <v>14000</v>
      </c>
      <c r="K388" s="29">
        <f>+J388+I388</f>
        <v>26000</v>
      </c>
    </row>
    <row r="389" spans="1:16" ht="13" hidden="1" x14ac:dyDescent="0.25">
      <c r="A389" s="26">
        <f>+A388+1</f>
        <v>94</v>
      </c>
      <c r="B389" s="2" t="s">
        <v>148</v>
      </c>
      <c r="C389" s="7"/>
      <c r="D389" s="4" t="s">
        <v>137</v>
      </c>
      <c r="E389" s="19">
        <v>10000</v>
      </c>
      <c r="F389" s="29">
        <f>+VLOOKUP(B389,Distribuidor!$B$7:$D$533,3,0)</f>
        <v>6500</v>
      </c>
      <c r="G389" s="29">
        <f>+E389-F389</f>
        <v>3500</v>
      </c>
      <c r="H389" s="29"/>
      <c r="I389" s="29">
        <v>12000</v>
      </c>
      <c r="J389" s="29">
        <f>+E389*1.4</f>
        <v>14000</v>
      </c>
      <c r="K389" s="29">
        <f>+J389+I389</f>
        <v>26000</v>
      </c>
    </row>
    <row r="390" spans="1:16" ht="13" hidden="1" x14ac:dyDescent="0.25">
      <c r="A390" s="26">
        <f>+A389+1</f>
        <v>95</v>
      </c>
      <c r="B390" s="2" t="s">
        <v>528</v>
      </c>
      <c r="C390" s="7"/>
      <c r="D390" s="4" t="s">
        <v>529</v>
      </c>
      <c r="E390" s="19">
        <v>10000</v>
      </c>
      <c r="F390" s="29">
        <f>+VLOOKUP(B390,Distribuidor!$B$7:$D$533,3,0)</f>
        <v>6500</v>
      </c>
      <c r="G390" s="29">
        <f>+E390-F390</f>
        <v>3500</v>
      </c>
      <c r="H390" s="29"/>
      <c r="I390" s="29">
        <v>12000</v>
      </c>
      <c r="J390" s="29">
        <f>+E390*1.4</f>
        <v>14000</v>
      </c>
      <c r="K390" s="29">
        <f>+J390+I390</f>
        <v>26000</v>
      </c>
    </row>
    <row r="391" spans="1:16" ht="13" hidden="1" x14ac:dyDescent="0.25">
      <c r="A391" s="26">
        <f>+A390+1</f>
        <v>96</v>
      </c>
      <c r="B391" s="4" t="s">
        <v>446</v>
      </c>
      <c r="C391" s="7"/>
      <c r="D391" s="4" t="s">
        <v>14</v>
      </c>
      <c r="E391" s="19">
        <v>10000</v>
      </c>
      <c r="F391" s="29">
        <f>+VLOOKUP(B391,Distribuidor!$B$7:$D$533,3,0)</f>
        <v>6900</v>
      </c>
      <c r="G391" s="29">
        <f>+E391-F391</f>
        <v>3100</v>
      </c>
      <c r="H391" s="29"/>
      <c r="I391" s="29">
        <v>12000</v>
      </c>
      <c r="J391" s="29">
        <f>+E391*1.4</f>
        <v>14000</v>
      </c>
      <c r="K391" s="29">
        <f>+J391+I391</f>
        <v>26000</v>
      </c>
    </row>
    <row r="392" spans="1:16" ht="13" hidden="1" x14ac:dyDescent="0.25">
      <c r="A392" s="26">
        <f>+A391+1</f>
        <v>97</v>
      </c>
      <c r="B392" s="4" t="s">
        <v>420</v>
      </c>
      <c r="C392" s="7"/>
      <c r="D392" s="4" t="s">
        <v>117</v>
      </c>
      <c r="E392" s="19">
        <v>9000</v>
      </c>
      <c r="F392" s="29">
        <f>+VLOOKUP(B392,Distribuidor!$B$7:$D$533,3,0)</f>
        <v>6000</v>
      </c>
      <c r="G392" s="29">
        <f>+E392-F392</f>
        <v>3000</v>
      </c>
      <c r="H392" s="29"/>
      <c r="I392" s="29">
        <v>12000</v>
      </c>
      <c r="J392" s="29">
        <f>+E392*1.4</f>
        <v>12600</v>
      </c>
      <c r="K392" s="29">
        <f>+J392+I392</f>
        <v>24600</v>
      </c>
    </row>
    <row r="393" spans="1:16" ht="13" hidden="1" x14ac:dyDescent="0.25">
      <c r="A393" s="26">
        <f>+A392+1</f>
        <v>98</v>
      </c>
      <c r="B393" s="4" t="s">
        <v>101</v>
      </c>
      <c r="C393" s="7"/>
      <c r="D393" s="4" t="s">
        <v>13</v>
      </c>
      <c r="E393" s="19">
        <v>9000</v>
      </c>
      <c r="F393" s="29">
        <f>+VLOOKUP(B393,Distribuidor!$B$7:$D$533,3,0)</f>
        <v>5700</v>
      </c>
      <c r="G393" s="29">
        <f>+E393-F393</f>
        <v>3300</v>
      </c>
      <c r="H393" s="29"/>
      <c r="I393" s="29">
        <v>12000</v>
      </c>
      <c r="J393" s="29">
        <f>+E393*1.4</f>
        <v>12600</v>
      </c>
      <c r="K393" s="29">
        <f>+J393+I393</f>
        <v>24600</v>
      </c>
    </row>
    <row r="394" spans="1:16" ht="13" hidden="1" x14ac:dyDescent="0.25">
      <c r="A394" s="26">
        <f>+A393+1</f>
        <v>99</v>
      </c>
      <c r="B394" s="38" t="s">
        <v>182</v>
      </c>
      <c r="C394" s="7" t="s">
        <v>618</v>
      </c>
      <c r="D394" s="4" t="s">
        <v>13</v>
      </c>
      <c r="E394" s="19">
        <v>9000</v>
      </c>
      <c r="F394" s="29">
        <f>+VLOOKUP(B394,Distribuidor!$B$7:$D$533,3,0)</f>
        <v>6000</v>
      </c>
      <c r="G394" s="29">
        <f>+E394-F394</f>
        <v>3000</v>
      </c>
      <c r="H394" s="29">
        <f>+G394*L394</f>
        <v>15000</v>
      </c>
      <c r="I394" s="29">
        <v>12000</v>
      </c>
      <c r="J394" s="29">
        <f>+E394*1.4</f>
        <v>12600</v>
      </c>
      <c r="K394" s="29">
        <f>+J394+I394</f>
        <v>24600</v>
      </c>
      <c r="L394" s="1">
        <v>5</v>
      </c>
      <c r="M394" s="29">
        <f>+J394*L394</f>
        <v>63000</v>
      </c>
      <c r="N394" s="29">
        <v>9900</v>
      </c>
      <c r="O394" s="29">
        <f>9000+N394</f>
        <v>18900</v>
      </c>
      <c r="P394" s="37">
        <f>+O394-K394</f>
        <v>-5700</v>
      </c>
    </row>
    <row r="395" spans="1:16" ht="13" hidden="1" x14ac:dyDescent="0.25">
      <c r="A395" s="26">
        <f>+A394+1</f>
        <v>100</v>
      </c>
      <c r="B395" s="4" t="s">
        <v>318</v>
      </c>
      <c r="C395" s="7"/>
      <c r="D395" s="4" t="s">
        <v>308</v>
      </c>
      <c r="E395" s="19">
        <v>9000</v>
      </c>
      <c r="F395" s="29">
        <f>+VLOOKUP(B395,Distribuidor!$B$7:$D$533,3,0)</f>
        <v>5900</v>
      </c>
      <c r="G395" s="29">
        <f>+E395-F395</f>
        <v>3100</v>
      </c>
      <c r="H395" s="29"/>
      <c r="I395" s="29">
        <v>12000</v>
      </c>
      <c r="J395" s="29">
        <f>+E395*1.4</f>
        <v>12600</v>
      </c>
      <c r="K395" s="29">
        <f>+J395+I395</f>
        <v>24600</v>
      </c>
    </row>
    <row r="396" spans="1:16" ht="13" hidden="1" x14ac:dyDescent="0.25">
      <c r="A396" s="26">
        <f>+A395+1</f>
        <v>101</v>
      </c>
      <c r="B396" s="4" t="s">
        <v>561</v>
      </c>
      <c r="C396" s="7"/>
      <c r="D396" s="4" t="s">
        <v>14</v>
      </c>
      <c r="E396" s="19">
        <v>9000</v>
      </c>
      <c r="F396" s="29">
        <f>+VLOOKUP(B396,Distribuidor!$B$7:$D$533,3,0)</f>
        <v>5900</v>
      </c>
      <c r="G396" s="29">
        <f>+E396-F396</f>
        <v>3100</v>
      </c>
      <c r="H396" s="29"/>
      <c r="I396" s="29">
        <v>12000</v>
      </c>
      <c r="J396" s="29">
        <f>+E396*1.4</f>
        <v>12600</v>
      </c>
      <c r="K396" s="29">
        <f>+J396+I396</f>
        <v>24600</v>
      </c>
    </row>
    <row r="397" spans="1:16" ht="13" hidden="1" x14ac:dyDescent="0.25">
      <c r="A397" s="26">
        <f>+A396+1</f>
        <v>102</v>
      </c>
      <c r="B397" s="4" t="s">
        <v>273</v>
      </c>
      <c r="C397" s="7"/>
      <c r="D397" s="4" t="s">
        <v>8</v>
      </c>
      <c r="E397" s="19">
        <v>8000</v>
      </c>
      <c r="F397" s="29">
        <f>+VLOOKUP(B397,Distribuidor!$B$7:$D$533,3,0)</f>
        <v>5200</v>
      </c>
      <c r="G397" s="29">
        <f>+E397-F397</f>
        <v>2800</v>
      </c>
      <c r="H397" s="29"/>
      <c r="I397" s="29">
        <v>12000</v>
      </c>
      <c r="J397" s="29">
        <f>+E397*1.4</f>
        <v>11200</v>
      </c>
      <c r="K397" s="29">
        <f>+J397+I397</f>
        <v>23200</v>
      </c>
    </row>
    <row r="398" spans="1:16" ht="13" hidden="1" x14ac:dyDescent="0.25">
      <c r="A398" s="26">
        <f>+A397+1</f>
        <v>103</v>
      </c>
      <c r="B398" s="4" t="s">
        <v>421</v>
      </c>
      <c r="C398" s="7"/>
      <c r="D398" s="4" t="s">
        <v>117</v>
      </c>
      <c r="E398" s="19">
        <v>8000</v>
      </c>
      <c r="F398" s="29">
        <f>+VLOOKUP(B398,Distribuidor!$B$7:$D$533,3,0)</f>
        <v>5600</v>
      </c>
      <c r="G398" s="29">
        <f>+E398-F398</f>
        <v>2400</v>
      </c>
      <c r="H398" s="29"/>
      <c r="I398" s="29">
        <v>12000</v>
      </c>
      <c r="J398" s="29">
        <f>+E398*1.4</f>
        <v>11200</v>
      </c>
      <c r="K398" s="29">
        <f>+J398+I398</f>
        <v>23200</v>
      </c>
    </row>
    <row r="399" spans="1:16" ht="13" hidden="1" x14ac:dyDescent="0.25">
      <c r="A399" s="26">
        <f>+A398+1</f>
        <v>104</v>
      </c>
      <c r="B399" s="4" t="s">
        <v>89</v>
      </c>
      <c r="C399" s="7"/>
      <c r="D399" s="4" t="s">
        <v>2</v>
      </c>
      <c r="E399" s="19">
        <v>8000</v>
      </c>
      <c r="F399" s="29">
        <f>+VLOOKUP(B399,Distribuidor!$B$7:$D$533,3,0)</f>
        <v>5200</v>
      </c>
      <c r="G399" s="29">
        <f>+E399-F399</f>
        <v>2800</v>
      </c>
      <c r="H399" s="29"/>
      <c r="I399" s="29">
        <v>12000</v>
      </c>
      <c r="J399" s="29">
        <f>+E399*1.4</f>
        <v>11200</v>
      </c>
      <c r="K399" s="29">
        <f>+J399+I399</f>
        <v>23200</v>
      </c>
    </row>
    <row r="400" spans="1:16" ht="13" hidden="1" x14ac:dyDescent="0.25">
      <c r="A400" s="26">
        <f>+A399+1</f>
        <v>105</v>
      </c>
      <c r="B400" s="4" t="s">
        <v>526</v>
      </c>
      <c r="C400" s="7"/>
      <c r="D400" s="4" t="s">
        <v>529</v>
      </c>
      <c r="E400" s="19">
        <v>8000</v>
      </c>
      <c r="F400" s="29">
        <f>+VLOOKUP(B400,Distribuidor!$B$7:$D$533,3,0)</f>
        <v>5500</v>
      </c>
      <c r="G400" s="29">
        <f>+E400-F400</f>
        <v>2500</v>
      </c>
      <c r="H400" s="29"/>
      <c r="I400" s="29">
        <v>12000</v>
      </c>
      <c r="J400" s="29">
        <f>+E400*1.4</f>
        <v>11200</v>
      </c>
      <c r="K400" s="29">
        <f>+J400+I400</f>
        <v>23200</v>
      </c>
    </row>
    <row r="401" spans="1:16" ht="13" hidden="1" x14ac:dyDescent="0.25">
      <c r="A401" s="26">
        <f>+A400+1</f>
        <v>106</v>
      </c>
      <c r="B401" s="4" t="s">
        <v>527</v>
      </c>
      <c r="C401" s="7"/>
      <c r="D401" s="4" t="s">
        <v>529</v>
      </c>
      <c r="E401" s="19">
        <v>8000</v>
      </c>
      <c r="F401" s="29">
        <f>+VLOOKUP(B401,Distribuidor!$B$7:$D$533,3,0)</f>
        <v>5500</v>
      </c>
      <c r="G401" s="29">
        <f>+E401-F401</f>
        <v>2500</v>
      </c>
      <c r="H401" s="29"/>
      <c r="I401" s="29">
        <v>12000</v>
      </c>
      <c r="J401" s="29">
        <f>+E401*1.4</f>
        <v>11200</v>
      </c>
      <c r="K401" s="29">
        <f>+J401+I401</f>
        <v>23200</v>
      </c>
    </row>
    <row r="402" spans="1:16" ht="13" hidden="1" x14ac:dyDescent="0.25">
      <c r="A402" s="26">
        <f>+A401+1</f>
        <v>107</v>
      </c>
      <c r="B402" s="4" t="s">
        <v>138</v>
      </c>
      <c r="C402" s="7"/>
      <c r="D402" s="4" t="s">
        <v>137</v>
      </c>
      <c r="E402" s="19">
        <v>7000</v>
      </c>
      <c r="F402" s="29">
        <f>+VLOOKUP(B402,Distribuidor!$B$7:$D$533,3,0)</f>
        <v>4500</v>
      </c>
      <c r="G402" s="29">
        <f>+E402-F402</f>
        <v>2500</v>
      </c>
      <c r="H402" s="29"/>
      <c r="I402" s="29">
        <v>12000</v>
      </c>
      <c r="J402" s="29">
        <f>+E402*1.4</f>
        <v>9800</v>
      </c>
      <c r="K402" s="29">
        <f>+J402+I402</f>
        <v>21800</v>
      </c>
    </row>
    <row r="403" spans="1:16" ht="13" hidden="1" x14ac:dyDescent="0.25">
      <c r="A403" s="26">
        <f>+A402+1</f>
        <v>108</v>
      </c>
      <c r="B403" s="4" t="s">
        <v>139</v>
      </c>
      <c r="C403" s="7"/>
      <c r="D403" s="4" t="s">
        <v>137</v>
      </c>
      <c r="E403" s="19">
        <v>7000</v>
      </c>
      <c r="F403" s="29">
        <f>+VLOOKUP(B403,Distribuidor!$B$7:$D$533,3,0)</f>
        <v>4500</v>
      </c>
      <c r="G403" s="29">
        <f>+E403-F403</f>
        <v>2500</v>
      </c>
      <c r="H403" s="29"/>
      <c r="I403" s="29">
        <v>12000</v>
      </c>
      <c r="J403" s="29">
        <f>+E403*1.4</f>
        <v>9800</v>
      </c>
      <c r="K403" s="29">
        <f>+J403+I403</f>
        <v>21800</v>
      </c>
    </row>
    <row r="404" spans="1:16" ht="13" hidden="1" x14ac:dyDescent="0.25">
      <c r="A404" s="26">
        <f>+A403+1</f>
        <v>109</v>
      </c>
      <c r="B404" s="4" t="s">
        <v>140</v>
      </c>
      <c r="C404" s="7"/>
      <c r="D404" s="4" t="s">
        <v>137</v>
      </c>
      <c r="E404" s="19">
        <v>7000</v>
      </c>
      <c r="F404" s="29">
        <f>+VLOOKUP(B404,Distribuidor!$B$7:$D$533,3,0)</f>
        <v>4500</v>
      </c>
      <c r="G404" s="29">
        <f>+E404-F404</f>
        <v>2500</v>
      </c>
      <c r="H404" s="29"/>
      <c r="I404" s="29">
        <v>12000</v>
      </c>
      <c r="J404" s="29">
        <f>+E404*1.4</f>
        <v>9800</v>
      </c>
      <c r="K404" s="29">
        <f>+J404+I404</f>
        <v>21800</v>
      </c>
    </row>
    <row r="405" spans="1:16" ht="13" hidden="1" x14ac:dyDescent="0.25">
      <c r="A405" s="26">
        <f>+A404+1</f>
        <v>110</v>
      </c>
      <c r="B405" s="4" t="s">
        <v>141</v>
      </c>
      <c r="C405" s="7"/>
      <c r="D405" s="4" t="s">
        <v>137</v>
      </c>
      <c r="E405" s="19">
        <v>7000</v>
      </c>
      <c r="F405" s="29">
        <f>+VLOOKUP(B405,Distribuidor!$B$7:$D$533,3,0)</f>
        <v>4500</v>
      </c>
      <c r="G405" s="29">
        <f>+E405-F405</f>
        <v>2500</v>
      </c>
      <c r="H405" s="29"/>
      <c r="I405" s="29">
        <v>12000</v>
      </c>
      <c r="J405" s="29">
        <f>+E405*1.4</f>
        <v>9800</v>
      </c>
      <c r="K405" s="29">
        <f>+J405+I405</f>
        <v>21800</v>
      </c>
    </row>
    <row r="406" spans="1:16" ht="13" hidden="1" x14ac:dyDescent="0.25">
      <c r="A406" s="26">
        <f>+A405+1</f>
        <v>111</v>
      </c>
      <c r="B406" s="4" t="s">
        <v>142</v>
      </c>
      <c r="C406" s="7"/>
      <c r="D406" s="4" t="s">
        <v>137</v>
      </c>
      <c r="E406" s="19">
        <v>7000</v>
      </c>
      <c r="F406" s="29">
        <f>+VLOOKUP(B406,Distribuidor!$B$7:$D$533,3,0)</f>
        <v>4500</v>
      </c>
      <c r="G406" s="29">
        <f>+E406-F406</f>
        <v>2500</v>
      </c>
      <c r="H406" s="29"/>
      <c r="I406" s="29">
        <v>12000</v>
      </c>
      <c r="J406" s="29">
        <f>+E406*1.4</f>
        <v>9800</v>
      </c>
      <c r="K406" s="29">
        <f>+J406+I406</f>
        <v>21800</v>
      </c>
    </row>
    <row r="407" spans="1:16" ht="13" hidden="1" x14ac:dyDescent="0.25">
      <c r="A407" s="26">
        <f>+A406+1</f>
        <v>112</v>
      </c>
      <c r="B407" s="4" t="s">
        <v>143</v>
      </c>
      <c r="C407" s="7"/>
      <c r="D407" s="4" t="s">
        <v>137</v>
      </c>
      <c r="E407" s="19">
        <v>7000</v>
      </c>
      <c r="F407" s="29">
        <f>+VLOOKUP(B407,Distribuidor!$B$7:$D$533,3,0)</f>
        <v>4500</v>
      </c>
      <c r="G407" s="29">
        <f>+E407-F407</f>
        <v>2500</v>
      </c>
      <c r="H407" s="29"/>
      <c r="I407" s="29">
        <v>12000</v>
      </c>
      <c r="J407" s="29">
        <f>+E407*1.4</f>
        <v>9800</v>
      </c>
      <c r="K407" s="29">
        <f>+J407+I407</f>
        <v>21800</v>
      </c>
    </row>
    <row r="408" spans="1:16" ht="13" hidden="1" x14ac:dyDescent="0.25">
      <c r="A408" s="26">
        <f>+A407+1</f>
        <v>113</v>
      </c>
      <c r="B408" s="2" t="s">
        <v>321</v>
      </c>
      <c r="C408" s="7"/>
      <c r="D408" s="4" t="s">
        <v>308</v>
      </c>
      <c r="E408" s="19">
        <v>7000</v>
      </c>
      <c r="F408" s="29">
        <f>+VLOOKUP(B408,Distribuidor!$B$7:$D$533,3,0)</f>
        <v>4900</v>
      </c>
      <c r="G408" s="29">
        <f>+E408-F408</f>
        <v>2100</v>
      </c>
      <c r="H408" s="29"/>
      <c r="I408" s="29">
        <v>12000</v>
      </c>
      <c r="J408" s="29">
        <f>+E408*1.4</f>
        <v>9800</v>
      </c>
      <c r="K408" s="29">
        <f>+J408+I408</f>
        <v>21800</v>
      </c>
    </row>
    <row r="409" spans="1:16" ht="13" hidden="1" x14ac:dyDescent="0.25">
      <c r="A409" s="26">
        <f>+A408+1</f>
        <v>114</v>
      </c>
      <c r="B409" s="2" t="s">
        <v>316</v>
      </c>
      <c r="C409" s="7"/>
      <c r="D409" s="4" t="s">
        <v>308</v>
      </c>
      <c r="E409" s="19">
        <v>7000</v>
      </c>
      <c r="F409" s="29">
        <f>+VLOOKUP(B409,Distribuidor!$B$7:$D$533,3,0)</f>
        <v>4300</v>
      </c>
      <c r="G409" s="29">
        <f>+E409-F409</f>
        <v>2700</v>
      </c>
      <c r="H409" s="29"/>
      <c r="I409" s="29">
        <v>12000</v>
      </c>
      <c r="J409" s="29">
        <f>+E409*1.4</f>
        <v>9800</v>
      </c>
      <c r="K409" s="29">
        <f>+J409+I409</f>
        <v>21800</v>
      </c>
    </row>
    <row r="410" spans="1:16" ht="13" hidden="1" x14ac:dyDescent="0.25">
      <c r="A410" s="26">
        <f>+A409+1</f>
        <v>115</v>
      </c>
      <c r="B410" s="2" t="s">
        <v>290</v>
      </c>
      <c r="C410" s="7"/>
      <c r="D410" s="4" t="s">
        <v>14</v>
      </c>
      <c r="E410" s="19">
        <v>7000</v>
      </c>
      <c r="F410" s="29">
        <f>+VLOOKUP(B410,Distribuidor!$B$7:$D$533,3,0)</f>
        <v>4300</v>
      </c>
      <c r="G410" s="29">
        <f>+E410-F410</f>
        <v>2700</v>
      </c>
      <c r="H410" s="29"/>
      <c r="I410" s="29">
        <v>12000</v>
      </c>
      <c r="J410" s="29">
        <f>+E410*1.4</f>
        <v>9800</v>
      </c>
      <c r="K410" s="29">
        <f>+J410+I410</f>
        <v>21800</v>
      </c>
    </row>
    <row r="411" spans="1:16" ht="13" hidden="1" x14ac:dyDescent="0.25">
      <c r="A411" s="26">
        <f>+A410+1</f>
        <v>116</v>
      </c>
      <c r="B411" s="4" t="s">
        <v>315</v>
      </c>
      <c r="C411" s="7"/>
      <c r="D411" s="4" t="s">
        <v>308</v>
      </c>
      <c r="E411" s="19">
        <v>6000</v>
      </c>
      <c r="F411" s="29">
        <f>+VLOOKUP(B411,Distribuidor!$B$7:$D$533,3,0)</f>
        <v>4100</v>
      </c>
      <c r="G411" s="29">
        <f>+E411-F411</f>
        <v>1900</v>
      </c>
      <c r="H411" s="29"/>
      <c r="I411" s="29">
        <v>12000</v>
      </c>
      <c r="J411" s="29">
        <f>+E411*1.4</f>
        <v>8400</v>
      </c>
      <c r="K411" s="29">
        <f>+J411+I411</f>
        <v>20400</v>
      </c>
    </row>
    <row r="412" spans="1:16" ht="13" hidden="1" x14ac:dyDescent="0.25">
      <c r="A412" s="26">
        <f>+A411+1</f>
        <v>117</v>
      </c>
      <c r="B412" s="38" t="s">
        <v>337</v>
      </c>
      <c r="C412" s="7" t="s">
        <v>618</v>
      </c>
      <c r="D412" s="4" t="s">
        <v>14</v>
      </c>
      <c r="E412" s="19">
        <v>6000</v>
      </c>
      <c r="F412" s="29">
        <f>+VLOOKUP(B412,Distribuidor!$B$7:$D$533,3,0)</f>
        <v>4000</v>
      </c>
      <c r="G412" s="29">
        <f>+E412-F412</f>
        <v>2000</v>
      </c>
      <c r="H412" s="29">
        <f>+G412*L412</f>
        <v>10000</v>
      </c>
      <c r="I412" s="29">
        <v>12000</v>
      </c>
      <c r="J412" s="29">
        <f>+E412*1.4</f>
        <v>8400</v>
      </c>
      <c r="K412" s="29">
        <f>+J412+I412</f>
        <v>20400</v>
      </c>
      <c r="L412" s="1">
        <v>5</v>
      </c>
      <c r="M412" s="29">
        <f>+J412*L412</f>
        <v>42000</v>
      </c>
      <c r="N412" s="29">
        <v>6900</v>
      </c>
      <c r="O412" s="29">
        <f>9000+N412</f>
        <v>15900</v>
      </c>
      <c r="P412" s="37">
        <f>+O412-K412</f>
        <v>-4500</v>
      </c>
    </row>
    <row r="413" spans="1:16" ht="13" x14ac:dyDescent="0.25">
      <c r="A413" s="26">
        <f>+A412+1</f>
        <v>118</v>
      </c>
      <c r="B413" s="2" t="s">
        <v>542</v>
      </c>
      <c r="C413" s="7" t="s">
        <v>618</v>
      </c>
      <c r="D413" s="4" t="s">
        <v>14</v>
      </c>
      <c r="E413" s="19">
        <v>6000</v>
      </c>
      <c r="F413" s="29">
        <f>+VLOOKUP(B413,Distribuidor!$B$7:$D$533,3,0)</f>
        <v>4000</v>
      </c>
      <c r="G413" s="29">
        <f>+E413-F413</f>
        <v>2000</v>
      </c>
      <c r="H413" s="29">
        <f>+G413*L413</f>
        <v>10000</v>
      </c>
      <c r="I413" s="29">
        <v>12000</v>
      </c>
      <c r="J413" s="29">
        <f>+E413*1.4</f>
        <v>8400</v>
      </c>
      <c r="K413" s="29">
        <f>+J413+I413</f>
        <v>20400</v>
      </c>
      <c r="L413" s="1">
        <v>5</v>
      </c>
      <c r="M413" s="29">
        <f>+J413*L413</f>
        <v>42000</v>
      </c>
      <c r="N413" s="29">
        <f>+E413</f>
        <v>6000</v>
      </c>
      <c r="O413" s="29">
        <f>9000+N413</f>
        <v>15000</v>
      </c>
      <c r="P413" s="37">
        <f>+O413-K413</f>
        <v>-5400</v>
      </c>
    </row>
    <row r="414" spans="1:16" ht="13" hidden="1" x14ac:dyDescent="0.25">
      <c r="A414" s="26">
        <f>+A413+1</f>
        <v>119</v>
      </c>
      <c r="B414" s="4" t="s">
        <v>323</v>
      </c>
      <c r="C414" s="7"/>
      <c r="D414" s="4" t="s">
        <v>308</v>
      </c>
      <c r="E414" s="19">
        <v>5000</v>
      </c>
      <c r="F414" s="29">
        <f>+VLOOKUP(B414,Distribuidor!$B$7:$D$533,3,0)</f>
        <v>3300</v>
      </c>
      <c r="G414" s="29">
        <f>+E414-F414</f>
        <v>1700</v>
      </c>
      <c r="H414" s="29"/>
      <c r="I414" s="29">
        <v>12000</v>
      </c>
      <c r="J414" s="29">
        <f>+E414*1.4</f>
        <v>7000</v>
      </c>
      <c r="K414" s="29">
        <f>+J414+I414</f>
        <v>19000</v>
      </c>
    </row>
    <row r="415" spans="1:16" ht="13" hidden="1" x14ac:dyDescent="0.25">
      <c r="A415" s="26">
        <f>+A414+1</f>
        <v>120</v>
      </c>
      <c r="B415" s="4" t="s">
        <v>319</v>
      </c>
      <c r="C415" s="7"/>
      <c r="D415" s="4" t="s">
        <v>308</v>
      </c>
      <c r="E415" s="19">
        <v>4000</v>
      </c>
      <c r="F415" s="29">
        <f>+VLOOKUP(B415,Distribuidor!$B$7:$D$533,3,0)</f>
        <v>2400</v>
      </c>
      <c r="G415" s="29">
        <f>+E415-F415</f>
        <v>1600</v>
      </c>
      <c r="H415" s="29"/>
      <c r="I415" s="29">
        <v>12000</v>
      </c>
      <c r="J415" s="29">
        <f>+E415*1.4</f>
        <v>5600</v>
      </c>
      <c r="K415" s="29">
        <f>+J415+I415</f>
        <v>17600</v>
      </c>
    </row>
    <row r="416" spans="1:16" ht="13" hidden="1" x14ac:dyDescent="0.25">
      <c r="A416" s="26">
        <f>+A415+1</f>
        <v>121</v>
      </c>
      <c r="B416" s="4" t="s">
        <v>314</v>
      </c>
      <c r="C416" s="7"/>
      <c r="D416" s="4" t="s">
        <v>308</v>
      </c>
      <c r="E416" s="19">
        <v>4000</v>
      </c>
      <c r="F416" s="29">
        <f>+VLOOKUP(B416,Distribuidor!$B$7:$D$533,3,0)</f>
        <v>2400</v>
      </c>
      <c r="G416" s="29">
        <f>+E416-F416</f>
        <v>1600</v>
      </c>
      <c r="H416" s="29"/>
      <c r="I416" s="29">
        <v>12000</v>
      </c>
      <c r="J416" s="29">
        <f>+E416*1.4</f>
        <v>5600</v>
      </c>
      <c r="K416" s="29">
        <f>+J416+I416</f>
        <v>17600</v>
      </c>
    </row>
    <row r="417" spans="1:16" ht="13" hidden="1" x14ac:dyDescent="0.25">
      <c r="A417" s="26">
        <f>+A416+1</f>
        <v>122</v>
      </c>
      <c r="B417" s="2" t="s">
        <v>501</v>
      </c>
      <c r="C417" s="7"/>
      <c r="D417" s="4" t="s">
        <v>468</v>
      </c>
      <c r="E417" s="19">
        <v>3000</v>
      </c>
      <c r="F417" s="29">
        <f>+VLOOKUP(B417,Distribuidor!$B$7:$D$533,3,0)</f>
        <v>2000</v>
      </c>
      <c r="G417" s="29">
        <f>+E417-F417</f>
        <v>1000</v>
      </c>
      <c r="H417" s="29"/>
      <c r="I417" s="29">
        <v>12000</v>
      </c>
      <c r="J417" s="29">
        <f>+E417*1.4</f>
        <v>4200</v>
      </c>
      <c r="K417" s="29">
        <f>+J417+I417</f>
        <v>16200</v>
      </c>
    </row>
    <row r="418" spans="1:16" ht="13" x14ac:dyDescent="0.25">
      <c r="A418" s="26">
        <f>+A417+1</f>
        <v>123</v>
      </c>
      <c r="B418" s="4" t="s">
        <v>215</v>
      </c>
      <c r="C418" s="7" t="s">
        <v>618</v>
      </c>
      <c r="D418" s="4" t="s">
        <v>22</v>
      </c>
      <c r="E418" s="19">
        <v>3000</v>
      </c>
      <c r="F418" s="29">
        <f>+VLOOKUP(B418,Distribuidor!$B$7:$D$533,3,0)</f>
        <v>1500</v>
      </c>
      <c r="G418" s="29">
        <f>+E418-F418</f>
        <v>1500</v>
      </c>
      <c r="H418" s="29">
        <f>+G418*L418</f>
        <v>7500</v>
      </c>
      <c r="I418" s="29">
        <v>12000</v>
      </c>
      <c r="J418" s="29">
        <f>+E418*1.4</f>
        <v>4200</v>
      </c>
      <c r="K418" s="29">
        <f>+J418+I418</f>
        <v>16200</v>
      </c>
      <c r="L418" s="1">
        <v>5</v>
      </c>
      <c r="M418" s="29">
        <f>+J418*L418</f>
        <v>21000</v>
      </c>
      <c r="N418" s="29">
        <v>3750</v>
      </c>
      <c r="O418" s="29">
        <f>9000+N418</f>
        <v>12750</v>
      </c>
      <c r="P418" s="37">
        <f>+O418-K418</f>
        <v>-3450</v>
      </c>
    </row>
    <row r="419" spans="1:16" ht="13" x14ac:dyDescent="0.25">
      <c r="A419" s="26">
        <f>+A418+1</f>
        <v>124</v>
      </c>
      <c r="B419" s="4" t="s">
        <v>175</v>
      </c>
      <c r="C419" s="7" t="s">
        <v>618</v>
      </c>
      <c r="D419" s="4" t="s">
        <v>22</v>
      </c>
      <c r="E419" s="19">
        <v>3000</v>
      </c>
      <c r="F419" s="29">
        <f>+VLOOKUP(B419,Distribuidor!$B$7:$D$533,3,0)</f>
        <v>1900</v>
      </c>
      <c r="G419" s="29">
        <f>+E419-F419</f>
        <v>1100</v>
      </c>
      <c r="H419" s="29">
        <f>+G419*L419</f>
        <v>5500</v>
      </c>
      <c r="I419" s="29">
        <v>12000</v>
      </c>
      <c r="J419" s="29">
        <f>+E419*1.4</f>
        <v>4200</v>
      </c>
      <c r="K419" s="29">
        <f>+J419+I419</f>
        <v>16200</v>
      </c>
      <c r="L419" s="1">
        <v>5</v>
      </c>
      <c r="M419" s="29">
        <f>+J419*L419</f>
        <v>21000</v>
      </c>
      <c r="N419" s="29">
        <v>24000</v>
      </c>
      <c r="O419" s="29">
        <f>9000+N419</f>
        <v>33000</v>
      </c>
      <c r="P419" s="37">
        <f>+O419-K419</f>
        <v>16800</v>
      </c>
    </row>
    <row r="420" spans="1:16" ht="13" hidden="1" x14ac:dyDescent="0.25">
      <c r="A420" s="26">
        <f>+A419+1</f>
        <v>125</v>
      </c>
      <c r="B420" s="4" t="s">
        <v>320</v>
      </c>
      <c r="C420" s="7"/>
      <c r="D420" s="4" t="s">
        <v>308</v>
      </c>
      <c r="E420" s="19">
        <v>3000</v>
      </c>
      <c r="F420" s="29">
        <f>+VLOOKUP(B420,Distribuidor!$B$7:$D$533,3,0)</f>
        <v>1500</v>
      </c>
      <c r="G420" s="29">
        <f>+E420-F420</f>
        <v>1500</v>
      </c>
      <c r="H420" s="29"/>
      <c r="I420" s="29">
        <v>12000</v>
      </c>
      <c r="J420" s="29">
        <f>+E420*1.4</f>
        <v>4200</v>
      </c>
      <c r="K420" s="29">
        <f>+J420+I420</f>
        <v>16200</v>
      </c>
    </row>
    <row r="421" spans="1:16" ht="13" hidden="1" x14ac:dyDescent="0.25">
      <c r="A421" s="26">
        <f>+A420+1</f>
        <v>126</v>
      </c>
      <c r="B421" s="4" t="s">
        <v>313</v>
      </c>
      <c r="C421" s="7"/>
      <c r="D421" s="4" t="s">
        <v>308</v>
      </c>
      <c r="E421" s="19">
        <v>3000</v>
      </c>
      <c r="F421" s="29">
        <f>+VLOOKUP(B421,Distribuidor!$B$7:$D$533,3,0)</f>
        <v>1500</v>
      </c>
      <c r="G421" s="29">
        <f>+E421-F421</f>
        <v>1500</v>
      </c>
      <c r="H421" s="29"/>
      <c r="I421" s="29">
        <v>12000</v>
      </c>
      <c r="J421" s="29">
        <f>+E421*1.4</f>
        <v>4200</v>
      </c>
      <c r="K421" s="29">
        <f>+J421+I421</f>
        <v>16200</v>
      </c>
    </row>
    <row r="422" spans="1:16" ht="13" hidden="1" x14ac:dyDescent="0.25">
      <c r="A422" s="26">
        <f>+A421+1</f>
        <v>127</v>
      </c>
      <c r="B422" s="4" t="s">
        <v>325</v>
      </c>
      <c r="C422" s="7"/>
      <c r="D422" s="4" t="s">
        <v>308</v>
      </c>
      <c r="E422" s="19">
        <v>3000</v>
      </c>
      <c r="F422" s="29">
        <f>+VLOOKUP(B422,Distribuidor!$B$7:$D$533,3,0)</f>
        <v>2000</v>
      </c>
      <c r="G422" s="29">
        <f>+E422-F422</f>
        <v>1000</v>
      </c>
      <c r="H422" s="29"/>
      <c r="I422" s="29">
        <v>12000</v>
      </c>
      <c r="J422" s="29">
        <f>+E422*1.4</f>
        <v>4200</v>
      </c>
      <c r="K422" s="29">
        <f>+J422+I422</f>
        <v>16200</v>
      </c>
    </row>
    <row r="423" spans="1:16" ht="13" x14ac:dyDescent="0.25">
      <c r="A423" s="26">
        <f>+A422+1</f>
        <v>128</v>
      </c>
      <c r="B423" s="4" t="s">
        <v>556</v>
      </c>
      <c r="C423" s="7" t="s">
        <v>618</v>
      </c>
      <c r="D423" s="4" t="s">
        <v>543</v>
      </c>
      <c r="E423" s="19">
        <v>0</v>
      </c>
      <c r="F423" s="29">
        <f>+VLOOKUP(B423,Distribuidor!$B$7:$D$533,3,0)</f>
        <v>0</v>
      </c>
      <c r="G423" s="29">
        <f>+E423-F423</f>
        <v>0</v>
      </c>
      <c r="H423" s="29">
        <f>+G423*L423</f>
        <v>0</v>
      </c>
      <c r="I423" s="29">
        <v>12000</v>
      </c>
      <c r="J423" s="29">
        <f>+E423*1.4</f>
        <v>0</v>
      </c>
      <c r="K423" s="29">
        <f>+J423+I423</f>
        <v>12000</v>
      </c>
      <c r="L423" s="1">
        <v>5</v>
      </c>
      <c r="M423" s="29">
        <f>+J423*L423</f>
        <v>0</v>
      </c>
    </row>
    <row r="426" spans="1:16" x14ac:dyDescent="0.25">
      <c r="B426" s="21" t="s">
        <v>475</v>
      </c>
      <c r="C426" s="21"/>
      <c r="D426" s="8"/>
    </row>
    <row r="427" spans="1:16" x14ac:dyDescent="0.25">
      <c r="B427" s="21" t="s">
        <v>476</v>
      </c>
      <c r="C427" s="21"/>
      <c r="D427" s="24"/>
    </row>
  </sheetData>
  <autoFilter ref="A6:P423" xr:uid="{6CDE7DA2-A29E-BC44-90B5-1CD778BA2819}">
    <filterColumn colId="1">
      <colorFilter dxfId="0"/>
    </filterColumn>
    <filterColumn colId="2">
      <customFilters>
        <customFilter operator="notEqual" val=" "/>
      </customFilters>
    </filterColumn>
  </autoFilter>
  <sortState xmlns:xlrd2="http://schemas.microsoft.com/office/spreadsheetml/2017/richdata2" ref="A7:K423">
    <sortCondition descending="1" ref="J7:J423"/>
  </sortState>
  <phoneticPr fontId="6" type="noConversion"/>
  <printOptions horizontalCentered="1"/>
  <pageMargins left="0.23622047244094491" right="0.23622047244094491" top="0.55118110236220474" bottom="0.55118110236220474" header="0.31496062992125984" footer="0.31496062992125984"/>
  <pageSetup scale="83" fitToHeight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04060-F5CE-4F4F-8A18-DC63D5A0FF26}">
  <dimension ref="A1:D41"/>
  <sheetViews>
    <sheetView workbookViewId="0">
      <selection activeCell="B10" sqref="B10"/>
    </sheetView>
  </sheetViews>
  <sheetFormatPr baseColWidth="10" defaultRowHeight="14.5" x14ac:dyDescent="0.35"/>
  <cols>
    <col min="2" max="2" width="36.453125" bestFit="1" customWidth="1"/>
  </cols>
  <sheetData>
    <row r="1" spans="1:3" x14ac:dyDescent="0.35">
      <c r="A1" t="s">
        <v>615</v>
      </c>
      <c r="B1" t="s">
        <v>616</v>
      </c>
      <c r="C1" t="s">
        <v>617</v>
      </c>
    </row>
    <row r="2" spans="1:3" x14ac:dyDescent="0.35">
      <c r="A2">
        <v>1</v>
      </c>
      <c r="B2" s="30" t="s">
        <v>175</v>
      </c>
      <c r="C2" t="s">
        <v>618</v>
      </c>
    </row>
    <row r="3" spans="1:3" x14ac:dyDescent="0.35">
      <c r="A3">
        <f>1+A2</f>
        <v>2</v>
      </c>
      <c r="B3" s="30" t="s">
        <v>577</v>
      </c>
      <c r="C3" t="s">
        <v>618</v>
      </c>
    </row>
    <row r="4" spans="1:3" x14ac:dyDescent="0.35">
      <c r="A4">
        <f t="shared" ref="A4:A40" si="0">1+A3</f>
        <v>3</v>
      </c>
      <c r="B4" s="30" t="s">
        <v>73</v>
      </c>
      <c r="C4" t="s">
        <v>618</v>
      </c>
    </row>
    <row r="5" spans="1:3" x14ac:dyDescent="0.35">
      <c r="A5">
        <f t="shared" si="0"/>
        <v>4</v>
      </c>
      <c r="B5" s="30" t="s">
        <v>74</v>
      </c>
      <c r="C5" t="s">
        <v>618</v>
      </c>
    </row>
    <row r="6" spans="1:3" x14ac:dyDescent="0.35">
      <c r="A6">
        <f t="shared" si="0"/>
        <v>5</v>
      </c>
      <c r="B6" s="30" t="s">
        <v>578</v>
      </c>
      <c r="C6" t="s">
        <v>618</v>
      </c>
    </row>
    <row r="7" spans="1:3" x14ac:dyDescent="0.35">
      <c r="A7">
        <f t="shared" si="0"/>
        <v>6</v>
      </c>
      <c r="B7" s="30" t="s">
        <v>579</v>
      </c>
      <c r="C7" t="s">
        <v>618</v>
      </c>
    </row>
    <row r="8" spans="1:3" x14ac:dyDescent="0.35">
      <c r="A8">
        <f t="shared" si="0"/>
        <v>7</v>
      </c>
      <c r="B8" s="30" t="s">
        <v>580</v>
      </c>
      <c r="C8" t="s">
        <v>618</v>
      </c>
    </row>
    <row r="9" spans="1:3" x14ac:dyDescent="0.35">
      <c r="A9">
        <f t="shared" si="0"/>
        <v>8</v>
      </c>
      <c r="B9" s="30" t="s">
        <v>581</v>
      </c>
      <c r="C9" t="s">
        <v>618</v>
      </c>
    </row>
    <row r="10" spans="1:3" x14ac:dyDescent="0.35">
      <c r="A10">
        <f t="shared" si="0"/>
        <v>9</v>
      </c>
      <c r="B10" s="30" t="s">
        <v>582</v>
      </c>
      <c r="C10" t="s">
        <v>618</v>
      </c>
    </row>
    <row r="11" spans="1:3" x14ac:dyDescent="0.35">
      <c r="A11">
        <f t="shared" si="0"/>
        <v>10</v>
      </c>
      <c r="B11" s="30" t="s">
        <v>583</v>
      </c>
      <c r="C11" t="s">
        <v>618</v>
      </c>
    </row>
    <row r="12" spans="1:3" x14ac:dyDescent="0.35">
      <c r="A12">
        <f t="shared" si="0"/>
        <v>11</v>
      </c>
      <c r="B12" s="30" t="s">
        <v>584</v>
      </c>
      <c r="C12" t="s">
        <v>618</v>
      </c>
    </row>
    <row r="13" spans="1:3" x14ac:dyDescent="0.35">
      <c r="A13">
        <f t="shared" si="0"/>
        <v>12</v>
      </c>
      <c r="B13" s="30" t="s">
        <v>585</v>
      </c>
      <c r="C13" t="s">
        <v>618</v>
      </c>
    </row>
    <row r="14" spans="1:3" x14ac:dyDescent="0.35">
      <c r="A14">
        <f t="shared" si="0"/>
        <v>13</v>
      </c>
      <c r="B14" s="30" t="s">
        <v>586</v>
      </c>
      <c r="C14" t="s">
        <v>618</v>
      </c>
    </row>
    <row r="15" spans="1:3" x14ac:dyDescent="0.35">
      <c r="A15">
        <f t="shared" si="0"/>
        <v>14</v>
      </c>
      <c r="B15" s="30" t="s">
        <v>587</v>
      </c>
      <c r="C15" t="s">
        <v>618</v>
      </c>
    </row>
    <row r="16" spans="1:3" x14ac:dyDescent="0.35">
      <c r="A16">
        <f t="shared" si="0"/>
        <v>15</v>
      </c>
      <c r="B16" s="30" t="s">
        <v>588</v>
      </c>
      <c r="C16" t="s">
        <v>618</v>
      </c>
    </row>
    <row r="17" spans="1:3" x14ac:dyDescent="0.35">
      <c r="A17">
        <f t="shared" si="0"/>
        <v>16</v>
      </c>
      <c r="B17" s="30" t="s">
        <v>589</v>
      </c>
      <c r="C17" t="s">
        <v>618</v>
      </c>
    </row>
    <row r="18" spans="1:3" x14ac:dyDescent="0.35">
      <c r="A18">
        <f t="shared" si="0"/>
        <v>17</v>
      </c>
      <c r="B18" s="30" t="s">
        <v>590</v>
      </c>
      <c r="C18" t="s">
        <v>618</v>
      </c>
    </row>
    <row r="19" spans="1:3" x14ac:dyDescent="0.35">
      <c r="A19">
        <f t="shared" si="0"/>
        <v>18</v>
      </c>
      <c r="B19" s="30" t="s">
        <v>591</v>
      </c>
      <c r="C19" t="s">
        <v>618</v>
      </c>
    </row>
    <row r="20" spans="1:3" x14ac:dyDescent="0.35">
      <c r="A20">
        <f t="shared" si="0"/>
        <v>19</v>
      </c>
      <c r="B20" s="30" t="s">
        <v>592</v>
      </c>
      <c r="C20" t="s">
        <v>618</v>
      </c>
    </row>
    <row r="21" spans="1:3" x14ac:dyDescent="0.35">
      <c r="A21">
        <f t="shared" si="0"/>
        <v>20</v>
      </c>
      <c r="B21" s="30" t="s">
        <v>593</v>
      </c>
      <c r="C21" t="s">
        <v>618</v>
      </c>
    </row>
    <row r="22" spans="1:3" x14ac:dyDescent="0.35">
      <c r="A22">
        <f t="shared" si="0"/>
        <v>21</v>
      </c>
      <c r="B22" s="30" t="s">
        <v>594</v>
      </c>
      <c r="C22" t="s">
        <v>618</v>
      </c>
    </row>
    <row r="23" spans="1:3" x14ac:dyDescent="0.35">
      <c r="A23">
        <f t="shared" si="0"/>
        <v>22</v>
      </c>
      <c r="B23" s="30" t="s">
        <v>595</v>
      </c>
      <c r="C23" t="s">
        <v>618</v>
      </c>
    </row>
    <row r="24" spans="1:3" x14ac:dyDescent="0.35">
      <c r="A24">
        <f t="shared" si="0"/>
        <v>23</v>
      </c>
      <c r="B24" s="30" t="s">
        <v>596</v>
      </c>
      <c r="C24" t="s">
        <v>618</v>
      </c>
    </row>
    <row r="25" spans="1:3" x14ac:dyDescent="0.35">
      <c r="A25">
        <f t="shared" si="0"/>
        <v>24</v>
      </c>
      <c r="B25" s="30" t="s">
        <v>597</v>
      </c>
      <c r="C25" t="s">
        <v>618</v>
      </c>
    </row>
    <row r="26" spans="1:3" x14ac:dyDescent="0.35">
      <c r="A26">
        <f t="shared" si="0"/>
        <v>25</v>
      </c>
      <c r="B26" s="30" t="s">
        <v>598</v>
      </c>
      <c r="C26" t="s">
        <v>618</v>
      </c>
    </row>
    <row r="27" spans="1:3" x14ac:dyDescent="0.35">
      <c r="A27">
        <f t="shared" si="0"/>
        <v>26</v>
      </c>
      <c r="B27" s="30" t="s">
        <v>599</v>
      </c>
      <c r="C27" t="s">
        <v>618</v>
      </c>
    </row>
    <row r="28" spans="1:3" x14ac:dyDescent="0.35">
      <c r="A28">
        <f t="shared" si="0"/>
        <v>27</v>
      </c>
      <c r="B28" s="30" t="s">
        <v>600</v>
      </c>
      <c r="C28" t="s">
        <v>618</v>
      </c>
    </row>
    <row r="29" spans="1:3" x14ac:dyDescent="0.35">
      <c r="A29">
        <f t="shared" si="0"/>
        <v>28</v>
      </c>
      <c r="B29" s="30" t="s">
        <v>601</v>
      </c>
      <c r="C29" t="s">
        <v>618</v>
      </c>
    </row>
    <row r="30" spans="1:3" x14ac:dyDescent="0.35">
      <c r="A30">
        <f t="shared" si="0"/>
        <v>29</v>
      </c>
      <c r="B30" s="30" t="s">
        <v>602</v>
      </c>
      <c r="C30" t="s">
        <v>618</v>
      </c>
    </row>
    <row r="31" spans="1:3" x14ac:dyDescent="0.35">
      <c r="A31">
        <f t="shared" si="0"/>
        <v>30</v>
      </c>
      <c r="B31" s="30" t="s">
        <v>603</v>
      </c>
      <c r="C31" t="s">
        <v>618</v>
      </c>
    </row>
    <row r="32" spans="1:3" x14ac:dyDescent="0.35">
      <c r="A32">
        <f t="shared" si="0"/>
        <v>31</v>
      </c>
      <c r="B32" s="30" t="s">
        <v>604</v>
      </c>
      <c r="C32" t="s">
        <v>618</v>
      </c>
    </row>
    <row r="33" spans="1:4" x14ac:dyDescent="0.35">
      <c r="A33">
        <f t="shared" si="0"/>
        <v>32</v>
      </c>
      <c r="B33" s="30" t="s">
        <v>605</v>
      </c>
      <c r="C33" t="s">
        <v>618</v>
      </c>
    </row>
    <row r="34" spans="1:4" x14ac:dyDescent="0.35">
      <c r="A34">
        <f t="shared" si="0"/>
        <v>33</v>
      </c>
      <c r="B34" s="30" t="s">
        <v>606</v>
      </c>
      <c r="C34" t="s">
        <v>618</v>
      </c>
    </row>
    <row r="35" spans="1:4" x14ac:dyDescent="0.35">
      <c r="A35">
        <f t="shared" si="0"/>
        <v>34</v>
      </c>
      <c r="B35" s="30" t="s">
        <v>607</v>
      </c>
      <c r="C35" t="s">
        <v>618</v>
      </c>
    </row>
    <row r="36" spans="1:4" x14ac:dyDescent="0.35">
      <c r="A36">
        <f t="shared" si="0"/>
        <v>35</v>
      </c>
      <c r="B36" s="30" t="s">
        <v>608</v>
      </c>
      <c r="C36" t="s">
        <v>618</v>
      </c>
    </row>
    <row r="37" spans="1:4" x14ac:dyDescent="0.35">
      <c r="A37">
        <f t="shared" si="0"/>
        <v>36</v>
      </c>
      <c r="B37" s="30" t="s">
        <v>609</v>
      </c>
      <c r="C37" t="s">
        <v>618</v>
      </c>
    </row>
    <row r="38" spans="1:4" x14ac:dyDescent="0.35">
      <c r="A38">
        <f t="shared" si="0"/>
        <v>37</v>
      </c>
      <c r="B38" s="30" t="s">
        <v>610</v>
      </c>
      <c r="C38" t="s">
        <v>618</v>
      </c>
    </row>
    <row r="39" spans="1:4" x14ac:dyDescent="0.35">
      <c r="A39">
        <f t="shared" si="0"/>
        <v>38</v>
      </c>
      <c r="B39" s="30" t="s">
        <v>611</v>
      </c>
      <c r="C39" t="s">
        <v>618</v>
      </c>
      <c r="D39" t="s">
        <v>619</v>
      </c>
    </row>
    <row r="40" spans="1:4" x14ac:dyDescent="0.35">
      <c r="A40">
        <f t="shared" si="0"/>
        <v>39</v>
      </c>
      <c r="B40" s="30" t="s">
        <v>612</v>
      </c>
      <c r="C40" t="s">
        <v>618</v>
      </c>
    </row>
    <row r="41" spans="1:4" x14ac:dyDescent="0.35">
      <c r="A41">
        <v>40</v>
      </c>
      <c r="B41" s="30" t="s">
        <v>613</v>
      </c>
      <c r="C41" t="s">
        <v>618</v>
      </c>
      <c r="D41" t="s">
        <v>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279D-63C6-4849-BAF9-A729A1419F5D}">
  <dimension ref="A1:J537"/>
  <sheetViews>
    <sheetView workbookViewId="0"/>
  </sheetViews>
  <sheetFormatPr baseColWidth="10" defaultColWidth="10.81640625" defaultRowHeight="12.5" x14ac:dyDescent="0.25"/>
  <cols>
    <col min="1" max="1" width="2.453125" style="1" customWidth="1"/>
    <col min="2" max="2" width="78" style="1" bestFit="1" customWidth="1"/>
    <col min="3" max="3" width="22" style="1" bestFit="1" customWidth="1"/>
    <col min="4" max="4" width="10" style="1" customWidth="1"/>
    <col min="5" max="5" width="2.453125" style="1" customWidth="1"/>
    <col min="6" max="16384" width="10.81640625" style="1"/>
  </cols>
  <sheetData>
    <row r="1" spans="1:4" ht="13" customHeight="1" x14ac:dyDescent="0.25">
      <c r="B1" s="13"/>
      <c r="C1" s="14"/>
      <c r="D1" s="15"/>
    </row>
    <row r="2" spans="1:4" ht="13" customHeight="1" x14ac:dyDescent="0.25">
      <c r="B2" s="13"/>
      <c r="C2" s="13" t="s">
        <v>370</v>
      </c>
      <c r="D2" s="15" t="s">
        <v>569</v>
      </c>
    </row>
    <row r="3" spans="1:4" ht="13" customHeight="1" x14ac:dyDescent="0.25">
      <c r="B3" s="13"/>
      <c r="C3" s="13" t="s">
        <v>187</v>
      </c>
      <c r="D3" s="17" t="s">
        <v>570</v>
      </c>
    </row>
    <row r="4" spans="1:4" ht="13" x14ac:dyDescent="0.3">
      <c r="C4" s="13" t="s">
        <v>183</v>
      </c>
      <c r="D4" s="16">
        <v>0</v>
      </c>
    </row>
    <row r="5" spans="1:4" ht="13" x14ac:dyDescent="0.3">
      <c r="C5" s="13" t="s">
        <v>184</v>
      </c>
      <c r="D5" s="11" t="s">
        <v>571</v>
      </c>
    </row>
    <row r="6" spans="1:4" ht="13" customHeight="1" x14ac:dyDescent="0.3">
      <c r="B6" s="7" t="s">
        <v>222</v>
      </c>
      <c r="C6" s="7" t="s">
        <v>186</v>
      </c>
      <c r="D6" s="27" t="s">
        <v>572</v>
      </c>
    </row>
    <row r="7" spans="1:4" x14ac:dyDescent="0.25">
      <c r="A7" s="12"/>
      <c r="B7" s="4" t="s">
        <v>40</v>
      </c>
      <c r="C7" s="4" t="s">
        <v>5</v>
      </c>
      <c r="D7" s="28">
        <v>10000</v>
      </c>
    </row>
    <row r="8" spans="1:4" x14ac:dyDescent="0.25">
      <c r="A8" s="25"/>
      <c r="B8" s="4" t="s">
        <v>221</v>
      </c>
      <c r="C8" s="4" t="s">
        <v>5</v>
      </c>
      <c r="D8" s="28">
        <v>10000</v>
      </c>
    </row>
    <row r="9" spans="1:4" x14ac:dyDescent="0.25">
      <c r="A9" s="25"/>
      <c r="B9" s="4" t="s">
        <v>41</v>
      </c>
      <c r="C9" s="4" t="s">
        <v>5</v>
      </c>
      <c r="D9" s="28">
        <v>10000</v>
      </c>
    </row>
    <row r="10" spans="1:4" x14ac:dyDescent="0.25">
      <c r="A10" s="25"/>
      <c r="B10" s="4" t="s">
        <v>42</v>
      </c>
      <c r="C10" s="4" t="s">
        <v>5</v>
      </c>
      <c r="D10" s="28">
        <v>21900</v>
      </c>
    </row>
    <row r="11" spans="1:4" x14ac:dyDescent="0.25">
      <c r="A11" s="25"/>
      <c r="B11" s="4" t="s">
        <v>224</v>
      </c>
      <c r="C11" s="4" t="s">
        <v>5</v>
      </c>
      <c r="D11" s="28">
        <v>10000</v>
      </c>
    </row>
    <row r="12" spans="1:4" x14ac:dyDescent="0.25">
      <c r="A12" s="25"/>
      <c r="B12" s="4" t="s">
        <v>43</v>
      </c>
      <c r="C12" s="4" t="s">
        <v>5</v>
      </c>
      <c r="D12" s="28">
        <v>10000</v>
      </c>
    </row>
    <row r="13" spans="1:4" x14ac:dyDescent="0.25">
      <c r="A13" s="25"/>
      <c r="B13" s="4" t="s">
        <v>105</v>
      </c>
      <c r="C13" s="4" t="s">
        <v>5</v>
      </c>
      <c r="D13" s="28">
        <v>10000</v>
      </c>
    </row>
    <row r="14" spans="1:4" x14ac:dyDescent="0.25">
      <c r="A14" s="25"/>
      <c r="B14" s="4" t="s">
        <v>44</v>
      </c>
      <c r="C14" s="4" t="s">
        <v>5</v>
      </c>
      <c r="D14" s="28">
        <v>10000</v>
      </c>
    </row>
    <row r="15" spans="1:4" x14ac:dyDescent="0.25">
      <c r="A15" s="25"/>
      <c r="B15" s="4" t="s">
        <v>45</v>
      </c>
      <c r="C15" s="4" t="s">
        <v>5</v>
      </c>
      <c r="D15" s="28">
        <v>10000</v>
      </c>
    </row>
    <row r="16" spans="1:4" x14ac:dyDescent="0.25">
      <c r="A16" s="25"/>
      <c r="B16" s="4" t="s">
        <v>46</v>
      </c>
      <c r="C16" s="4" t="s">
        <v>5</v>
      </c>
      <c r="D16" s="28">
        <v>10000</v>
      </c>
    </row>
    <row r="17" spans="1:4" x14ac:dyDescent="0.25">
      <c r="A17" s="25"/>
      <c r="B17" s="4" t="s">
        <v>47</v>
      </c>
      <c r="C17" s="4" t="s">
        <v>5</v>
      </c>
      <c r="D17" s="28">
        <v>10200</v>
      </c>
    </row>
    <row r="18" spans="1:4" x14ac:dyDescent="0.25">
      <c r="A18" s="25"/>
      <c r="B18" s="4" t="s">
        <v>48</v>
      </c>
      <c r="C18" s="4" t="s">
        <v>5</v>
      </c>
      <c r="D18" s="28">
        <v>10000</v>
      </c>
    </row>
    <row r="19" spans="1:4" x14ac:dyDescent="0.25">
      <c r="A19" s="25"/>
      <c r="B19" s="4" t="s">
        <v>49</v>
      </c>
      <c r="C19" s="4" t="s">
        <v>5</v>
      </c>
      <c r="D19" s="28">
        <v>10000</v>
      </c>
    </row>
    <row r="20" spans="1:4" x14ac:dyDescent="0.25">
      <c r="A20" s="25"/>
      <c r="B20" s="4" t="s">
        <v>50</v>
      </c>
      <c r="C20" s="4" t="s">
        <v>5</v>
      </c>
      <c r="D20" s="28">
        <v>10000</v>
      </c>
    </row>
    <row r="21" spans="1:4" x14ac:dyDescent="0.25">
      <c r="A21" s="25"/>
      <c r="B21" s="4" t="s">
        <v>51</v>
      </c>
      <c r="C21" s="4" t="s">
        <v>5</v>
      </c>
      <c r="D21" s="28">
        <v>10000</v>
      </c>
    </row>
    <row r="22" spans="1:4" x14ac:dyDescent="0.25">
      <c r="A22" s="25"/>
      <c r="B22" s="4" t="s">
        <v>52</v>
      </c>
      <c r="C22" s="4" t="s">
        <v>5</v>
      </c>
      <c r="D22" s="28">
        <v>10000</v>
      </c>
    </row>
    <row r="23" spans="1:4" x14ac:dyDescent="0.25">
      <c r="A23" s="25"/>
      <c r="B23" s="4" t="s">
        <v>53</v>
      </c>
      <c r="C23" s="4" t="s">
        <v>5</v>
      </c>
      <c r="D23" s="28">
        <v>10000</v>
      </c>
    </row>
    <row r="24" spans="1:4" x14ac:dyDescent="0.25">
      <c r="A24" s="25"/>
      <c r="B24" s="4" t="s">
        <v>54</v>
      </c>
      <c r="C24" s="4" t="s">
        <v>5</v>
      </c>
      <c r="D24" s="28">
        <v>10000</v>
      </c>
    </row>
    <row r="25" spans="1:4" x14ac:dyDescent="0.25">
      <c r="A25" s="25"/>
      <c r="B25" s="4" t="s">
        <v>55</v>
      </c>
      <c r="C25" s="4" t="s">
        <v>5</v>
      </c>
      <c r="D25" s="28">
        <v>13100</v>
      </c>
    </row>
    <row r="26" spans="1:4" x14ac:dyDescent="0.25">
      <c r="A26" s="25"/>
      <c r="B26" s="4" t="s">
        <v>56</v>
      </c>
      <c r="C26" s="4" t="s">
        <v>5</v>
      </c>
      <c r="D26" s="28">
        <v>10000</v>
      </c>
    </row>
    <row r="27" spans="1:4" x14ac:dyDescent="0.25">
      <c r="A27" s="25"/>
      <c r="B27" s="4" t="s">
        <v>57</v>
      </c>
      <c r="C27" s="4" t="s">
        <v>5</v>
      </c>
      <c r="D27" s="28">
        <v>10000</v>
      </c>
    </row>
    <row r="28" spans="1:4" x14ac:dyDescent="0.25">
      <c r="A28" s="25"/>
      <c r="B28" s="4" t="s">
        <v>104</v>
      </c>
      <c r="C28" s="4" t="s">
        <v>5</v>
      </c>
      <c r="D28" s="28">
        <v>10000</v>
      </c>
    </row>
    <row r="29" spans="1:4" x14ac:dyDescent="0.25">
      <c r="A29" s="25"/>
      <c r="B29" s="4" t="s">
        <v>58</v>
      </c>
      <c r="C29" s="4" t="s">
        <v>5</v>
      </c>
      <c r="D29" s="28">
        <v>10000</v>
      </c>
    </row>
    <row r="30" spans="1:4" x14ac:dyDescent="0.25">
      <c r="A30" s="25"/>
      <c r="B30" s="4" t="s">
        <v>59</v>
      </c>
      <c r="C30" s="4" t="s">
        <v>5</v>
      </c>
      <c r="D30" s="28">
        <v>10000</v>
      </c>
    </row>
    <row r="31" spans="1:4" x14ac:dyDescent="0.25">
      <c r="A31" s="25"/>
      <c r="B31" s="4" t="s">
        <v>189</v>
      </c>
      <c r="C31" s="4" t="s">
        <v>5</v>
      </c>
      <c r="D31" s="28">
        <v>16800</v>
      </c>
    </row>
    <row r="32" spans="1:4" x14ac:dyDescent="0.25">
      <c r="A32" s="25"/>
      <c r="B32" s="6" t="s">
        <v>60</v>
      </c>
      <c r="C32" s="4" t="s">
        <v>5</v>
      </c>
      <c r="D32" s="28">
        <v>19900</v>
      </c>
    </row>
    <row r="33" spans="1:4" x14ac:dyDescent="0.25">
      <c r="A33" s="25"/>
      <c r="B33" s="4" t="s">
        <v>61</v>
      </c>
      <c r="C33" s="4" t="s">
        <v>5</v>
      </c>
      <c r="D33" s="28">
        <v>19900</v>
      </c>
    </row>
    <row r="34" spans="1:4" x14ac:dyDescent="0.25">
      <c r="A34" s="25"/>
      <c r="B34" s="4" t="s">
        <v>62</v>
      </c>
      <c r="C34" s="4" t="s">
        <v>5</v>
      </c>
      <c r="D34" s="28">
        <v>16500</v>
      </c>
    </row>
    <row r="35" spans="1:4" x14ac:dyDescent="0.25">
      <c r="A35" s="25"/>
      <c r="B35" s="6" t="s">
        <v>252</v>
      </c>
      <c r="C35" s="4" t="s">
        <v>5</v>
      </c>
      <c r="D35" s="28">
        <v>11400</v>
      </c>
    </row>
    <row r="36" spans="1:4" x14ac:dyDescent="0.25">
      <c r="A36" s="25"/>
      <c r="B36" s="6" t="s">
        <v>253</v>
      </c>
      <c r="C36" s="4" t="s">
        <v>5</v>
      </c>
      <c r="D36" s="28">
        <v>4000</v>
      </c>
    </row>
    <row r="37" spans="1:4" x14ac:dyDescent="0.25">
      <c r="A37" s="25"/>
      <c r="B37" s="4" t="s">
        <v>63</v>
      </c>
      <c r="C37" s="4" t="s">
        <v>5</v>
      </c>
      <c r="D37" s="28">
        <v>15300</v>
      </c>
    </row>
    <row r="38" spans="1:4" x14ac:dyDescent="0.25">
      <c r="A38" s="25"/>
      <c r="B38" s="4" t="s">
        <v>64</v>
      </c>
      <c r="C38" s="4" t="s">
        <v>5</v>
      </c>
      <c r="D38" s="28">
        <v>15300</v>
      </c>
    </row>
    <row r="39" spans="1:4" x14ac:dyDescent="0.25">
      <c r="A39" s="25"/>
      <c r="B39" s="4" t="s">
        <v>65</v>
      </c>
      <c r="C39" s="4" t="s">
        <v>5</v>
      </c>
      <c r="D39" s="28">
        <v>16500</v>
      </c>
    </row>
    <row r="40" spans="1:4" x14ac:dyDescent="0.25">
      <c r="A40" s="25"/>
      <c r="B40" s="4" t="s">
        <v>259</v>
      </c>
      <c r="C40" s="4" t="s">
        <v>5</v>
      </c>
      <c r="D40" s="28">
        <v>17000</v>
      </c>
    </row>
    <row r="41" spans="1:4" x14ac:dyDescent="0.25">
      <c r="A41" s="25"/>
      <c r="B41" s="4" t="s">
        <v>212</v>
      </c>
      <c r="C41" s="4" t="s">
        <v>5</v>
      </c>
      <c r="D41" s="28">
        <v>17000</v>
      </c>
    </row>
    <row r="42" spans="1:4" x14ac:dyDescent="0.25">
      <c r="A42" s="25"/>
      <c r="B42" s="4" t="s">
        <v>66</v>
      </c>
      <c r="C42" s="4" t="s">
        <v>5</v>
      </c>
      <c r="D42" s="28">
        <v>17000</v>
      </c>
    </row>
    <row r="43" spans="1:4" x14ac:dyDescent="0.25">
      <c r="A43" s="25"/>
      <c r="B43" s="4" t="s">
        <v>106</v>
      </c>
      <c r="C43" s="4" t="s">
        <v>5</v>
      </c>
      <c r="D43" s="28">
        <v>17000</v>
      </c>
    </row>
    <row r="44" spans="1:4" x14ac:dyDescent="0.25">
      <c r="A44" s="25"/>
      <c r="B44" s="4" t="s">
        <v>190</v>
      </c>
      <c r="C44" s="4" t="s">
        <v>5</v>
      </c>
      <c r="D44" s="28">
        <v>17000</v>
      </c>
    </row>
    <row r="45" spans="1:4" x14ac:dyDescent="0.25">
      <c r="A45" s="25"/>
      <c r="B45" s="4" t="s">
        <v>128</v>
      </c>
      <c r="C45" s="4" t="s">
        <v>5</v>
      </c>
      <c r="D45" s="28">
        <v>17000</v>
      </c>
    </row>
    <row r="46" spans="1:4" x14ac:dyDescent="0.25">
      <c r="A46" s="25"/>
      <c r="B46" s="4" t="s">
        <v>67</v>
      </c>
      <c r="C46" s="4" t="s">
        <v>5</v>
      </c>
      <c r="D46" s="28">
        <v>17000</v>
      </c>
    </row>
    <row r="47" spans="1:4" x14ac:dyDescent="0.25">
      <c r="A47" s="25"/>
      <c r="B47" s="4" t="s">
        <v>68</v>
      </c>
      <c r="C47" s="4" t="s">
        <v>5</v>
      </c>
      <c r="D47" s="28">
        <v>17000</v>
      </c>
    </row>
    <row r="48" spans="1:4" x14ac:dyDescent="0.25">
      <c r="A48" s="25"/>
      <c r="B48" s="4" t="s">
        <v>213</v>
      </c>
      <c r="C48" s="4" t="s">
        <v>5</v>
      </c>
      <c r="D48" s="28">
        <v>17000</v>
      </c>
    </row>
    <row r="49" spans="1:4" x14ac:dyDescent="0.25">
      <c r="A49" s="25"/>
      <c r="B49" s="4" t="s">
        <v>69</v>
      </c>
      <c r="C49" s="4" t="s">
        <v>5</v>
      </c>
      <c r="D49" s="28">
        <v>17000</v>
      </c>
    </row>
    <row r="50" spans="1:4" x14ac:dyDescent="0.25">
      <c r="A50" s="25"/>
      <c r="B50" s="4" t="s">
        <v>70</v>
      </c>
      <c r="C50" s="4" t="s">
        <v>5</v>
      </c>
      <c r="D50" s="28">
        <v>22500</v>
      </c>
    </row>
    <row r="51" spans="1:4" x14ac:dyDescent="0.25">
      <c r="A51" s="23"/>
      <c r="B51" s="4" t="s">
        <v>71</v>
      </c>
      <c r="C51" s="4" t="s">
        <v>8</v>
      </c>
      <c r="D51" s="28">
        <v>14000</v>
      </c>
    </row>
    <row r="52" spans="1:4" x14ac:dyDescent="0.25">
      <c r="A52" s="25"/>
      <c r="B52" s="4" t="s">
        <v>20</v>
      </c>
      <c r="C52" s="4" t="s">
        <v>8</v>
      </c>
      <c r="D52" s="28">
        <v>31000</v>
      </c>
    </row>
    <row r="53" spans="1:4" x14ac:dyDescent="0.25">
      <c r="A53" s="25"/>
      <c r="B53" s="4" t="s">
        <v>11</v>
      </c>
      <c r="C53" s="4" t="s">
        <v>8</v>
      </c>
      <c r="D53" s="28">
        <v>12000</v>
      </c>
    </row>
    <row r="54" spans="1:4" x14ac:dyDescent="0.25">
      <c r="A54" s="25"/>
      <c r="B54" s="4" t="s">
        <v>12</v>
      </c>
      <c r="C54" s="4" t="s">
        <v>8</v>
      </c>
      <c r="D54" s="28">
        <v>17000</v>
      </c>
    </row>
    <row r="55" spans="1:4" x14ac:dyDescent="0.25">
      <c r="A55" s="25"/>
      <c r="B55" s="4" t="s">
        <v>273</v>
      </c>
      <c r="C55" s="4" t="s">
        <v>8</v>
      </c>
      <c r="D55" s="28">
        <v>5200</v>
      </c>
    </row>
    <row r="56" spans="1:4" x14ac:dyDescent="0.25">
      <c r="A56" s="25"/>
      <c r="B56" s="4" t="s">
        <v>233</v>
      </c>
      <c r="C56" s="4" t="s">
        <v>8</v>
      </c>
      <c r="D56" s="28">
        <v>11900</v>
      </c>
    </row>
    <row r="57" spans="1:4" x14ac:dyDescent="0.25">
      <c r="A57" s="22"/>
      <c r="B57" s="6" t="s">
        <v>9</v>
      </c>
      <c r="C57" s="4" t="s">
        <v>8</v>
      </c>
      <c r="D57" s="28">
        <v>21000</v>
      </c>
    </row>
    <row r="58" spans="1:4" x14ac:dyDescent="0.25">
      <c r="A58" s="25"/>
      <c r="B58" s="4" t="s">
        <v>110</v>
      </c>
      <c r="C58" s="4" t="s">
        <v>8</v>
      </c>
      <c r="D58" s="28">
        <v>8900</v>
      </c>
    </row>
    <row r="59" spans="1:4" x14ac:dyDescent="0.25">
      <c r="A59" s="25"/>
      <c r="B59" s="4" t="s">
        <v>257</v>
      </c>
      <c r="C59" s="4" t="s">
        <v>8</v>
      </c>
      <c r="D59" s="28">
        <v>9500</v>
      </c>
    </row>
    <row r="60" spans="1:4" x14ac:dyDescent="0.25">
      <c r="A60" s="25"/>
      <c r="B60" s="4" t="s">
        <v>10</v>
      </c>
      <c r="C60" s="4" t="s">
        <v>8</v>
      </c>
      <c r="D60" s="28">
        <v>9500</v>
      </c>
    </row>
    <row r="61" spans="1:4" x14ac:dyDescent="0.25">
      <c r="A61" s="25"/>
      <c r="B61" s="4" t="s">
        <v>375</v>
      </c>
      <c r="C61" s="4" t="s">
        <v>8</v>
      </c>
      <c r="D61" s="28">
        <v>13100</v>
      </c>
    </row>
    <row r="62" spans="1:4" x14ac:dyDescent="0.25">
      <c r="A62" s="25"/>
      <c r="B62" s="4" t="s">
        <v>302</v>
      </c>
      <c r="C62" s="4" t="s">
        <v>164</v>
      </c>
      <c r="D62" s="28">
        <v>15000</v>
      </c>
    </row>
    <row r="63" spans="1:4" x14ac:dyDescent="0.25">
      <c r="A63" s="25"/>
      <c r="B63" s="4" t="s">
        <v>170</v>
      </c>
      <c r="C63" s="4" t="s">
        <v>164</v>
      </c>
      <c r="D63" s="28">
        <v>19600</v>
      </c>
    </row>
    <row r="64" spans="1:4" x14ac:dyDescent="0.25">
      <c r="A64" s="25"/>
      <c r="B64" s="4" t="s">
        <v>171</v>
      </c>
      <c r="C64" s="4" t="s">
        <v>164</v>
      </c>
      <c r="D64" s="28">
        <v>9700</v>
      </c>
    </row>
    <row r="65" spans="1:4" x14ac:dyDescent="0.25">
      <c r="A65" s="25"/>
      <c r="B65" s="4" t="s">
        <v>165</v>
      </c>
      <c r="C65" s="4" t="s">
        <v>164</v>
      </c>
      <c r="D65" s="28">
        <v>12400</v>
      </c>
    </row>
    <row r="66" spans="1:4" x14ac:dyDescent="0.25">
      <c r="A66" s="25"/>
      <c r="B66" s="4" t="s">
        <v>166</v>
      </c>
      <c r="C66" s="4" t="s">
        <v>164</v>
      </c>
      <c r="D66" s="28">
        <v>12400</v>
      </c>
    </row>
    <row r="67" spans="1:4" x14ac:dyDescent="0.25">
      <c r="A67" s="25"/>
      <c r="B67" s="4" t="s">
        <v>167</v>
      </c>
      <c r="C67" s="4" t="s">
        <v>164</v>
      </c>
      <c r="D67" s="28">
        <v>12400</v>
      </c>
    </row>
    <row r="68" spans="1:4" x14ac:dyDescent="0.25">
      <c r="A68" s="25"/>
      <c r="B68" s="4" t="s">
        <v>168</v>
      </c>
      <c r="C68" s="4" t="s">
        <v>164</v>
      </c>
      <c r="D68" s="28">
        <v>12400</v>
      </c>
    </row>
    <row r="69" spans="1:4" x14ac:dyDescent="0.25">
      <c r="A69" s="25"/>
      <c r="B69" s="4" t="s">
        <v>169</v>
      </c>
      <c r="C69" s="4" t="s">
        <v>164</v>
      </c>
      <c r="D69" s="28">
        <v>12400</v>
      </c>
    </row>
    <row r="70" spans="1:4" x14ac:dyDescent="0.25">
      <c r="A70" s="25"/>
      <c r="B70" s="4" t="s">
        <v>279</v>
      </c>
      <c r="C70" s="4" t="s">
        <v>164</v>
      </c>
      <c r="D70" s="28">
        <v>7100</v>
      </c>
    </row>
    <row r="71" spans="1:4" x14ac:dyDescent="0.25">
      <c r="A71" s="25"/>
      <c r="B71" s="4" t="s">
        <v>557</v>
      </c>
      <c r="C71" s="4" t="s">
        <v>164</v>
      </c>
      <c r="D71" s="28">
        <v>14200</v>
      </c>
    </row>
    <row r="72" spans="1:4" x14ac:dyDescent="0.25">
      <c r="A72" s="25"/>
      <c r="B72" s="4" t="s">
        <v>420</v>
      </c>
      <c r="C72" s="4" t="s">
        <v>117</v>
      </c>
      <c r="D72" s="28">
        <v>6000</v>
      </c>
    </row>
    <row r="73" spans="1:4" x14ac:dyDescent="0.25">
      <c r="A73" s="25"/>
      <c r="B73" s="4" t="s">
        <v>421</v>
      </c>
      <c r="C73" s="4" t="s">
        <v>117</v>
      </c>
      <c r="D73" s="28">
        <v>5600</v>
      </c>
    </row>
    <row r="74" spans="1:4" x14ac:dyDescent="0.25">
      <c r="A74" s="25"/>
      <c r="B74" s="4" t="s">
        <v>422</v>
      </c>
      <c r="C74" s="4" t="s">
        <v>117</v>
      </c>
      <c r="D74" s="28">
        <v>24500</v>
      </c>
    </row>
    <row r="75" spans="1:4" x14ac:dyDescent="0.25">
      <c r="A75" s="25"/>
      <c r="B75" s="4" t="s">
        <v>122</v>
      </c>
      <c r="C75" s="4" t="s">
        <v>117</v>
      </c>
      <c r="D75" s="28">
        <v>6500</v>
      </c>
    </row>
    <row r="76" spans="1:4" x14ac:dyDescent="0.25">
      <c r="A76" s="25"/>
      <c r="B76" s="4" t="s">
        <v>334</v>
      </c>
      <c r="C76" s="4" t="s">
        <v>117</v>
      </c>
      <c r="D76" s="28">
        <v>11500</v>
      </c>
    </row>
    <row r="77" spans="1:4" x14ac:dyDescent="0.25">
      <c r="A77" s="25"/>
      <c r="B77" s="4" t="s">
        <v>333</v>
      </c>
      <c r="C77" s="4" t="s">
        <v>117</v>
      </c>
      <c r="D77" s="28">
        <v>7200</v>
      </c>
    </row>
    <row r="78" spans="1:4" x14ac:dyDescent="0.25">
      <c r="A78" s="25"/>
      <c r="B78" s="4" t="s">
        <v>256</v>
      </c>
      <c r="C78" s="4" t="s">
        <v>117</v>
      </c>
      <c r="D78" s="28">
        <v>17900</v>
      </c>
    </row>
    <row r="79" spans="1:4" x14ac:dyDescent="0.25">
      <c r="A79" s="25"/>
      <c r="B79" s="4" t="s">
        <v>119</v>
      </c>
      <c r="C79" s="4" t="s">
        <v>117</v>
      </c>
      <c r="D79" s="28">
        <v>10800</v>
      </c>
    </row>
    <row r="80" spans="1:4" x14ac:dyDescent="0.25">
      <c r="A80" s="25"/>
      <c r="B80" s="4" t="s">
        <v>118</v>
      </c>
      <c r="C80" s="4" t="s">
        <v>117</v>
      </c>
      <c r="D80" s="28">
        <v>10800</v>
      </c>
    </row>
    <row r="81" spans="1:4" x14ac:dyDescent="0.25">
      <c r="A81" s="25"/>
      <c r="B81" s="4" t="s">
        <v>129</v>
      </c>
      <c r="C81" s="4" t="s">
        <v>117</v>
      </c>
      <c r="D81" s="28">
        <v>17900</v>
      </c>
    </row>
    <row r="82" spans="1:4" x14ac:dyDescent="0.25">
      <c r="A82" s="25"/>
      <c r="B82" s="4" t="s">
        <v>120</v>
      </c>
      <c r="C82" s="4" t="s">
        <v>117</v>
      </c>
      <c r="D82" s="28">
        <v>10800</v>
      </c>
    </row>
    <row r="83" spans="1:4" x14ac:dyDescent="0.25">
      <c r="A83" s="25"/>
      <c r="B83" s="4" t="s">
        <v>121</v>
      </c>
      <c r="C83" s="4" t="s">
        <v>117</v>
      </c>
      <c r="D83" s="28">
        <v>11200</v>
      </c>
    </row>
    <row r="84" spans="1:4" x14ac:dyDescent="0.25">
      <c r="A84" s="25"/>
      <c r="B84" s="10" t="s">
        <v>295</v>
      </c>
      <c r="C84" s="4" t="s">
        <v>113</v>
      </c>
      <c r="D84" s="28">
        <v>17100</v>
      </c>
    </row>
    <row r="85" spans="1:4" x14ac:dyDescent="0.25">
      <c r="A85" s="25"/>
      <c r="B85" s="10" t="s">
        <v>116</v>
      </c>
      <c r="C85" s="4" t="s">
        <v>113</v>
      </c>
      <c r="D85" s="28">
        <v>17100</v>
      </c>
    </row>
    <row r="86" spans="1:4" x14ac:dyDescent="0.25">
      <c r="A86" s="25"/>
      <c r="B86" s="4" t="s">
        <v>227</v>
      </c>
      <c r="C86" s="4" t="s">
        <v>113</v>
      </c>
      <c r="D86" s="28">
        <v>24500</v>
      </c>
    </row>
    <row r="87" spans="1:4" x14ac:dyDescent="0.25">
      <c r="A87" s="25"/>
      <c r="B87" s="10" t="s">
        <v>225</v>
      </c>
      <c r="C87" s="4" t="s">
        <v>113</v>
      </c>
      <c r="D87" s="28">
        <v>17100</v>
      </c>
    </row>
    <row r="88" spans="1:4" x14ac:dyDescent="0.25">
      <c r="A88" s="25"/>
      <c r="B88" s="10" t="s">
        <v>346</v>
      </c>
      <c r="C88" s="4" t="s">
        <v>113</v>
      </c>
      <c r="D88" s="28">
        <v>17100</v>
      </c>
    </row>
    <row r="89" spans="1:4" x14ac:dyDescent="0.25">
      <c r="A89" s="25"/>
      <c r="B89" s="4" t="s">
        <v>127</v>
      </c>
      <c r="C89" s="4" t="s">
        <v>113</v>
      </c>
      <c r="D89" s="28">
        <v>22500</v>
      </c>
    </row>
    <row r="90" spans="1:4" x14ac:dyDescent="0.25">
      <c r="A90" s="25"/>
      <c r="B90" s="4" t="s">
        <v>114</v>
      </c>
      <c r="C90" s="4" t="s">
        <v>113</v>
      </c>
      <c r="D90" s="28">
        <v>11500</v>
      </c>
    </row>
    <row r="91" spans="1:4" x14ac:dyDescent="0.25">
      <c r="A91" s="25"/>
      <c r="B91" s="4" t="s">
        <v>296</v>
      </c>
      <c r="C91" s="4" t="s">
        <v>113</v>
      </c>
      <c r="D91" s="28">
        <v>27900</v>
      </c>
    </row>
    <row r="92" spans="1:4" x14ac:dyDescent="0.25">
      <c r="A92" s="25"/>
      <c r="B92" s="4" t="s">
        <v>263</v>
      </c>
      <c r="C92" s="4" t="s">
        <v>113</v>
      </c>
      <c r="D92" s="28">
        <v>21500</v>
      </c>
    </row>
    <row r="93" spans="1:4" x14ac:dyDescent="0.25">
      <c r="A93" s="25"/>
      <c r="B93" s="6" t="s">
        <v>262</v>
      </c>
      <c r="C93" s="4" t="s">
        <v>113</v>
      </c>
      <c r="D93" s="28">
        <v>14000</v>
      </c>
    </row>
    <row r="94" spans="1:4" x14ac:dyDescent="0.25">
      <c r="B94" s="4" t="s">
        <v>261</v>
      </c>
      <c r="C94" s="4" t="s">
        <v>113</v>
      </c>
      <c r="D94" s="28">
        <v>14000</v>
      </c>
    </row>
    <row r="95" spans="1:4" x14ac:dyDescent="0.25">
      <c r="B95" s="4" t="s">
        <v>264</v>
      </c>
      <c r="C95" s="4" t="s">
        <v>113</v>
      </c>
      <c r="D95" s="28">
        <v>21500</v>
      </c>
    </row>
    <row r="96" spans="1:4" x14ac:dyDescent="0.25">
      <c r="A96" s="25"/>
      <c r="B96" s="10" t="s">
        <v>115</v>
      </c>
      <c r="C96" s="4" t="s">
        <v>113</v>
      </c>
      <c r="D96" s="28">
        <v>17100</v>
      </c>
    </row>
    <row r="97" spans="1:4" x14ac:dyDescent="0.25">
      <c r="A97" s="25"/>
      <c r="B97" s="10" t="s">
        <v>245</v>
      </c>
      <c r="C97" s="4" t="s">
        <v>113</v>
      </c>
      <c r="D97" s="28">
        <v>17100</v>
      </c>
    </row>
    <row r="98" spans="1:4" x14ac:dyDescent="0.25">
      <c r="A98" s="25"/>
      <c r="B98" s="4" t="s">
        <v>136</v>
      </c>
      <c r="C98" s="4" t="s">
        <v>113</v>
      </c>
      <c r="D98" s="28">
        <v>10500</v>
      </c>
    </row>
    <row r="99" spans="1:4" x14ac:dyDescent="0.25">
      <c r="A99" s="25"/>
      <c r="B99" s="4" t="s">
        <v>228</v>
      </c>
      <c r="C99" s="4" t="s">
        <v>113</v>
      </c>
      <c r="D99" s="28">
        <v>10500</v>
      </c>
    </row>
    <row r="100" spans="1:4" x14ac:dyDescent="0.25">
      <c r="A100" s="25"/>
      <c r="B100" s="6" t="s">
        <v>159</v>
      </c>
      <c r="C100" s="4" t="s">
        <v>113</v>
      </c>
      <c r="D100" s="28">
        <v>10500</v>
      </c>
    </row>
    <row r="101" spans="1:4" x14ac:dyDescent="0.25">
      <c r="A101" s="25"/>
      <c r="B101" s="4" t="s">
        <v>176</v>
      </c>
      <c r="C101" s="4" t="s">
        <v>113</v>
      </c>
      <c r="D101" s="28">
        <v>11500</v>
      </c>
    </row>
    <row r="102" spans="1:4" x14ac:dyDescent="0.25">
      <c r="A102" s="25"/>
      <c r="B102" s="4" t="s">
        <v>177</v>
      </c>
      <c r="C102" s="4" t="s">
        <v>113</v>
      </c>
      <c r="D102" s="28">
        <v>11500</v>
      </c>
    </row>
    <row r="103" spans="1:4" x14ac:dyDescent="0.25">
      <c r="B103" s="6" t="s">
        <v>306</v>
      </c>
      <c r="C103" s="4" t="s">
        <v>113</v>
      </c>
      <c r="D103" s="28">
        <v>30900</v>
      </c>
    </row>
    <row r="104" spans="1:4" x14ac:dyDescent="0.25">
      <c r="A104" s="25"/>
      <c r="B104" s="6" t="s">
        <v>188</v>
      </c>
      <c r="C104" s="4" t="s">
        <v>113</v>
      </c>
      <c r="D104" s="28">
        <v>11500</v>
      </c>
    </row>
    <row r="105" spans="1:4" x14ac:dyDescent="0.25">
      <c r="A105" s="25"/>
      <c r="B105" s="10" t="s">
        <v>179</v>
      </c>
      <c r="C105" s="4" t="s">
        <v>113</v>
      </c>
      <c r="D105" s="28">
        <v>17100</v>
      </c>
    </row>
    <row r="106" spans="1:4" x14ac:dyDescent="0.25">
      <c r="A106" s="25"/>
      <c r="B106" s="10" t="s">
        <v>123</v>
      </c>
      <c r="C106" s="4" t="s">
        <v>113</v>
      </c>
      <c r="D106" s="28">
        <v>22900</v>
      </c>
    </row>
    <row r="107" spans="1:4" x14ac:dyDescent="0.25">
      <c r="A107" s="25"/>
      <c r="B107" s="4" t="s">
        <v>565</v>
      </c>
      <c r="C107" s="4" t="s">
        <v>113</v>
      </c>
      <c r="D107" s="28">
        <v>19500</v>
      </c>
    </row>
    <row r="108" spans="1:4" x14ac:dyDescent="0.25">
      <c r="A108" s="25"/>
      <c r="B108" s="4" t="s">
        <v>564</v>
      </c>
      <c r="C108" s="4" t="s">
        <v>113</v>
      </c>
      <c r="D108" s="28">
        <v>11500</v>
      </c>
    </row>
    <row r="109" spans="1:4" x14ac:dyDescent="0.25">
      <c r="A109" s="25"/>
      <c r="B109" s="4" t="s">
        <v>160</v>
      </c>
      <c r="C109" s="4" t="s">
        <v>113</v>
      </c>
      <c r="D109" s="28">
        <v>7000</v>
      </c>
    </row>
    <row r="110" spans="1:4" x14ac:dyDescent="0.25">
      <c r="A110" s="25"/>
      <c r="B110" s="6" t="s">
        <v>297</v>
      </c>
      <c r="C110" s="4" t="s">
        <v>113</v>
      </c>
      <c r="D110" s="28">
        <v>22500</v>
      </c>
    </row>
    <row r="111" spans="1:4" x14ac:dyDescent="0.25">
      <c r="A111" s="25"/>
      <c r="B111" s="4" t="s">
        <v>300</v>
      </c>
      <c r="C111" s="4" t="s">
        <v>113</v>
      </c>
      <c r="D111" s="28">
        <v>7900</v>
      </c>
    </row>
    <row r="112" spans="1:4" x14ac:dyDescent="0.25">
      <c r="A112" s="25"/>
      <c r="B112" s="4" t="s">
        <v>298</v>
      </c>
      <c r="C112" s="4" t="s">
        <v>113</v>
      </c>
      <c r="D112" s="28">
        <v>7900</v>
      </c>
    </row>
    <row r="113" spans="1:7" x14ac:dyDescent="0.25">
      <c r="A113" s="25"/>
      <c r="B113" s="4" t="s">
        <v>246</v>
      </c>
      <c r="C113" s="4" t="s">
        <v>113</v>
      </c>
      <c r="D113" s="28">
        <v>24500</v>
      </c>
    </row>
    <row r="114" spans="1:7" x14ac:dyDescent="0.25">
      <c r="A114" s="25"/>
      <c r="B114" s="6" t="s">
        <v>223</v>
      </c>
      <c r="C114" s="4" t="s">
        <v>113</v>
      </c>
      <c r="D114" s="28">
        <v>11500</v>
      </c>
    </row>
    <row r="115" spans="1:7" x14ac:dyDescent="0.25">
      <c r="A115" s="25"/>
      <c r="B115" s="4" t="s">
        <v>563</v>
      </c>
      <c r="C115" s="4" t="s">
        <v>113</v>
      </c>
      <c r="D115" s="28">
        <v>7300</v>
      </c>
    </row>
    <row r="116" spans="1:7" x14ac:dyDescent="0.25">
      <c r="A116" s="25"/>
      <c r="B116" s="10" t="s">
        <v>347</v>
      </c>
      <c r="C116" s="4" t="s">
        <v>113</v>
      </c>
      <c r="D116" s="28">
        <v>17100</v>
      </c>
    </row>
    <row r="117" spans="1:7" x14ac:dyDescent="0.25">
      <c r="A117" s="25"/>
      <c r="B117" s="4" t="s">
        <v>178</v>
      </c>
      <c r="C117" s="4" t="s">
        <v>113</v>
      </c>
      <c r="D117" s="28">
        <v>11500</v>
      </c>
    </row>
    <row r="118" spans="1:7" x14ac:dyDescent="0.25">
      <c r="A118" s="25"/>
      <c r="B118" s="10" t="s">
        <v>299</v>
      </c>
      <c r="C118" s="4" t="s">
        <v>113</v>
      </c>
      <c r="D118" s="28">
        <v>12900</v>
      </c>
    </row>
    <row r="119" spans="1:7" x14ac:dyDescent="0.25">
      <c r="A119" s="25"/>
      <c r="B119" s="10" t="s">
        <v>219</v>
      </c>
      <c r="C119" s="4" t="s">
        <v>113</v>
      </c>
      <c r="D119" s="28">
        <v>17100</v>
      </c>
    </row>
    <row r="120" spans="1:7" x14ac:dyDescent="0.25">
      <c r="A120" s="26"/>
      <c r="B120" s="4" t="s">
        <v>72</v>
      </c>
      <c r="C120" s="4" t="s">
        <v>0</v>
      </c>
      <c r="D120" s="28">
        <v>24000</v>
      </c>
      <c r="G120" s="5"/>
    </row>
    <row r="121" spans="1:7" x14ac:dyDescent="0.25">
      <c r="A121" s="26"/>
      <c r="B121" s="4" t="s">
        <v>73</v>
      </c>
      <c r="C121" s="4" t="s">
        <v>0</v>
      </c>
      <c r="D121" s="28">
        <v>11500</v>
      </c>
      <c r="G121" s="5"/>
    </row>
    <row r="122" spans="1:7" x14ac:dyDescent="0.25">
      <c r="A122" s="26"/>
      <c r="B122" s="4" t="s">
        <v>268</v>
      </c>
      <c r="C122" s="4" t="s">
        <v>0</v>
      </c>
      <c r="D122" s="28">
        <v>29000</v>
      </c>
      <c r="G122" s="5"/>
    </row>
    <row r="123" spans="1:7" x14ac:dyDescent="0.25">
      <c r="A123" s="26"/>
      <c r="B123" s="4" t="s">
        <v>74</v>
      </c>
      <c r="C123" s="4" t="s">
        <v>0</v>
      </c>
      <c r="D123" s="28">
        <v>11500</v>
      </c>
      <c r="G123" s="5"/>
    </row>
    <row r="124" spans="1:7" x14ac:dyDescent="0.25">
      <c r="A124" s="26"/>
      <c r="B124" s="4" t="s">
        <v>75</v>
      </c>
      <c r="C124" s="4" t="s">
        <v>0</v>
      </c>
      <c r="D124" s="28">
        <v>100000</v>
      </c>
      <c r="G124" s="5"/>
    </row>
    <row r="125" spans="1:7" x14ac:dyDescent="0.25">
      <c r="A125" s="26"/>
      <c r="B125" s="4" t="s">
        <v>326</v>
      </c>
      <c r="C125" s="4" t="s">
        <v>0</v>
      </c>
      <c r="D125" s="28">
        <v>36000</v>
      </c>
      <c r="G125" s="5"/>
    </row>
    <row r="126" spans="1:7" x14ac:dyDescent="0.25">
      <c r="A126" s="26"/>
      <c r="B126" s="4" t="s">
        <v>109</v>
      </c>
      <c r="C126" s="4" t="s">
        <v>0</v>
      </c>
      <c r="D126" s="28">
        <v>22000</v>
      </c>
      <c r="G126" s="5"/>
    </row>
    <row r="127" spans="1:7" x14ac:dyDescent="0.25">
      <c r="A127" s="26"/>
      <c r="B127" s="4" t="s">
        <v>255</v>
      </c>
      <c r="C127" s="4" t="s">
        <v>0</v>
      </c>
      <c r="D127" s="28">
        <v>160000</v>
      </c>
      <c r="G127" s="5"/>
    </row>
    <row r="128" spans="1:7" x14ac:dyDescent="0.25">
      <c r="A128" s="26"/>
      <c r="B128" s="4" t="s">
        <v>76</v>
      </c>
      <c r="C128" s="4" t="s">
        <v>0</v>
      </c>
      <c r="D128" s="28">
        <v>12000</v>
      </c>
      <c r="G128" s="5"/>
    </row>
    <row r="129" spans="1:7" x14ac:dyDescent="0.25">
      <c r="A129" s="26"/>
      <c r="B129" s="4" t="s">
        <v>77</v>
      </c>
      <c r="C129" s="4" t="s">
        <v>0</v>
      </c>
      <c r="D129" s="28">
        <v>19900</v>
      </c>
      <c r="G129" s="5"/>
    </row>
    <row r="130" spans="1:7" x14ac:dyDescent="0.25">
      <c r="A130" s="26"/>
      <c r="B130" s="4" t="s">
        <v>78</v>
      </c>
      <c r="C130" s="4" t="s">
        <v>0</v>
      </c>
      <c r="D130" s="28">
        <v>43000</v>
      </c>
      <c r="G130" s="5"/>
    </row>
    <row r="131" spans="1:7" x14ac:dyDescent="0.25">
      <c r="A131" s="25"/>
      <c r="B131" s="6" t="s">
        <v>341</v>
      </c>
      <c r="C131" s="4" t="s">
        <v>340</v>
      </c>
      <c r="D131" s="28">
        <v>5900</v>
      </c>
      <c r="G131" s="5"/>
    </row>
    <row r="132" spans="1:7" x14ac:dyDescent="0.25">
      <c r="A132" s="25"/>
      <c r="B132" s="6" t="s">
        <v>342</v>
      </c>
      <c r="C132" s="4" t="s">
        <v>340</v>
      </c>
      <c r="D132" s="28">
        <v>5900</v>
      </c>
      <c r="G132" s="5"/>
    </row>
    <row r="133" spans="1:7" x14ac:dyDescent="0.25">
      <c r="A133" s="25"/>
      <c r="B133" s="6" t="s">
        <v>343</v>
      </c>
      <c r="C133" s="4" t="s">
        <v>340</v>
      </c>
      <c r="D133" s="28">
        <v>5900</v>
      </c>
      <c r="G133" s="5"/>
    </row>
    <row r="134" spans="1:7" x14ac:dyDescent="0.25">
      <c r="A134" s="25"/>
      <c r="B134" s="6" t="s">
        <v>344</v>
      </c>
      <c r="C134" s="4" t="s">
        <v>340</v>
      </c>
      <c r="D134" s="28">
        <v>5900</v>
      </c>
      <c r="G134" s="5"/>
    </row>
    <row r="135" spans="1:7" x14ac:dyDescent="0.25">
      <c r="A135" s="25"/>
      <c r="B135" s="6" t="s">
        <v>345</v>
      </c>
      <c r="C135" s="4" t="s">
        <v>340</v>
      </c>
      <c r="D135" s="28">
        <v>5900</v>
      </c>
      <c r="G135" s="5"/>
    </row>
    <row r="136" spans="1:7" x14ac:dyDescent="0.25">
      <c r="A136" s="25"/>
      <c r="B136" s="6" t="s">
        <v>349</v>
      </c>
      <c r="C136" s="4" t="s">
        <v>340</v>
      </c>
      <c r="D136" s="28">
        <v>9900</v>
      </c>
    </row>
    <row r="137" spans="1:7" x14ac:dyDescent="0.25">
      <c r="A137" s="25"/>
      <c r="B137" s="6" t="s">
        <v>350</v>
      </c>
      <c r="C137" s="4" t="s">
        <v>340</v>
      </c>
      <c r="D137" s="28">
        <v>9900</v>
      </c>
    </row>
    <row r="138" spans="1:7" x14ac:dyDescent="0.25">
      <c r="A138" s="25"/>
      <c r="B138" s="6" t="s">
        <v>351</v>
      </c>
      <c r="C138" s="4" t="s">
        <v>340</v>
      </c>
      <c r="D138" s="28">
        <v>9900</v>
      </c>
    </row>
    <row r="139" spans="1:7" x14ac:dyDescent="0.25">
      <c r="A139" s="25"/>
      <c r="B139" s="6" t="s">
        <v>360</v>
      </c>
      <c r="C139" s="4" t="s">
        <v>340</v>
      </c>
      <c r="D139" s="28">
        <v>3000</v>
      </c>
    </row>
    <row r="140" spans="1:7" x14ac:dyDescent="0.25">
      <c r="A140" s="25"/>
      <c r="B140" s="6" t="s">
        <v>361</v>
      </c>
      <c r="C140" s="4" t="s">
        <v>340</v>
      </c>
      <c r="D140" s="28">
        <v>3000</v>
      </c>
    </row>
    <row r="141" spans="1:7" x14ac:dyDescent="0.25">
      <c r="A141" s="25"/>
      <c r="B141" s="6" t="s">
        <v>362</v>
      </c>
      <c r="C141" s="4" t="s">
        <v>340</v>
      </c>
      <c r="D141" s="28">
        <v>3000</v>
      </c>
    </row>
    <row r="142" spans="1:7" x14ac:dyDescent="0.25">
      <c r="A142" s="25"/>
      <c r="B142" s="6" t="s">
        <v>363</v>
      </c>
      <c r="C142" s="4" t="s">
        <v>340</v>
      </c>
      <c r="D142" s="28">
        <v>3000</v>
      </c>
    </row>
    <row r="143" spans="1:7" x14ac:dyDescent="0.25">
      <c r="A143" s="25"/>
      <c r="B143" s="6" t="s">
        <v>364</v>
      </c>
      <c r="C143" s="4" t="s">
        <v>340</v>
      </c>
      <c r="D143" s="28">
        <v>3000</v>
      </c>
    </row>
    <row r="144" spans="1:7" x14ac:dyDescent="0.25">
      <c r="A144" s="25"/>
      <c r="B144" s="6" t="s">
        <v>365</v>
      </c>
      <c r="C144" s="4" t="s">
        <v>340</v>
      </c>
      <c r="D144" s="28">
        <v>3000</v>
      </c>
    </row>
    <row r="145" spans="1:4" x14ac:dyDescent="0.25">
      <c r="A145" s="25"/>
      <c r="B145" s="6" t="s">
        <v>352</v>
      </c>
      <c r="C145" s="4" t="s">
        <v>340</v>
      </c>
      <c r="D145" s="28">
        <v>5000</v>
      </c>
    </row>
    <row r="146" spans="1:4" x14ac:dyDescent="0.25">
      <c r="A146" s="25"/>
      <c r="B146" s="6" t="s">
        <v>353</v>
      </c>
      <c r="C146" s="4" t="s">
        <v>340</v>
      </c>
      <c r="D146" s="28">
        <v>5000</v>
      </c>
    </row>
    <row r="147" spans="1:4" x14ac:dyDescent="0.25">
      <c r="A147" s="25"/>
      <c r="B147" s="6" t="s">
        <v>354</v>
      </c>
      <c r="C147" s="4" t="s">
        <v>340</v>
      </c>
      <c r="D147" s="28">
        <v>5000</v>
      </c>
    </row>
    <row r="148" spans="1:4" x14ac:dyDescent="0.25">
      <c r="A148" s="25"/>
      <c r="B148" s="6" t="s">
        <v>355</v>
      </c>
      <c r="C148" s="4" t="s">
        <v>340</v>
      </c>
      <c r="D148" s="28">
        <v>5000</v>
      </c>
    </row>
    <row r="149" spans="1:4" x14ac:dyDescent="0.25">
      <c r="A149" s="25"/>
      <c r="B149" s="6" t="s">
        <v>356</v>
      </c>
      <c r="C149" s="4" t="s">
        <v>340</v>
      </c>
      <c r="D149" s="28">
        <v>5000</v>
      </c>
    </row>
    <row r="150" spans="1:4" x14ac:dyDescent="0.25">
      <c r="A150" s="25"/>
      <c r="B150" s="6" t="s">
        <v>357</v>
      </c>
      <c r="C150" s="4" t="s">
        <v>340</v>
      </c>
      <c r="D150" s="28">
        <v>5000</v>
      </c>
    </row>
    <row r="151" spans="1:4" x14ac:dyDescent="0.25">
      <c r="A151" s="25"/>
      <c r="B151" s="6" t="s">
        <v>366</v>
      </c>
      <c r="C151" s="4" t="s">
        <v>340</v>
      </c>
      <c r="D151" s="28">
        <v>5000</v>
      </c>
    </row>
    <row r="152" spans="1:4" x14ac:dyDescent="0.25">
      <c r="A152" s="25"/>
      <c r="B152" s="6" t="s">
        <v>359</v>
      </c>
      <c r="C152" s="4" t="s">
        <v>340</v>
      </c>
      <c r="D152" s="28">
        <v>3500</v>
      </c>
    </row>
    <row r="153" spans="1:4" x14ac:dyDescent="0.25">
      <c r="A153" s="25"/>
      <c r="B153" s="6" t="s">
        <v>358</v>
      </c>
      <c r="C153" s="4" t="s">
        <v>340</v>
      </c>
      <c r="D153" s="28">
        <v>3500</v>
      </c>
    </row>
    <row r="154" spans="1:4" x14ac:dyDescent="0.25">
      <c r="A154" s="25"/>
      <c r="B154" s="6" t="s">
        <v>440</v>
      </c>
      <c r="C154" s="4" t="s">
        <v>340</v>
      </c>
      <c r="D154" s="28">
        <v>5000</v>
      </c>
    </row>
    <row r="155" spans="1:4" x14ac:dyDescent="0.25">
      <c r="A155" s="25"/>
      <c r="B155" s="6" t="s">
        <v>378</v>
      </c>
      <c r="C155" s="4" t="s">
        <v>340</v>
      </c>
      <c r="D155" s="28">
        <v>5000</v>
      </c>
    </row>
    <row r="156" spans="1:4" x14ac:dyDescent="0.25">
      <c r="A156" s="25"/>
      <c r="B156" s="6" t="s">
        <v>348</v>
      </c>
      <c r="C156" s="4" t="s">
        <v>340</v>
      </c>
      <c r="D156" s="28">
        <v>2900</v>
      </c>
    </row>
    <row r="157" spans="1:4" x14ac:dyDescent="0.25">
      <c r="A157" s="23"/>
      <c r="B157" s="4" t="s">
        <v>477</v>
      </c>
      <c r="C157" s="4" t="s">
        <v>13</v>
      </c>
      <c r="D157" s="28">
        <v>14900</v>
      </c>
    </row>
    <row r="158" spans="1:4" x14ac:dyDescent="0.25">
      <c r="A158" s="25"/>
      <c r="B158" s="4" t="s">
        <v>220</v>
      </c>
      <c r="C158" s="4" t="s">
        <v>13</v>
      </c>
      <c r="D158" s="28">
        <v>14900</v>
      </c>
    </row>
    <row r="159" spans="1:4" x14ac:dyDescent="0.25">
      <c r="A159" s="25"/>
      <c r="B159" s="4" t="s">
        <v>242</v>
      </c>
      <c r="C159" s="4" t="s">
        <v>13</v>
      </c>
      <c r="D159" s="28">
        <v>14900</v>
      </c>
    </row>
    <row r="160" spans="1:4" x14ac:dyDescent="0.25">
      <c r="A160" s="25"/>
      <c r="B160" s="4" t="s">
        <v>244</v>
      </c>
      <c r="C160" s="4" t="s">
        <v>13</v>
      </c>
      <c r="D160" s="28">
        <v>8200</v>
      </c>
    </row>
    <row r="161" spans="1:4" x14ac:dyDescent="0.25">
      <c r="A161" s="25"/>
      <c r="B161" s="4" t="s">
        <v>79</v>
      </c>
      <c r="C161" s="4" t="s">
        <v>13</v>
      </c>
      <c r="D161" s="28">
        <v>12000</v>
      </c>
    </row>
    <row r="162" spans="1:4" x14ac:dyDescent="0.25">
      <c r="A162" s="25"/>
      <c r="B162" s="4" t="s">
        <v>301</v>
      </c>
      <c r="C162" s="4" t="s">
        <v>13</v>
      </c>
      <c r="D162" s="28">
        <v>14900</v>
      </c>
    </row>
    <row r="163" spans="1:4" x14ac:dyDescent="0.25">
      <c r="A163" s="25"/>
      <c r="B163" s="4" t="s">
        <v>80</v>
      </c>
      <c r="C163" s="4" t="s">
        <v>13</v>
      </c>
      <c r="D163" s="28">
        <v>7500</v>
      </c>
    </row>
    <row r="164" spans="1:4" x14ac:dyDescent="0.25">
      <c r="A164" s="25"/>
      <c r="B164" s="4" t="s">
        <v>466</v>
      </c>
      <c r="C164" s="4" t="s">
        <v>13</v>
      </c>
      <c r="D164" s="28">
        <v>7500</v>
      </c>
    </row>
    <row r="165" spans="1:4" x14ac:dyDescent="0.25">
      <c r="A165" s="25"/>
      <c r="B165" s="4" t="s">
        <v>467</v>
      </c>
      <c r="C165" s="4" t="s">
        <v>13</v>
      </c>
      <c r="D165" s="28">
        <v>8800</v>
      </c>
    </row>
    <row r="166" spans="1:4" x14ac:dyDescent="0.25">
      <c r="A166" s="25"/>
      <c r="B166" s="4" t="s">
        <v>81</v>
      </c>
      <c r="C166" s="4" t="s">
        <v>13</v>
      </c>
      <c r="D166" s="28">
        <v>11900</v>
      </c>
    </row>
    <row r="167" spans="1:4" x14ac:dyDescent="0.25">
      <c r="A167" s="25"/>
      <c r="B167" s="4" t="s">
        <v>101</v>
      </c>
      <c r="C167" s="4" t="s">
        <v>13</v>
      </c>
      <c r="D167" s="28">
        <v>5700</v>
      </c>
    </row>
    <row r="168" spans="1:4" x14ac:dyDescent="0.25">
      <c r="A168" s="25"/>
      <c r="B168" s="4" t="s">
        <v>182</v>
      </c>
      <c r="C168" s="4" t="s">
        <v>13</v>
      </c>
      <c r="D168" s="28">
        <v>6000</v>
      </c>
    </row>
    <row r="169" spans="1:4" x14ac:dyDescent="0.25">
      <c r="A169" s="25"/>
      <c r="B169" s="4" t="s">
        <v>135</v>
      </c>
      <c r="C169" s="4" t="s">
        <v>13</v>
      </c>
      <c r="D169" s="28">
        <v>14900</v>
      </c>
    </row>
    <row r="170" spans="1:4" x14ac:dyDescent="0.25">
      <c r="A170" s="25"/>
      <c r="B170" s="4" t="s">
        <v>336</v>
      </c>
      <c r="C170" s="4" t="s">
        <v>13</v>
      </c>
      <c r="D170" s="28">
        <v>23500</v>
      </c>
    </row>
    <row r="171" spans="1:4" x14ac:dyDescent="0.25">
      <c r="A171" s="25"/>
      <c r="B171" s="4" t="s">
        <v>162</v>
      </c>
      <c r="C171" s="4" t="s">
        <v>13</v>
      </c>
      <c r="D171" s="28">
        <v>14900</v>
      </c>
    </row>
    <row r="172" spans="1:4" x14ac:dyDescent="0.25">
      <c r="A172" s="25"/>
      <c r="B172" s="4" t="s">
        <v>82</v>
      </c>
      <c r="C172" s="4" t="s">
        <v>13</v>
      </c>
      <c r="D172" s="28">
        <v>12700</v>
      </c>
    </row>
    <row r="173" spans="1:4" x14ac:dyDescent="0.25">
      <c r="A173" s="25"/>
      <c r="B173" s="4" t="s">
        <v>462</v>
      </c>
      <c r="C173" s="4" t="s">
        <v>468</v>
      </c>
      <c r="D173" s="28">
        <v>19100</v>
      </c>
    </row>
    <row r="174" spans="1:4" x14ac:dyDescent="0.25">
      <c r="A174" s="25"/>
      <c r="B174" s="4" t="s">
        <v>423</v>
      </c>
      <c r="C174" s="4" t="s">
        <v>468</v>
      </c>
      <c r="D174" s="28">
        <v>15900</v>
      </c>
    </row>
    <row r="175" spans="1:4" x14ac:dyDescent="0.25">
      <c r="A175" s="25"/>
      <c r="B175" s="10" t="s">
        <v>303</v>
      </c>
      <c r="C175" s="4" t="s">
        <v>468</v>
      </c>
      <c r="D175" s="28">
        <v>3900</v>
      </c>
    </row>
    <row r="176" spans="1:4" x14ac:dyDescent="0.25">
      <c r="A176" s="25"/>
      <c r="B176" s="4" t="s">
        <v>419</v>
      </c>
      <c r="C176" s="4" t="s">
        <v>468</v>
      </c>
      <c r="D176" s="28">
        <v>18900</v>
      </c>
    </row>
    <row r="177" spans="1:4" x14ac:dyDescent="0.25">
      <c r="A177" s="25"/>
      <c r="B177" s="4" t="s">
        <v>458</v>
      </c>
      <c r="C177" s="4" t="s">
        <v>468</v>
      </c>
      <c r="D177" s="28">
        <v>19600</v>
      </c>
    </row>
    <row r="178" spans="1:4" x14ac:dyDescent="0.25">
      <c r="A178" s="25"/>
      <c r="B178" s="4" t="s">
        <v>453</v>
      </c>
      <c r="C178" s="4" t="s">
        <v>468</v>
      </c>
      <c r="D178" s="28">
        <v>21900</v>
      </c>
    </row>
    <row r="179" spans="1:4" x14ac:dyDescent="0.25">
      <c r="A179" s="23"/>
      <c r="B179" s="4" t="s">
        <v>418</v>
      </c>
      <c r="C179" s="4" t="s">
        <v>468</v>
      </c>
      <c r="D179" s="28">
        <v>22500</v>
      </c>
    </row>
    <row r="180" spans="1:4" x14ac:dyDescent="0.25">
      <c r="A180" s="25"/>
      <c r="B180" s="4" t="s">
        <v>424</v>
      </c>
      <c r="C180" s="4" t="s">
        <v>468</v>
      </c>
      <c r="D180" s="28">
        <v>25800</v>
      </c>
    </row>
    <row r="181" spans="1:4" x14ac:dyDescent="0.25">
      <c r="A181" s="25"/>
      <c r="B181" s="4" t="s">
        <v>455</v>
      </c>
      <c r="C181" s="4" t="s">
        <v>468</v>
      </c>
      <c r="D181" s="28">
        <v>25800</v>
      </c>
    </row>
    <row r="182" spans="1:4" x14ac:dyDescent="0.25">
      <c r="A182" s="23"/>
      <c r="B182" s="4" t="s">
        <v>425</v>
      </c>
      <c r="C182" s="4" t="s">
        <v>468</v>
      </c>
      <c r="D182" s="28">
        <v>28500</v>
      </c>
    </row>
    <row r="183" spans="1:4" x14ac:dyDescent="0.25">
      <c r="A183" s="23"/>
      <c r="B183" s="4" t="s">
        <v>541</v>
      </c>
      <c r="C183" s="4" t="s">
        <v>468</v>
      </c>
      <c r="D183" s="28">
        <v>18500</v>
      </c>
    </row>
    <row r="184" spans="1:4" x14ac:dyDescent="0.25">
      <c r="A184" s="23"/>
      <c r="B184" s="4" t="s">
        <v>426</v>
      </c>
      <c r="C184" s="4" t="s">
        <v>468</v>
      </c>
      <c r="D184" s="28">
        <v>17000</v>
      </c>
    </row>
    <row r="185" spans="1:4" x14ac:dyDescent="0.25">
      <c r="A185" s="25"/>
      <c r="B185" s="4" t="s">
        <v>432</v>
      </c>
      <c r="C185" s="4" t="s">
        <v>468</v>
      </c>
      <c r="D185" s="28">
        <v>27900</v>
      </c>
    </row>
    <row r="186" spans="1:4" x14ac:dyDescent="0.25">
      <c r="A186" s="23"/>
      <c r="B186" s="4" t="s">
        <v>498</v>
      </c>
      <c r="C186" s="4" t="s">
        <v>468</v>
      </c>
      <c r="D186" s="28">
        <v>34000</v>
      </c>
    </row>
    <row r="187" spans="1:4" x14ac:dyDescent="0.25">
      <c r="A187" s="25"/>
      <c r="B187" s="4" t="s">
        <v>427</v>
      </c>
      <c r="C187" s="4" t="s">
        <v>468</v>
      </c>
      <c r="D187" s="28">
        <v>16900</v>
      </c>
    </row>
    <row r="188" spans="1:4" x14ac:dyDescent="0.25">
      <c r="A188" s="25"/>
      <c r="B188" s="4" t="s">
        <v>428</v>
      </c>
      <c r="C188" s="4" t="s">
        <v>468</v>
      </c>
      <c r="D188" s="28">
        <v>21900</v>
      </c>
    </row>
    <row r="189" spans="1:4" x14ac:dyDescent="0.25">
      <c r="A189" s="25"/>
      <c r="B189" s="4" t="s">
        <v>463</v>
      </c>
      <c r="C189" s="4" t="s">
        <v>468</v>
      </c>
      <c r="D189" s="28">
        <v>29400</v>
      </c>
    </row>
    <row r="190" spans="1:4" x14ac:dyDescent="0.25">
      <c r="A190" s="25"/>
      <c r="B190" s="6" t="s">
        <v>275</v>
      </c>
      <c r="C190" s="4" t="s">
        <v>468</v>
      </c>
      <c r="D190" s="28">
        <v>6500</v>
      </c>
    </row>
    <row r="191" spans="1:4" x14ac:dyDescent="0.25">
      <c r="A191" s="25"/>
      <c r="B191" s="6" t="s">
        <v>274</v>
      </c>
      <c r="C191" s="4" t="s">
        <v>468</v>
      </c>
      <c r="D191" s="28">
        <v>6500</v>
      </c>
    </row>
    <row r="192" spans="1:4" x14ac:dyDescent="0.25">
      <c r="A192" s="25"/>
      <c r="B192" s="4" t="s">
        <v>430</v>
      </c>
      <c r="C192" s="4" t="s">
        <v>468</v>
      </c>
      <c r="D192" s="28">
        <v>18000</v>
      </c>
    </row>
    <row r="193" spans="1:10" x14ac:dyDescent="0.25">
      <c r="A193" s="25"/>
      <c r="B193" s="10" t="s">
        <v>276</v>
      </c>
      <c r="C193" s="4" t="s">
        <v>468</v>
      </c>
      <c r="D193" s="28">
        <v>39900</v>
      </c>
    </row>
    <row r="194" spans="1:10" x14ac:dyDescent="0.25">
      <c r="A194" s="25"/>
      <c r="B194" s="10" t="s">
        <v>277</v>
      </c>
      <c r="C194" s="4" t="s">
        <v>468</v>
      </c>
      <c r="D194" s="28">
        <v>3900</v>
      </c>
    </row>
    <row r="195" spans="1:10" x14ac:dyDescent="0.25">
      <c r="A195" s="25"/>
      <c r="B195" s="6" t="s">
        <v>278</v>
      </c>
      <c r="C195" s="4" t="s">
        <v>468</v>
      </c>
      <c r="D195" s="28">
        <v>3900</v>
      </c>
    </row>
    <row r="196" spans="1:10" x14ac:dyDescent="0.25">
      <c r="A196" s="25"/>
      <c r="B196" s="10" t="s">
        <v>332</v>
      </c>
      <c r="C196" s="4" t="s">
        <v>468</v>
      </c>
      <c r="D196" s="28">
        <v>3900</v>
      </c>
    </row>
    <row r="197" spans="1:10" x14ac:dyDescent="0.25">
      <c r="A197" s="25"/>
      <c r="B197" s="4" t="s">
        <v>499</v>
      </c>
      <c r="C197" s="4" t="s">
        <v>468</v>
      </c>
      <c r="D197" s="28">
        <v>25900</v>
      </c>
    </row>
    <row r="198" spans="1:10" x14ac:dyDescent="0.25">
      <c r="A198" s="25"/>
      <c r="B198" s="4" t="s">
        <v>464</v>
      </c>
      <c r="C198" s="4" t="s">
        <v>468</v>
      </c>
      <c r="D198" s="28">
        <v>26400</v>
      </c>
    </row>
    <row r="199" spans="1:10" x14ac:dyDescent="0.25">
      <c r="A199" s="23"/>
      <c r="B199" s="4" t="s">
        <v>439</v>
      </c>
      <c r="C199" s="4" t="s">
        <v>468</v>
      </c>
      <c r="D199" s="28">
        <v>25900</v>
      </c>
    </row>
    <row r="200" spans="1:10" x14ac:dyDescent="0.25">
      <c r="A200" s="25"/>
      <c r="B200" s="4" t="s">
        <v>500</v>
      </c>
      <c r="C200" s="4" t="s">
        <v>468</v>
      </c>
      <c r="D200" s="28">
        <v>50000</v>
      </c>
    </row>
    <row r="201" spans="1:10" x14ac:dyDescent="0.25">
      <c r="A201" s="25"/>
      <c r="B201" s="4" t="s">
        <v>513</v>
      </c>
      <c r="C201" s="4" t="s">
        <v>468</v>
      </c>
      <c r="D201" s="28">
        <v>20900</v>
      </c>
    </row>
    <row r="202" spans="1:10" x14ac:dyDescent="0.25">
      <c r="A202" s="25"/>
      <c r="B202" s="4" t="s">
        <v>501</v>
      </c>
      <c r="C202" s="4" t="s">
        <v>468</v>
      </c>
      <c r="D202" s="28">
        <v>2000</v>
      </c>
    </row>
    <row r="203" spans="1:10" x14ac:dyDescent="0.25">
      <c r="A203" s="25"/>
      <c r="B203" s="4" t="s">
        <v>465</v>
      </c>
      <c r="C203" s="4" t="s">
        <v>468</v>
      </c>
      <c r="D203" s="28">
        <v>22500</v>
      </c>
    </row>
    <row r="204" spans="1:10" x14ac:dyDescent="0.25">
      <c r="A204" s="23"/>
      <c r="B204" s="4" t="s">
        <v>560</v>
      </c>
      <c r="C204" s="4" t="s">
        <v>468</v>
      </c>
      <c r="D204" s="28">
        <v>25500</v>
      </c>
    </row>
    <row r="205" spans="1:10" x14ac:dyDescent="0.25">
      <c r="A205" s="23"/>
      <c r="B205" s="4" t="s">
        <v>457</v>
      </c>
      <c r="C205" s="4" t="s">
        <v>468</v>
      </c>
      <c r="D205" s="28">
        <v>30000</v>
      </c>
    </row>
    <row r="206" spans="1:10" x14ac:dyDescent="0.25">
      <c r="A206" s="23"/>
      <c r="B206" s="4" t="s">
        <v>456</v>
      </c>
      <c r="C206" s="4" t="s">
        <v>468</v>
      </c>
      <c r="D206" s="28">
        <v>23000</v>
      </c>
    </row>
    <row r="207" spans="1:10" x14ac:dyDescent="0.25">
      <c r="A207" s="25"/>
      <c r="B207" s="4" t="s">
        <v>27</v>
      </c>
      <c r="C207" s="4" t="s">
        <v>24</v>
      </c>
      <c r="D207" s="28">
        <v>63700</v>
      </c>
      <c r="G207" s="5"/>
      <c r="H207" s="5"/>
      <c r="I207" s="5"/>
      <c r="J207" s="5"/>
    </row>
    <row r="208" spans="1:10" x14ac:dyDescent="0.25">
      <c r="A208" s="25"/>
      <c r="B208" s="4" t="s">
        <v>514</v>
      </c>
      <c r="C208" s="4" t="s">
        <v>24</v>
      </c>
      <c r="D208" s="28">
        <v>36600</v>
      </c>
      <c r="G208" s="5"/>
      <c r="H208" s="5"/>
      <c r="I208" s="5"/>
      <c r="J208" s="5"/>
    </row>
    <row r="209" spans="1:10" x14ac:dyDescent="0.25">
      <c r="A209" s="25"/>
      <c r="B209" s="4" t="s">
        <v>26</v>
      </c>
      <c r="C209" s="4" t="s">
        <v>24</v>
      </c>
      <c r="D209" s="28">
        <v>41900</v>
      </c>
      <c r="G209" s="5"/>
      <c r="H209" s="5"/>
      <c r="I209" s="5"/>
      <c r="J209" s="5"/>
    </row>
    <row r="210" spans="1:10" x14ac:dyDescent="0.25">
      <c r="A210" s="25"/>
      <c r="B210" s="4" t="s">
        <v>39</v>
      </c>
      <c r="C210" s="4" t="s">
        <v>24</v>
      </c>
      <c r="D210" s="28">
        <v>92200</v>
      </c>
      <c r="G210" s="5"/>
      <c r="H210" s="5"/>
      <c r="I210" s="5"/>
      <c r="J210" s="5"/>
    </row>
    <row r="211" spans="1:10" x14ac:dyDescent="0.25">
      <c r="A211" s="25"/>
      <c r="B211" s="4" t="s">
        <v>28</v>
      </c>
      <c r="C211" s="4" t="s">
        <v>24</v>
      </c>
      <c r="D211" s="28">
        <v>65200</v>
      </c>
      <c r="G211" s="5"/>
      <c r="H211" s="5"/>
      <c r="I211" s="5"/>
      <c r="J211" s="5"/>
    </row>
    <row r="212" spans="1:10" x14ac:dyDescent="0.25">
      <c r="A212" s="25"/>
      <c r="B212" s="4" t="s">
        <v>25</v>
      </c>
      <c r="C212" s="4" t="s">
        <v>24</v>
      </c>
      <c r="D212" s="28">
        <v>41900</v>
      </c>
      <c r="G212" s="5"/>
      <c r="H212" s="5"/>
      <c r="I212" s="5"/>
      <c r="J212" s="5"/>
    </row>
    <row r="213" spans="1:10" x14ac:dyDescent="0.25">
      <c r="A213" s="25"/>
      <c r="B213" s="4" t="s">
        <v>38</v>
      </c>
      <c r="C213" s="4" t="s">
        <v>24</v>
      </c>
      <c r="D213" s="28">
        <v>92200</v>
      </c>
      <c r="G213" s="5"/>
      <c r="H213" s="5"/>
      <c r="I213" s="5"/>
      <c r="J213" s="5"/>
    </row>
    <row r="214" spans="1:10" x14ac:dyDescent="0.25">
      <c r="A214" s="25"/>
      <c r="B214" s="4" t="s">
        <v>409</v>
      </c>
      <c r="C214" s="4" t="s">
        <v>24</v>
      </c>
      <c r="D214" s="28">
        <v>79500</v>
      </c>
      <c r="G214" s="5"/>
      <c r="H214" s="5"/>
      <c r="I214" s="5"/>
      <c r="J214" s="5"/>
    </row>
    <row r="215" spans="1:10" x14ac:dyDescent="0.25">
      <c r="A215" s="25"/>
      <c r="B215" s="4" t="s">
        <v>441</v>
      </c>
      <c r="C215" s="4" t="s">
        <v>24</v>
      </c>
      <c r="D215" s="28">
        <v>79500</v>
      </c>
      <c r="G215" s="5"/>
      <c r="H215" s="5"/>
      <c r="I215" s="5"/>
      <c r="J215" s="5"/>
    </row>
    <row r="216" spans="1:10" x14ac:dyDescent="0.25">
      <c r="A216" s="25"/>
      <c r="B216" s="4" t="s">
        <v>410</v>
      </c>
      <c r="C216" s="4" t="s">
        <v>24</v>
      </c>
      <c r="D216" s="28">
        <v>79500</v>
      </c>
      <c r="G216" s="5"/>
      <c r="H216" s="5"/>
      <c r="I216" s="5"/>
      <c r="J216" s="5"/>
    </row>
    <row r="217" spans="1:10" x14ac:dyDescent="0.25">
      <c r="A217" s="23"/>
      <c r="B217" s="4" t="s">
        <v>83</v>
      </c>
      <c r="C217" s="4" t="s">
        <v>2</v>
      </c>
      <c r="D217" s="28">
        <v>11300</v>
      </c>
      <c r="H217" s="5"/>
    </row>
    <row r="218" spans="1:10" x14ac:dyDescent="0.25">
      <c r="A218" s="25"/>
      <c r="B218" s="4" t="s">
        <v>236</v>
      </c>
      <c r="C218" s="4" t="s">
        <v>2</v>
      </c>
      <c r="D218" s="28">
        <v>10500</v>
      </c>
    </row>
    <row r="219" spans="1:10" x14ac:dyDescent="0.25">
      <c r="A219" s="25"/>
      <c r="B219" s="4" t="s">
        <v>84</v>
      </c>
      <c r="C219" s="4" t="s">
        <v>2</v>
      </c>
      <c r="D219" s="28">
        <v>10400</v>
      </c>
    </row>
    <row r="220" spans="1:10" x14ac:dyDescent="0.25">
      <c r="A220" s="25"/>
      <c r="B220" s="4" t="s">
        <v>85</v>
      </c>
      <c r="C220" s="4" t="s">
        <v>2</v>
      </c>
      <c r="D220" s="28">
        <v>15700</v>
      </c>
    </row>
    <row r="221" spans="1:10" x14ac:dyDescent="0.25">
      <c r="A221" s="25"/>
      <c r="B221" s="4" t="s">
        <v>218</v>
      </c>
      <c r="C221" s="4" t="s">
        <v>2</v>
      </c>
      <c r="D221" s="28">
        <v>19500</v>
      </c>
    </row>
    <row r="222" spans="1:10" x14ac:dyDescent="0.25">
      <c r="A222" s="25"/>
      <c r="B222" s="4" t="s">
        <v>229</v>
      </c>
      <c r="C222" s="4" t="s">
        <v>2</v>
      </c>
      <c r="D222" s="28">
        <v>7200</v>
      </c>
    </row>
    <row r="223" spans="1:10" x14ac:dyDescent="0.25">
      <c r="A223" s="25"/>
      <c r="B223" s="4" t="s">
        <v>280</v>
      </c>
      <c r="C223" s="4" t="s">
        <v>2</v>
      </c>
      <c r="D223" s="28">
        <v>14700</v>
      </c>
    </row>
    <row r="224" spans="1:10" x14ac:dyDescent="0.25">
      <c r="A224" s="25"/>
      <c r="B224" s="4" t="s">
        <v>86</v>
      </c>
      <c r="C224" s="4" t="s">
        <v>2</v>
      </c>
      <c r="D224" s="28">
        <v>31800</v>
      </c>
    </row>
    <row r="225" spans="1:4" x14ac:dyDescent="0.25">
      <c r="A225" s="25"/>
      <c r="B225" s="4" t="s">
        <v>285</v>
      </c>
      <c r="C225" s="4" t="s">
        <v>2</v>
      </c>
      <c r="D225" s="28">
        <v>10300</v>
      </c>
    </row>
    <row r="226" spans="1:4" x14ac:dyDescent="0.25">
      <c r="A226" s="25"/>
      <c r="B226" s="6" t="s">
        <v>87</v>
      </c>
      <c r="C226" s="4" t="s">
        <v>2</v>
      </c>
      <c r="D226" s="28">
        <v>9400</v>
      </c>
    </row>
    <row r="227" spans="1:4" x14ac:dyDescent="0.25">
      <c r="A227" s="25"/>
      <c r="B227" s="4" t="s">
        <v>88</v>
      </c>
      <c r="C227" s="4" t="s">
        <v>2</v>
      </c>
      <c r="D227" s="28">
        <v>13500</v>
      </c>
    </row>
    <row r="228" spans="1:4" x14ac:dyDescent="0.25">
      <c r="A228" s="25"/>
      <c r="B228" s="4" t="s">
        <v>89</v>
      </c>
      <c r="C228" s="4" t="s">
        <v>2</v>
      </c>
      <c r="D228" s="28">
        <v>5200</v>
      </c>
    </row>
    <row r="229" spans="1:4" x14ac:dyDescent="0.25">
      <c r="A229" s="25"/>
      <c r="B229" s="4" t="s">
        <v>90</v>
      </c>
      <c r="C229" s="4" t="s">
        <v>2</v>
      </c>
      <c r="D229" s="28">
        <v>23900</v>
      </c>
    </row>
    <row r="230" spans="1:4" x14ac:dyDescent="0.25">
      <c r="A230" s="25"/>
      <c r="B230" s="4" t="s">
        <v>91</v>
      </c>
      <c r="C230" s="4" t="s">
        <v>2</v>
      </c>
      <c r="D230" s="28">
        <v>7500</v>
      </c>
    </row>
    <row r="231" spans="1:4" x14ac:dyDescent="0.25">
      <c r="A231" s="25"/>
      <c r="B231" s="4" t="s">
        <v>92</v>
      </c>
      <c r="C231" s="4" t="s">
        <v>2</v>
      </c>
      <c r="D231" s="28">
        <v>21000</v>
      </c>
    </row>
    <row r="232" spans="1:4" x14ac:dyDescent="0.25">
      <c r="A232" s="25"/>
      <c r="B232" s="4" t="s">
        <v>93</v>
      </c>
      <c r="C232" s="4" t="s">
        <v>2</v>
      </c>
      <c r="D232" s="28">
        <v>12500</v>
      </c>
    </row>
    <row r="233" spans="1:4" x14ac:dyDescent="0.25">
      <c r="A233" s="25"/>
      <c r="B233" s="4" t="s">
        <v>192</v>
      </c>
      <c r="C233" s="4" t="s">
        <v>2</v>
      </c>
      <c r="D233" s="28">
        <v>27500</v>
      </c>
    </row>
    <row r="234" spans="1:4" x14ac:dyDescent="0.25">
      <c r="A234" s="25"/>
      <c r="B234" s="4" t="s">
        <v>144</v>
      </c>
      <c r="C234" s="4" t="s">
        <v>137</v>
      </c>
      <c r="D234" s="28">
        <v>6500</v>
      </c>
    </row>
    <row r="235" spans="1:4" x14ac:dyDescent="0.25">
      <c r="A235" s="25"/>
      <c r="B235" s="4" t="s">
        <v>138</v>
      </c>
      <c r="C235" s="4" t="s">
        <v>137</v>
      </c>
      <c r="D235" s="28">
        <v>4500</v>
      </c>
    </row>
    <row r="236" spans="1:4" x14ac:dyDescent="0.25">
      <c r="A236" s="25"/>
      <c r="B236" s="4" t="s">
        <v>145</v>
      </c>
      <c r="C236" s="4" t="s">
        <v>137</v>
      </c>
      <c r="D236" s="28">
        <v>6500</v>
      </c>
    </row>
    <row r="237" spans="1:4" x14ac:dyDescent="0.25">
      <c r="A237" s="25"/>
      <c r="B237" s="4" t="s">
        <v>139</v>
      </c>
      <c r="C237" s="4" t="s">
        <v>137</v>
      </c>
      <c r="D237" s="28">
        <v>4500</v>
      </c>
    </row>
    <row r="238" spans="1:4" x14ac:dyDescent="0.25">
      <c r="A238" s="25"/>
      <c r="B238" s="4" t="s">
        <v>146</v>
      </c>
      <c r="C238" s="4" t="s">
        <v>137</v>
      </c>
      <c r="D238" s="28">
        <v>6500</v>
      </c>
    </row>
    <row r="239" spans="1:4" x14ac:dyDescent="0.25">
      <c r="A239" s="25"/>
      <c r="B239" s="4" t="s">
        <v>140</v>
      </c>
      <c r="C239" s="4" t="s">
        <v>137</v>
      </c>
      <c r="D239" s="28">
        <v>4500</v>
      </c>
    </row>
    <row r="240" spans="1:4" x14ac:dyDescent="0.25">
      <c r="A240" s="25"/>
      <c r="B240" s="4" t="s">
        <v>147</v>
      </c>
      <c r="C240" s="4" t="s">
        <v>137</v>
      </c>
      <c r="D240" s="28">
        <v>6500</v>
      </c>
    </row>
    <row r="241" spans="1:4" x14ac:dyDescent="0.25">
      <c r="A241" s="25"/>
      <c r="B241" s="4" t="s">
        <v>141</v>
      </c>
      <c r="C241" s="4" t="s">
        <v>137</v>
      </c>
      <c r="D241" s="28">
        <v>4500</v>
      </c>
    </row>
    <row r="242" spans="1:4" x14ac:dyDescent="0.25">
      <c r="A242" s="25"/>
      <c r="B242" s="4" t="s">
        <v>148</v>
      </c>
      <c r="C242" s="4" t="s">
        <v>137</v>
      </c>
      <c r="D242" s="28">
        <v>6500</v>
      </c>
    </row>
    <row r="243" spans="1:4" x14ac:dyDescent="0.25">
      <c r="A243" s="25"/>
      <c r="B243" s="6" t="s">
        <v>411</v>
      </c>
      <c r="C243" s="4" t="s">
        <v>137</v>
      </c>
      <c r="D243" s="28">
        <v>9300</v>
      </c>
    </row>
    <row r="244" spans="1:4" x14ac:dyDescent="0.25">
      <c r="A244" s="25"/>
      <c r="B244" s="4" t="s">
        <v>142</v>
      </c>
      <c r="C244" s="4" t="s">
        <v>137</v>
      </c>
      <c r="D244" s="28">
        <v>4500</v>
      </c>
    </row>
    <row r="245" spans="1:4" x14ac:dyDescent="0.25">
      <c r="A245" s="25"/>
      <c r="B245" s="4" t="s">
        <v>143</v>
      </c>
      <c r="C245" s="4" t="s">
        <v>137</v>
      </c>
      <c r="D245" s="28">
        <v>4500</v>
      </c>
    </row>
    <row r="246" spans="1:4" x14ac:dyDescent="0.25">
      <c r="A246" s="25"/>
      <c r="B246" s="4" t="s">
        <v>460</v>
      </c>
      <c r="C246" s="4" t="s">
        <v>137</v>
      </c>
      <c r="D246" s="28">
        <v>16900</v>
      </c>
    </row>
    <row r="247" spans="1:4" x14ac:dyDescent="0.25">
      <c r="A247" s="25"/>
      <c r="B247" s="4" t="s">
        <v>367</v>
      </c>
      <c r="C247" s="4" t="s">
        <v>137</v>
      </c>
      <c r="D247" s="28">
        <v>16900</v>
      </c>
    </row>
    <row r="248" spans="1:4" x14ac:dyDescent="0.25">
      <c r="A248" s="25"/>
      <c r="B248" s="4" t="s">
        <v>194</v>
      </c>
      <c r="C248" s="4" t="s">
        <v>137</v>
      </c>
      <c r="D248" s="28">
        <v>10500</v>
      </c>
    </row>
    <row r="249" spans="1:4" x14ac:dyDescent="0.25">
      <c r="A249" s="25"/>
      <c r="B249" s="4" t="s">
        <v>149</v>
      </c>
      <c r="C249" s="4" t="s">
        <v>137</v>
      </c>
      <c r="D249" s="28">
        <v>10500</v>
      </c>
    </row>
    <row r="250" spans="1:4" x14ac:dyDescent="0.25">
      <c r="A250" s="25"/>
      <c r="B250" s="4" t="s">
        <v>193</v>
      </c>
      <c r="C250" s="4" t="s">
        <v>137</v>
      </c>
      <c r="D250" s="28">
        <v>10500</v>
      </c>
    </row>
    <row r="251" spans="1:4" x14ac:dyDescent="0.25">
      <c r="A251" s="25"/>
      <c r="B251" s="4" t="s">
        <v>195</v>
      </c>
      <c r="C251" s="4" t="s">
        <v>137</v>
      </c>
      <c r="D251" s="28">
        <v>10500</v>
      </c>
    </row>
    <row r="252" spans="1:4" x14ac:dyDescent="0.25">
      <c r="A252" s="25"/>
      <c r="B252" s="4" t="s">
        <v>150</v>
      </c>
      <c r="C252" s="4" t="s">
        <v>137</v>
      </c>
      <c r="D252" s="28">
        <v>10500</v>
      </c>
    </row>
    <row r="253" spans="1:4" x14ac:dyDescent="0.25">
      <c r="A253" s="25"/>
      <c r="B253" s="4" t="s">
        <v>459</v>
      </c>
      <c r="C253" s="4" t="s">
        <v>137</v>
      </c>
      <c r="D253" s="28">
        <v>10500</v>
      </c>
    </row>
    <row r="254" spans="1:4" x14ac:dyDescent="0.25">
      <c r="A254" s="25"/>
      <c r="B254" s="4" t="s">
        <v>180</v>
      </c>
      <c r="C254" s="4" t="s">
        <v>137</v>
      </c>
      <c r="D254" s="28">
        <v>10500</v>
      </c>
    </row>
    <row r="255" spans="1:4" x14ac:dyDescent="0.25">
      <c r="A255" s="25"/>
      <c r="B255" s="4" t="s">
        <v>196</v>
      </c>
      <c r="C255" s="4" t="s">
        <v>137</v>
      </c>
      <c r="D255" s="28">
        <v>10500</v>
      </c>
    </row>
    <row r="256" spans="1:4" x14ac:dyDescent="0.25">
      <c r="A256" s="25"/>
      <c r="B256" s="4" t="s">
        <v>151</v>
      </c>
      <c r="C256" s="4" t="s">
        <v>137</v>
      </c>
      <c r="D256" s="28">
        <v>10500</v>
      </c>
    </row>
    <row r="257" spans="1:4" x14ac:dyDescent="0.25">
      <c r="A257" s="25"/>
      <c r="B257" s="4" t="s">
        <v>172</v>
      </c>
      <c r="C257" s="4" t="s">
        <v>137</v>
      </c>
      <c r="D257" s="28">
        <v>10500</v>
      </c>
    </row>
    <row r="258" spans="1:4" x14ac:dyDescent="0.25">
      <c r="A258" s="25"/>
      <c r="B258" s="4" t="s">
        <v>461</v>
      </c>
      <c r="C258" s="4" t="s">
        <v>137</v>
      </c>
      <c r="D258" s="28">
        <v>10500</v>
      </c>
    </row>
    <row r="259" spans="1:4" x14ac:dyDescent="0.25">
      <c r="A259" s="25"/>
      <c r="B259" s="4" t="s">
        <v>152</v>
      </c>
      <c r="C259" s="4" t="s">
        <v>137</v>
      </c>
      <c r="D259" s="28">
        <v>10500</v>
      </c>
    </row>
    <row r="260" spans="1:4" x14ac:dyDescent="0.25">
      <c r="A260" s="25"/>
      <c r="B260" s="4" t="s">
        <v>153</v>
      </c>
      <c r="C260" s="4" t="s">
        <v>137</v>
      </c>
      <c r="D260" s="28">
        <v>12200</v>
      </c>
    </row>
    <row r="261" spans="1:4" x14ac:dyDescent="0.25">
      <c r="A261" s="25"/>
      <c r="B261" s="4" t="s">
        <v>181</v>
      </c>
      <c r="C261" s="4" t="s">
        <v>137</v>
      </c>
      <c r="D261" s="28">
        <v>10500</v>
      </c>
    </row>
    <row r="262" spans="1:4" x14ac:dyDescent="0.25">
      <c r="A262" s="25"/>
      <c r="B262" s="4" t="s">
        <v>154</v>
      </c>
      <c r="C262" s="4" t="s">
        <v>137</v>
      </c>
      <c r="D262" s="28">
        <v>10500</v>
      </c>
    </row>
    <row r="263" spans="1:4" x14ac:dyDescent="0.25">
      <c r="A263" s="25"/>
      <c r="B263" s="4" t="s">
        <v>173</v>
      </c>
      <c r="C263" s="4" t="s">
        <v>137</v>
      </c>
      <c r="D263" s="28">
        <v>10500</v>
      </c>
    </row>
    <row r="264" spans="1:4" x14ac:dyDescent="0.25">
      <c r="A264" s="25"/>
      <c r="B264" s="4" t="s">
        <v>155</v>
      </c>
      <c r="C264" s="4" t="s">
        <v>137</v>
      </c>
      <c r="D264" s="28">
        <v>10500</v>
      </c>
    </row>
    <row r="265" spans="1:4" x14ac:dyDescent="0.25">
      <c r="A265" s="25"/>
      <c r="B265" s="4" t="s">
        <v>197</v>
      </c>
      <c r="C265" s="4" t="s">
        <v>137</v>
      </c>
      <c r="D265" s="28">
        <v>10500</v>
      </c>
    </row>
    <row r="266" spans="1:4" x14ac:dyDescent="0.25">
      <c r="A266" s="25"/>
      <c r="B266" s="4" t="s">
        <v>156</v>
      </c>
      <c r="C266" s="4" t="s">
        <v>137</v>
      </c>
      <c r="D266" s="28">
        <v>10500</v>
      </c>
    </row>
    <row r="267" spans="1:4" x14ac:dyDescent="0.25">
      <c r="A267" s="25"/>
      <c r="B267" s="4" t="s">
        <v>198</v>
      </c>
      <c r="C267" s="4" t="s">
        <v>137</v>
      </c>
      <c r="D267" s="28">
        <v>10500</v>
      </c>
    </row>
    <row r="268" spans="1:4" x14ac:dyDescent="0.25">
      <c r="A268" s="25"/>
      <c r="B268" s="4" t="s">
        <v>157</v>
      </c>
      <c r="C268" s="4" t="s">
        <v>137</v>
      </c>
      <c r="D268" s="28">
        <v>10500</v>
      </c>
    </row>
    <row r="269" spans="1:4" x14ac:dyDescent="0.25">
      <c r="A269" s="25"/>
      <c r="B269" s="4" t="s">
        <v>199</v>
      </c>
      <c r="C269" s="4" t="s">
        <v>137</v>
      </c>
      <c r="D269" s="28">
        <v>10500</v>
      </c>
    </row>
    <row r="270" spans="1:4" x14ac:dyDescent="0.25">
      <c r="A270" s="25"/>
      <c r="B270" s="6" t="s">
        <v>254</v>
      </c>
      <c r="C270" s="4" t="s">
        <v>137</v>
      </c>
      <c r="D270" s="28">
        <v>16900</v>
      </c>
    </row>
    <row r="271" spans="1:4" x14ac:dyDescent="0.25">
      <c r="A271" s="25"/>
      <c r="B271" s="6" t="s">
        <v>251</v>
      </c>
      <c r="C271" s="4" t="s">
        <v>137</v>
      </c>
      <c r="D271" s="28">
        <v>8900</v>
      </c>
    </row>
    <row r="272" spans="1:4" x14ac:dyDescent="0.25">
      <c r="A272" s="25"/>
      <c r="B272" s="4" t="s">
        <v>408</v>
      </c>
      <c r="C272" s="4" t="s">
        <v>137</v>
      </c>
      <c r="D272" s="28">
        <v>16900</v>
      </c>
    </row>
    <row r="273" spans="1:4" x14ac:dyDescent="0.25">
      <c r="A273" s="25"/>
      <c r="B273" s="6" t="s">
        <v>368</v>
      </c>
      <c r="C273" s="4" t="s">
        <v>137</v>
      </c>
      <c r="D273" s="28">
        <v>16900</v>
      </c>
    </row>
    <row r="274" spans="1:4" x14ac:dyDescent="0.25">
      <c r="A274" s="25"/>
      <c r="B274" s="4" t="s">
        <v>407</v>
      </c>
      <c r="C274" s="4" t="s">
        <v>137</v>
      </c>
      <c r="D274" s="28">
        <v>13500</v>
      </c>
    </row>
    <row r="275" spans="1:4" x14ac:dyDescent="0.25">
      <c r="A275" s="25"/>
      <c r="B275" s="4" t="s">
        <v>379</v>
      </c>
      <c r="C275" s="4" t="s">
        <v>137</v>
      </c>
      <c r="D275" s="28">
        <v>16900</v>
      </c>
    </row>
    <row r="276" spans="1:4" x14ac:dyDescent="0.25">
      <c r="A276" s="25"/>
      <c r="B276" s="4" t="s">
        <v>369</v>
      </c>
      <c r="C276" s="4" t="s">
        <v>137</v>
      </c>
      <c r="D276" s="28">
        <v>16900</v>
      </c>
    </row>
    <row r="277" spans="1:4" x14ac:dyDescent="0.25">
      <c r="A277" s="25"/>
      <c r="B277" s="4" t="s">
        <v>451</v>
      </c>
      <c r="C277" s="4" t="s">
        <v>137</v>
      </c>
      <c r="D277" s="28">
        <v>16900</v>
      </c>
    </row>
    <row r="278" spans="1:4" x14ac:dyDescent="0.25">
      <c r="A278" s="23"/>
      <c r="B278" s="4" t="s">
        <v>7</v>
      </c>
      <c r="C278" s="4" t="s">
        <v>3</v>
      </c>
      <c r="D278" s="28">
        <v>25100</v>
      </c>
    </row>
    <row r="279" spans="1:4" x14ac:dyDescent="0.25">
      <c r="A279" s="25"/>
      <c r="B279" s="4" t="s">
        <v>19</v>
      </c>
      <c r="C279" s="4" t="s">
        <v>3</v>
      </c>
      <c r="D279" s="28">
        <v>22100</v>
      </c>
    </row>
    <row r="280" spans="1:4" x14ac:dyDescent="0.25">
      <c r="A280" s="25"/>
      <c r="B280" s="4" t="s">
        <v>6</v>
      </c>
      <c r="C280" s="4" t="s">
        <v>3</v>
      </c>
      <c r="D280" s="28">
        <v>19900</v>
      </c>
    </row>
    <row r="281" spans="1:4" x14ac:dyDescent="0.25">
      <c r="A281" s="25"/>
      <c r="B281" s="4" t="s">
        <v>191</v>
      </c>
      <c r="C281" s="4" t="s">
        <v>3</v>
      </c>
      <c r="D281" s="28">
        <v>19000</v>
      </c>
    </row>
    <row r="282" spans="1:4" x14ac:dyDescent="0.25">
      <c r="A282" s="25"/>
      <c r="B282" s="4" t="s">
        <v>102</v>
      </c>
      <c r="C282" s="4" t="s">
        <v>3</v>
      </c>
      <c r="D282" s="28">
        <v>13800</v>
      </c>
    </row>
    <row r="283" spans="1:4" x14ac:dyDescent="0.25">
      <c r="A283" s="25"/>
      <c r="B283" s="4" t="s">
        <v>200</v>
      </c>
      <c r="C283" s="4" t="s">
        <v>3</v>
      </c>
      <c r="D283" s="28">
        <v>42800</v>
      </c>
    </row>
    <row r="284" spans="1:4" x14ac:dyDescent="0.25">
      <c r="A284" s="25"/>
      <c r="B284" s="4" t="s">
        <v>201</v>
      </c>
      <c r="C284" s="4" t="s">
        <v>3</v>
      </c>
      <c r="D284" s="28">
        <v>67700</v>
      </c>
    </row>
    <row r="285" spans="1:4" x14ac:dyDescent="0.25">
      <c r="A285" s="25"/>
      <c r="B285" s="4" t="s">
        <v>202</v>
      </c>
      <c r="C285" s="4" t="s">
        <v>3</v>
      </c>
      <c r="D285" s="28">
        <v>62200</v>
      </c>
    </row>
    <row r="286" spans="1:4" x14ac:dyDescent="0.25">
      <c r="A286" s="25"/>
      <c r="B286" s="4" t="s">
        <v>226</v>
      </c>
      <c r="C286" s="4" t="s">
        <v>3</v>
      </c>
      <c r="D286" s="28">
        <v>24200</v>
      </c>
    </row>
    <row r="287" spans="1:4" x14ac:dyDescent="0.25">
      <c r="A287" s="25"/>
      <c r="B287" s="4" t="s">
        <v>185</v>
      </c>
      <c r="C287" s="4" t="s">
        <v>3</v>
      </c>
      <c r="D287" s="28">
        <v>23400</v>
      </c>
    </row>
    <row r="288" spans="1:4" x14ac:dyDescent="0.25">
      <c r="A288" s="25"/>
      <c r="B288" s="4" t="s">
        <v>558</v>
      </c>
      <c r="C288" s="4" t="s">
        <v>3</v>
      </c>
      <c r="D288" s="28">
        <v>23400</v>
      </c>
    </row>
    <row r="289" spans="1:4" x14ac:dyDescent="0.25">
      <c r="A289" s="25"/>
      <c r="B289" s="4" t="s">
        <v>515</v>
      </c>
      <c r="C289" s="4" t="s">
        <v>3</v>
      </c>
      <c r="D289" s="28">
        <v>23400</v>
      </c>
    </row>
    <row r="290" spans="1:4" x14ac:dyDescent="0.25">
      <c r="A290" s="25"/>
      <c r="B290" s="4" t="s">
        <v>4</v>
      </c>
      <c r="C290" s="4" t="s">
        <v>3</v>
      </c>
      <c r="D290" s="28">
        <v>26000</v>
      </c>
    </row>
    <row r="291" spans="1:4" x14ac:dyDescent="0.25">
      <c r="A291" s="25"/>
      <c r="B291" s="4" t="s">
        <v>23</v>
      </c>
      <c r="C291" s="4" t="s">
        <v>3</v>
      </c>
      <c r="D291" s="28">
        <v>29000</v>
      </c>
    </row>
    <row r="292" spans="1:4" x14ac:dyDescent="0.25">
      <c r="A292" s="25"/>
      <c r="B292" s="4" t="s">
        <v>21</v>
      </c>
      <c r="C292" s="4" t="s">
        <v>3</v>
      </c>
      <c r="D292" s="28">
        <v>29000</v>
      </c>
    </row>
    <row r="293" spans="1:4" x14ac:dyDescent="0.25">
      <c r="A293" s="25"/>
      <c r="B293" s="4" t="s">
        <v>18</v>
      </c>
      <c r="C293" s="4" t="s">
        <v>3</v>
      </c>
      <c r="D293" s="28">
        <v>22900</v>
      </c>
    </row>
    <row r="294" spans="1:4" x14ac:dyDescent="0.25">
      <c r="A294" s="25"/>
      <c r="B294" s="4" t="s">
        <v>163</v>
      </c>
      <c r="C294" s="4" t="s">
        <v>3</v>
      </c>
      <c r="D294" s="28">
        <v>22900</v>
      </c>
    </row>
    <row r="295" spans="1:4" x14ac:dyDescent="0.25">
      <c r="A295" s="25"/>
      <c r="B295" s="4" t="s">
        <v>377</v>
      </c>
      <c r="C295" s="4" t="s">
        <v>376</v>
      </c>
      <c r="D295" s="28">
        <v>12000</v>
      </c>
    </row>
    <row r="296" spans="1:4" x14ac:dyDescent="0.25">
      <c r="A296" s="25"/>
      <c r="B296" s="4" t="s">
        <v>371</v>
      </c>
      <c r="C296" s="4" t="s">
        <v>376</v>
      </c>
      <c r="D296" s="28">
        <v>23800</v>
      </c>
    </row>
    <row r="297" spans="1:4" x14ac:dyDescent="0.25">
      <c r="A297" s="25"/>
      <c r="B297" s="4" t="s">
        <v>372</v>
      </c>
      <c r="C297" s="4" t="s">
        <v>376</v>
      </c>
      <c r="D297" s="28">
        <v>23800</v>
      </c>
    </row>
    <row r="298" spans="1:4" x14ac:dyDescent="0.25">
      <c r="A298" s="25"/>
      <c r="B298" s="4" t="s">
        <v>387</v>
      </c>
      <c r="C298" s="4" t="s">
        <v>376</v>
      </c>
      <c r="D298" s="28">
        <v>16500</v>
      </c>
    </row>
    <row r="299" spans="1:4" x14ac:dyDescent="0.25">
      <c r="A299" s="25"/>
      <c r="B299" s="4" t="s">
        <v>388</v>
      </c>
      <c r="C299" s="4" t="s">
        <v>376</v>
      </c>
      <c r="D299" s="28">
        <v>16500</v>
      </c>
    </row>
    <row r="300" spans="1:4" x14ac:dyDescent="0.25">
      <c r="A300" s="25"/>
      <c r="B300" s="4" t="s">
        <v>506</v>
      </c>
      <c r="C300" s="4" t="s">
        <v>103</v>
      </c>
      <c r="D300" s="28">
        <v>54200</v>
      </c>
    </row>
    <row r="301" spans="1:4" x14ac:dyDescent="0.25">
      <c r="A301" s="25"/>
      <c r="B301" s="4" t="s">
        <v>390</v>
      </c>
      <c r="C301" s="4" t="s">
        <v>103</v>
      </c>
      <c r="D301" s="28">
        <v>27300</v>
      </c>
    </row>
    <row r="302" spans="1:4" x14ac:dyDescent="0.25">
      <c r="A302" s="25"/>
      <c r="B302" s="4" t="s">
        <v>509</v>
      </c>
      <c r="C302" s="4" t="s">
        <v>103</v>
      </c>
      <c r="D302" s="28">
        <v>44000</v>
      </c>
    </row>
    <row r="303" spans="1:4" x14ac:dyDescent="0.25">
      <c r="A303" s="25"/>
      <c r="B303" s="4" t="s">
        <v>507</v>
      </c>
      <c r="C303" s="4" t="s">
        <v>103</v>
      </c>
      <c r="D303" s="28">
        <v>67700</v>
      </c>
    </row>
    <row r="304" spans="1:4" x14ac:dyDescent="0.25">
      <c r="A304" s="25"/>
      <c r="B304" s="4" t="s">
        <v>391</v>
      </c>
      <c r="C304" s="4" t="s">
        <v>103</v>
      </c>
      <c r="D304" s="28">
        <v>27000</v>
      </c>
    </row>
    <row r="305" spans="1:4" x14ac:dyDescent="0.25">
      <c r="A305" s="25"/>
      <c r="B305" s="4" t="s">
        <v>392</v>
      </c>
      <c r="C305" s="4" t="s">
        <v>103</v>
      </c>
      <c r="D305" s="28">
        <v>18000</v>
      </c>
    </row>
    <row r="306" spans="1:4" x14ac:dyDescent="0.25">
      <c r="A306" s="25"/>
      <c r="B306" s="4" t="s">
        <v>393</v>
      </c>
      <c r="C306" s="4" t="s">
        <v>103</v>
      </c>
      <c r="D306" s="28">
        <v>27000</v>
      </c>
    </row>
    <row r="307" spans="1:4" x14ac:dyDescent="0.25">
      <c r="A307" s="25"/>
      <c r="B307" s="4" t="s">
        <v>394</v>
      </c>
      <c r="C307" s="4" t="s">
        <v>103</v>
      </c>
      <c r="D307" s="28">
        <v>16700</v>
      </c>
    </row>
    <row r="308" spans="1:4" x14ac:dyDescent="0.25">
      <c r="A308" s="25"/>
      <c r="B308" s="6" t="s">
        <v>108</v>
      </c>
      <c r="C308" s="4" t="s">
        <v>103</v>
      </c>
      <c r="D308" s="28">
        <v>21100</v>
      </c>
    </row>
    <row r="309" spans="1:4" x14ac:dyDescent="0.25">
      <c r="A309" s="25"/>
      <c r="B309" s="4" t="s">
        <v>510</v>
      </c>
      <c r="C309" s="4" t="s">
        <v>103</v>
      </c>
      <c r="D309" s="28">
        <v>88000</v>
      </c>
    </row>
    <row r="310" spans="1:4" x14ac:dyDescent="0.25">
      <c r="A310" s="25"/>
      <c r="B310" s="4" t="s">
        <v>511</v>
      </c>
      <c r="C310" s="4" t="s">
        <v>103</v>
      </c>
      <c r="D310" s="28">
        <v>135400</v>
      </c>
    </row>
    <row r="311" spans="1:4" x14ac:dyDescent="0.25">
      <c r="A311" s="25"/>
      <c r="B311" s="4" t="s">
        <v>512</v>
      </c>
      <c r="C311" s="4" t="s">
        <v>103</v>
      </c>
      <c r="D311" s="28">
        <v>47400</v>
      </c>
    </row>
    <row r="312" spans="1:4" x14ac:dyDescent="0.25">
      <c r="A312" s="25"/>
      <c r="B312" s="4" t="s">
        <v>508</v>
      </c>
      <c r="C312" s="4" t="s">
        <v>103</v>
      </c>
      <c r="D312" s="28">
        <v>54200</v>
      </c>
    </row>
    <row r="313" spans="1:4" x14ac:dyDescent="0.25">
      <c r="A313" s="25"/>
      <c r="B313" s="4" t="s">
        <v>395</v>
      </c>
      <c r="C313" s="4" t="s">
        <v>103</v>
      </c>
      <c r="D313" s="28">
        <v>24700</v>
      </c>
    </row>
    <row r="314" spans="1:4" x14ac:dyDescent="0.25">
      <c r="A314" s="25"/>
      <c r="B314" s="4" t="s">
        <v>396</v>
      </c>
      <c r="C314" s="4" t="s">
        <v>103</v>
      </c>
      <c r="D314" s="28">
        <v>16500</v>
      </c>
    </row>
    <row r="315" spans="1:4" x14ac:dyDescent="0.25">
      <c r="A315" s="25"/>
      <c r="B315" s="4" t="s">
        <v>397</v>
      </c>
      <c r="C315" s="4" t="s">
        <v>103</v>
      </c>
      <c r="D315" s="28">
        <v>27000</v>
      </c>
    </row>
    <row r="316" spans="1:4" x14ac:dyDescent="0.25">
      <c r="A316" s="25"/>
      <c r="B316" s="4" t="s">
        <v>398</v>
      </c>
      <c r="C316" s="4" t="s">
        <v>103</v>
      </c>
      <c r="D316" s="28">
        <v>17300</v>
      </c>
    </row>
    <row r="317" spans="1:4" x14ac:dyDescent="0.25">
      <c r="A317" s="25"/>
      <c r="B317" s="4" t="s">
        <v>536</v>
      </c>
      <c r="C317" s="4" t="s">
        <v>529</v>
      </c>
      <c r="D317" s="28">
        <v>8500</v>
      </c>
    </row>
    <row r="318" spans="1:4" x14ac:dyDescent="0.25">
      <c r="A318" s="25"/>
      <c r="B318" s="4" t="s">
        <v>526</v>
      </c>
      <c r="C318" s="4" t="s">
        <v>529</v>
      </c>
      <c r="D318" s="28">
        <v>5500</v>
      </c>
    </row>
    <row r="319" spans="1:4" x14ac:dyDescent="0.25">
      <c r="A319" s="25"/>
      <c r="B319" s="4" t="s">
        <v>527</v>
      </c>
      <c r="C319" s="4" t="s">
        <v>529</v>
      </c>
      <c r="D319" s="28">
        <v>5500</v>
      </c>
    </row>
    <row r="320" spans="1:4" x14ac:dyDescent="0.25">
      <c r="A320" s="25"/>
      <c r="B320" s="4" t="s">
        <v>528</v>
      </c>
      <c r="C320" s="4" t="s">
        <v>529</v>
      </c>
      <c r="D320" s="28">
        <v>6500</v>
      </c>
    </row>
    <row r="321" spans="1:4" x14ac:dyDescent="0.25">
      <c r="A321" s="25"/>
      <c r="B321" s="4" t="s">
        <v>530</v>
      </c>
      <c r="C321" s="4" t="s">
        <v>529</v>
      </c>
      <c r="D321" s="28">
        <v>37200</v>
      </c>
    </row>
    <row r="322" spans="1:4" x14ac:dyDescent="0.25">
      <c r="A322" s="25"/>
      <c r="B322" s="4" t="s">
        <v>537</v>
      </c>
      <c r="C322" s="4" t="s">
        <v>529</v>
      </c>
      <c r="D322" s="28">
        <v>10900</v>
      </c>
    </row>
    <row r="323" spans="1:4" x14ac:dyDescent="0.25">
      <c r="A323" s="25"/>
      <c r="B323" s="4" t="s">
        <v>531</v>
      </c>
      <c r="C323" s="4" t="s">
        <v>529</v>
      </c>
      <c r="D323" s="28">
        <v>14400</v>
      </c>
    </row>
    <row r="324" spans="1:4" x14ac:dyDescent="0.25">
      <c r="A324" s="25"/>
      <c r="B324" s="4" t="s">
        <v>532</v>
      </c>
      <c r="C324" s="4" t="s">
        <v>529</v>
      </c>
      <c r="D324" s="28">
        <v>11500</v>
      </c>
    </row>
    <row r="325" spans="1:4" x14ac:dyDescent="0.25">
      <c r="A325" s="25"/>
      <c r="B325" s="4" t="s">
        <v>533</v>
      </c>
      <c r="C325" s="4" t="s">
        <v>529</v>
      </c>
      <c r="D325" s="28">
        <v>21000</v>
      </c>
    </row>
    <row r="326" spans="1:4" x14ac:dyDescent="0.25">
      <c r="A326" s="25"/>
      <c r="B326" s="4" t="s">
        <v>534</v>
      </c>
      <c r="C326" s="4" t="s">
        <v>529</v>
      </c>
      <c r="D326" s="28">
        <v>106400</v>
      </c>
    </row>
    <row r="327" spans="1:4" x14ac:dyDescent="0.25">
      <c r="A327" s="25"/>
      <c r="B327" s="6" t="s">
        <v>436</v>
      </c>
      <c r="C327" s="4" t="s">
        <v>433</v>
      </c>
      <c r="D327" s="28">
        <v>11200</v>
      </c>
    </row>
    <row r="328" spans="1:4" x14ac:dyDescent="0.25">
      <c r="A328" s="25"/>
      <c r="B328" s="6" t="s">
        <v>442</v>
      </c>
      <c r="C328" s="4" t="s">
        <v>433</v>
      </c>
      <c r="D328" s="28">
        <v>11700</v>
      </c>
    </row>
    <row r="329" spans="1:4" x14ac:dyDescent="0.25">
      <c r="A329" s="25"/>
      <c r="B329" s="6" t="s">
        <v>434</v>
      </c>
      <c r="C329" s="4" t="s">
        <v>433</v>
      </c>
      <c r="D329" s="28">
        <v>14600</v>
      </c>
    </row>
    <row r="330" spans="1:4" x14ac:dyDescent="0.25">
      <c r="A330" s="25"/>
      <c r="B330" s="6" t="s">
        <v>447</v>
      </c>
      <c r="C330" s="4" t="s">
        <v>433</v>
      </c>
      <c r="D330" s="28">
        <v>14600</v>
      </c>
    </row>
    <row r="331" spans="1:4" x14ac:dyDescent="0.25">
      <c r="A331" s="25"/>
      <c r="B331" s="6" t="s">
        <v>448</v>
      </c>
      <c r="C331" s="4" t="s">
        <v>433</v>
      </c>
      <c r="D331" s="28">
        <v>14600</v>
      </c>
    </row>
    <row r="332" spans="1:4" x14ac:dyDescent="0.25">
      <c r="A332" s="25"/>
      <c r="B332" s="6" t="s">
        <v>437</v>
      </c>
      <c r="C332" s="4" t="s">
        <v>433</v>
      </c>
      <c r="D332" s="28">
        <v>14600</v>
      </c>
    </row>
    <row r="333" spans="1:4" x14ac:dyDescent="0.25">
      <c r="A333" s="25"/>
      <c r="B333" s="6" t="s">
        <v>435</v>
      </c>
      <c r="C333" s="4" t="s">
        <v>433</v>
      </c>
      <c r="D333" s="28">
        <v>14600</v>
      </c>
    </row>
    <row r="334" spans="1:4" x14ac:dyDescent="0.25">
      <c r="A334" s="25"/>
      <c r="B334" s="4" t="s">
        <v>249</v>
      </c>
      <c r="C334" s="4" t="s">
        <v>22</v>
      </c>
      <c r="D334" s="28">
        <v>7200</v>
      </c>
    </row>
    <row r="335" spans="1:4" x14ac:dyDescent="0.25">
      <c r="A335" s="25"/>
      <c r="B335" s="4" t="s">
        <v>250</v>
      </c>
      <c r="C335" s="4" t="s">
        <v>22</v>
      </c>
      <c r="D335" s="28">
        <v>7200</v>
      </c>
    </row>
    <row r="336" spans="1:4" x14ac:dyDescent="0.25">
      <c r="A336" s="25"/>
      <c r="B336" s="4" t="s">
        <v>248</v>
      </c>
      <c r="C336" s="4" t="s">
        <v>22</v>
      </c>
      <c r="D336" s="28">
        <v>16500</v>
      </c>
    </row>
    <row r="337" spans="1:4" x14ac:dyDescent="0.25">
      <c r="A337" s="25"/>
      <c r="B337" s="4" t="s">
        <v>399</v>
      </c>
      <c r="C337" s="4" t="s">
        <v>22</v>
      </c>
      <c r="D337" s="28">
        <v>14300</v>
      </c>
    </row>
    <row r="338" spans="1:4" x14ac:dyDescent="0.25">
      <c r="A338" s="25"/>
      <c r="B338" s="4" t="s">
        <v>124</v>
      </c>
      <c r="C338" s="4" t="s">
        <v>22</v>
      </c>
      <c r="D338" s="28">
        <v>34100</v>
      </c>
    </row>
    <row r="339" spans="1:4" x14ac:dyDescent="0.25">
      <c r="A339" s="25"/>
      <c r="B339" s="6" t="s">
        <v>158</v>
      </c>
      <c r="C339" s="4" t="s">
        <v>22</v>
      </c>
      <c r="D339" s="28">
        <v>25500</v>
      </c>
    </row>
    <row r="340" spans="1:4" x14ac:dyDescent="0.25">
      <c r="A340" s="25"/>
      <c r="B340" s="4" t="s">
        <v>416</v>
      </c>
      <c r="C340" s="4" t="s">
        <v>22</v>
      </c>
      <c r="D340" s="28">
        <v>21200</v>
      </c>
    </row>
    <row r="341" spans="1:4" x14ac:dyDescent="0.25">
      <c r="A341" s="25"/>
      <c r="B341" s="4" t="s">
        <v>216</v>
      </c>
      <c r="C341" s="4" t="s">
        <v>22</v>
      </c>
      <c r="D341" s="28">
        <v>130000</v>
      </c>
    </row>
    <row r="342" spans="1:4" x14ac:dyDescent="0.25">
      <c r="A342" s="25"/>
      <c r="B342" s="4" t="s">
        <v>215</v>
      </c>
      <c r="C342" s="4" t="s">
        <v>22</v>
      </c>
      <c r="D342" s="28">
        <v>1500</v>
      </c>
    </row>
    <row r="343" spans="1:4" x14ac:dyDescent="0.25">
      <c r="A343" s="25"/>
      <c r="B343" s="4" t="s">
        <v>214</v>
      </c>
      <c r="C343" s="4" t="s">
        <v>22</v>
      </c>
      <c r="D343" s="28">
        <v>17400</v>
      </c>
    </row>
    <row r="344" spans="1:4" x14ac:dyDescent="0.25">
      <c r="A344" s="25"/>
      <c r="B344" s="4" t="s">
        <v>414</v>
      </c>
      <c r="C344" s="4" t="s">
        <v>22</v>
      </c>
      <c r="D344" s="28">
        <v>26400</v>
      </c>
    </row>
    <row r="345" spans="1:4" x14ac:dyDescent="0.25">
      <c r="A345" s="25"/>
      <c r="B345" s="4" t="s">
        <v>415</v>
      </c>
      <c r="C345" s="4" t="s">
        <v>22</v>
      </c>
      <c r="D345" s="28">
        <v>26400</v>
      </c>
    </row>
    <row r="346" spans="1:4" x14ac:dyDescent="0.25">
      <c r="A346" s="25"/>
      <c r="B346" s="4" t="s">
        <v>217</v>
      </c>
      <c r="C346" s="4" t="s">
        <v>22</v>
      </c>
      <c r="D346" s="28">
        <v>170000</v>
      </c>
    </row>
    <row r="347" spans="1:4" x14ac:dyDescent="0.25">
      <c r="A347" s="25"/>
      <c r="B347" s="4" t="s">
        <v>284</v>
      </c>
      <c r="C347" s="4" t="s">
        <v>22</v>
      </c>
      <c r="D347" s="28">
        <v>21800</v>
      </c>
    </row>
    <row r="348" spans="1:4" x14ac:dyDescent="0.25">
      <c r="A348" s="25"/>
      <c r="B348" s="4" t="s">
        <v>175</v>
      </c>
      <c r="C348" s="4" t="s">
        <v>22</v>
      </c>
      <c r="D348" s="28">
        <v>1900</v>
      </c>
    </row>
    <row r="349" spans="1:4" x14ac:dyDescent="0.25">
      <c r="A349" s="25"/>
      <c r="B349" s="4" t="s">
        <v>374</v>
      </c>
      <c r="C349" s="4" t="s">
        <v>22</v>
      </c>
      <c r="D349" s="28">
        <v>19500</v>
      </c>
    </row>
    <row r="350" spans="1:4" x14ac:dyDescent="0.25">
      <c r="A350" s="25"/>
      <c r="B350" s="4" t="s">
        <v>125</v>
      </c>
      <c r="C350" s="4" t="s">
        <v>22</v>
      </c>
      <c r="D350" s="28">
        <v>27900</v>
      </c>
    </row>
    <row r="351" spans="1:4" x14ac:dyDescent="0.25">
      <c r="A351" s="25"/>
      <c r="B351" s="6" t="s">
        <v>126</v>
      </c>
      <c r="C351" s="4" t="s">
        <v>22</v>
      </c>
      <c r="D351" s="28">
        <v>27900</v>
      </c>
    </row>
    <row r="352" spans="1:4" x14ac:dyDescent="0.25">
      <c r="A352" s="25"/>
      <c r="B352" s="6" t="s">
        <v>438</v>
      </c>
      <c r="C352" s="4" t="s">
        <v>22</v>
      </c>
      <c r="D352" s="28">
        <v>31900</v>
      </c>
    </row>
    <row r="353" spans="1:4" x14ac:dyDescent="0.25">
      <c r="A353" s="25"/>
      <c r="B353" s="6" t="s">
        <v>417</v>
      </c>
      <c r="C353" s="4" t="s">
        <v>22</v>
      </c>
      <c r="D353" s="28">
        <v>45600</v>
      </c>
    </row>
    <row r="354" spans="1:4" x14ac:dyDescent="0.25">
      <c r="A354" s="25"/>
      <c r="B354" s="4" t="s">
        <v>320</v>
      </c>
      <c r="C354" s="4" t="s">
        <v>308</v>
      </c>
      <c r="D354" s="28">
        <v>1500</v>
      </c>
    </row>
    <row r="355" spans="1:4" x14ac:dyDescent="0.25">
      <c r="A355" s="25"/>
      <c r="B355" s="6" t="s">
        <v>324</v>
      </c>
      <c r="C355" s="4" t="s">
        <v>308</v>
      </c>
      <c r="D355" s="28">
        <v>8300</v>
      </c>
    </row>
    <row r="356" spans="1:4" x14ac:dyDescent="0.25">
      <c r="A356" s="25"/>
      <c r="B356" s="4" t="s">
        <v>321</v>
      </c>
      <c r="C356" s="4" t="s">
        <v>308</v>
      </c>
      <c r="D356" s="28">
        <v>4900</v>
      </c>
    </row>
    <row r="357" spans="1:4" x14ac:dyDescent="0.25">
      <c r="A357" s="25"/>
      <c r="B357" s="4" t="s">
        <v>319</v>
      </c>
      <c r="C357" s="4" t="s">
        <v>308</v>
      </c>
      <c r="D357" s="28">
        <v>2400</v>
      </c>
    </row>
    <row r="358" spans="1:4" x14ac:dyDescent="0.25">
      <c r="A358" s="25"/>
      <c r="B358" s="6" t="s">
        <v>322</v>
      </c>
      <c r="C358" s="4" t="s">
        <v>308</v>
      </c>
      <c r="D358" s="28">
        <v>3900</v>
      </c>
    </row>
    <row r="359" spans="1:4" x14ac:dyDescent="0.25">
      <c r="A359" s="25"/>
      <c r="B359" s="4" t="s">
        <v>373</v>
      </c>
      <c r="C359" s="4" t="s">
        <v>308</v>
      </c>
      <c r="D359" s="28">
        <v>7300</v>
      </c>
    </row>
    <row r="360" spans="1:4" x14ac:dyDescent="0.25">
      <c r="A360" s="25"/>
      <c r="B360" s="4" t="s">
        <v>318</v>
      </c>
      <c r="C360" s="4" t="s">
        <v>308</v>
      </c>
      <c r="D360" s="28">
        <v>5900</v>
      </c>
    </row>
    <row r="361" spans="1:4" x14ac:dyDescent="0.25">
      <c r="A361" s="25"/>
      <c r="B361" s="4" t="s">
        <v>316</v>
      </c>
      <c r="C361" s="4" t="s">
        <v>308</v>
      </c>
      <c r="D361" s="28">
        <v>4300</v>
      </c>
    </row>
    <row r="362" spans="1:4" x14ac:dyDescent="0.25">
      <c r="A362" s="25"/>
      <c r="B362" s="4" t="s">
        <v>315</v>
      </c>
      <c r="C362" s="4" t="s">
        <v>308</v>
      </c>
      <c r="D362" s="28">
        <v>4100</v>
      </c>
    </row>
    <row r="363" spans="1:4" x14ac:dyDescent="0.25">
      <c r="A363" s="25"/>
      <c r="B363" s="4" t="s">
        <v>323</v>
      </c>
      <c r="C363" s="4" t="s">
        <v>308</v>
      </c>
      <c r="D363" s="28">
        <v>3300</v>
      </c>
    </row>
    <row r="364" spans="1:4" x14ac:dyDescent="0.25">
      <c r="A364" s="23"/>
      <c r="B364" s="4" t="s">
        <v>317</v>
      </c>
      <c r="C364" s="4" t="s">
        <v>308</v>
      </c>
      <c r="D364" s="28">
        <v>24000</v>
      </c>
    </row>
    <row r="365" spans="1:4" x14ac:dyDescent="0.25">
      <c r="A365" s="25"/>
      <c r="B365" s="4" t="s">
        <v>314</v>
      </c>
      <c r="C365" s="4" t="s">
        <v>308</v>
      </c>
      <c r="D365" s="28">
        <v>2400</v>
      </c>
    </row>
    <row r="366" spans="1:4" x14ac:dyDescent="0.25">
      <c r="A366" s="25"/>
      <c r="B366" s="4" t="s">
        <v>313</v>
      </c>
      <c r="C366" s="4" t="s">
        <v>308</v>
      </c>
      <c r="D366" s="28">
        <v>1500</v>
      </c>
    </row>
    <row r="367" spans="1:4" x14ac:dyDescent="0.25">
      <c r="A367" s="25"/>
      <c r="B367" s="4" t="s">
        <v>325</v>
      </c>
      <c r="C367" s="4" t="s">
        <v>308</v>
      </c>
      <c r="D367" s="28">
        <v>2000</v>
      </c>
    </row>
    <row r="368" spans="1:4" x14ac:dyDescent="0.25">
      <c r="A368" s="25"/>
      <c r="B368" s="6" t="s">
        <v>309</v>
      </c>
      <c r="C368" s="4" t="s">
        <v>308</v>
      </c>
      <c r="D368" s="28">
        <v>15000</v>
      </c>
    </row>
    <row r="369" spans="1:4" x14ac:dyDescent="0.25">
      <c r="A369" s="25"/>
      <c r="B369" s="6" t="s">
        <v>310</v>
      </c>
      <c r="C369" s="4" t="s">
        <v>308</v>
      </c>
      <c r="D369" s="28">
        <v>15000</v>
      </c>
    </row>
    <row r="370" spans="1:4" x14ac:dyDescent="0.25">
      <c r="A370" s="25"/>
      <c r="B370" s="6" t="s">
        <v>311</v>
      </c>
      <c r="C370" s="4" t="s">
        <v>308</v>
      </c>
      <c r="D370" s="28">
        <v>15300</v>
      </c>
    </row>
    <row r="371" spans="1:4" x14ac:dyDescent="0.25">
      <c r="A371" s="25"/>
      <c r="B371" s="6" t="s">
        <v>312</v>
      </c>
      <c r="C371" s="4" t="s">
        <v>308</v>
      </c>
      <c r="D371" s="28">
        <v>12100</v>
      </c>
    </row>
    <row r="372" spans="1:4" x14ac:dyDescent="0.25">
      <c r="A372" s="23"/>
      <c r="B372" s="4" t="s">
        <v>286</v>
      </c>
      <c r="C372" s="4" t="s">
        <v>29</v>
      </c>
      <c r="D372" s="28">
        <v>20500</v>
      </c>
    </row>
    <row r="373" spans="1:4" x14ac:dyDescent="0.25">
      <c r="A373" s="25"/>
      <c r="B373" s="4" t="s">
        <v>30</v>
      </c>
      <c r="C373" s="4" t="s">
        <v>29</v>
      </c>
      <c r="D373" s="28">
        <v>20500</v>
      </c>
    </row>
    <row r="374" spans="1:4" x14ac:dyDescent="0.25">
      <c r="A374" s="25"/>
      <c r="B374" s="4" t="s">
        <v>161</v>
      </c>
      <c r="C374" s="4" t="s">
        <v>29</v>
      </c>
      <c r="D374" s="28">
        <v>24100</v>
      </c>
    </row>
    <row r="375" spans="1:4" x14ac:dyDescent="0.25">
      <c r="A375" s="25"/>
      <c r="B375" s="4" t="s">
        <v>243</v>
      </c>
      <c r="C375" s="4" t="s">
        <v>29</v>
      </c>
      <c r="D375" s="28">
        <v>15000</v>
      </c>
    </row>
    <row r="376" spans="1:4" x14ac:dyDescent="0.25">
      <c r="A376" s="25"/>
      <c r="B376" s="4" t="s">
        <v>203</v>
      </c>
      <c r="C376" s="4" t="s">
        <v>29</v>
      </c>
      <c r="D376" s="28">
        <v>20200</v>
      </c>
    </row>
    <row r="377" spans="1:4" x14ac:dyDescent="0.25">
      <c r="A377" s="25"/>
      <c r="B377" s="4" t="s">
        <v>204</v>
      </c>
      <c r="C377" s="4" t="s">
        <v>29</v>
      </c>
      <c r="D377" s="28">
        <v>25000</v>
      </c>
    </row>
    <row r="378" spans="1:4" x14ac:dyDescent="0.25">
      <c r="A378" s="25"/>
      <c r="B378" s="4" t="s">
        <v>34</v>
      </c>
      <c r="C378" s="4" t="s">
        <v>29</v>
      </c>
      <c r="D378" s="28">
        <v>11500</v>
      </c>
    </row>
    <row r="379" spans="1:4" x14ac:dyDescent="0.25">
      <c r="A379" s="25"/>
      <c r="B379" s="4" t="s">
        <v>205</v>
      </c>
      <c r="C379" s="4" t="s">
        <v>29</v>
      </c>
      <c r="D379" s="28">
        <v>11500</v>
      </c>
    </row>
    <row r="380" spans="1:4" x14ac:dyDescent="0.25">
      <c r="A380" s="25"/>
      <c r="B380" s="4" t="s">
        <v>206</v>
      </c>
      <c r="C380" s="4" t="s">
        <v>29</v>
      </c>
      <c r="D380" s="28">
        <v>11500</v>
      </c>
    </row>
    <row r="381" spans="1:4" x14ac:dyDescent="0.25">
      <c r="A381" s="25"/>
      <c r="B381" s="4" t="s">
        <v>207</v>
      </c>
      <c r="C381" s="4" t="s">
        <v>29</v>
      </c>
      <c r="D381" s="28">
        <v>10700</v>
      </c>
    </row>
    <row r="382" spans="1:4" x14ac:dyDescent="0.25">
      <c r="A382" s="25"/>
      <c r="B382" s="4" t="s">
        <v>112</v>
      </c>
      <c r="C382" s="4" t="s">
        <v>29</v>
      </c>
      <c r="D382" s="28">
        <v>14400</v>
      </c>
    </row>
    <row r="383" spans="1:4" x14ac:dyDescent="0.25">
      <c r="A383" s="25"/>
      <c r="B383" s="4" t="s">
        <v>99</v>
      </c>
      <c r="C383" s="4" t="s">
        <v>29</v>
      </c>
      <c r="D383" s="28">
        <v>7500</v>
      </c>
    </row>
    <row r="384" spans="1:4" x14ac:dyDescent="0.25">
      <c r="A384" s="25"/>
      <c r="B384" s="4" t="s">
        <v>32</v>
      </c>
      <c r="C384" s="4" t="s">
        <v>29</v>
      </c>
      <c r="D384" s="28">
        <v>10700</v>
      </c>
    </row>
    <row r="385" spans="1:4" x14ac:dyDescent="0.25">
      <c r="A385" s="25"/>
      <c r="B385" s="4" t="s">
        <v>100</v>
      </c>
      <c r="C385" s="4" t="s">
        <v>29</v>
      </c>
      <c r="D385" s="28">
        <v>10300</v>
      </c>
    </row>
    <row r="386" spans="1:4" x14ac:dyDescent="0.25">
      <c r="A386" s="25"/>
      <c r="B386" s="4" t="s">
        <v>230</v>
      </c>
      <c r="C386" s="4" t="s">
        <v>29</v>
      </c>
      <c r="D386" s="28">
        <v>11900</v>
      </c>
    </row>
    <row r="387" spans="1:4" x14ac:dyDescent="0.25">
      <c r="A387" s="25"/>
      <c r="B387" s="4" t="s">
        <v>260</v>
      </c>
      <c r="C387" s="4" t="s">
        <v>29</v>
      </c>
      <c r="D387" s="28">
        <v>7700</v>
      </c>
    </row>
    <row r="388" spans="1:4" x14ac:dyDescent="0.25">
      <c r="A388" s="25"/>
      <c r="B388" s="4" t="s">
        <v>231</v>
      </c>
      <c r="C388" s="4" t="s">
        <v>29</v>
      </c>
      <c r="D388" s="28">
        <v>11500</v>
      </c>
    </row>
    <row r="389" spans="1:4" x14ac:dyDescent="0.25">
      <c r="A389" s="25"/>
      <c r="B389" s="4" t="s">
        <v>35</v>
      </c>
      <c r="C389" s="4" t="s">
        <v>29</v>
      </c>
      <c r="D389" s="28">
        <v>7700</v>
      </c>
    </row>
    <row r="390" spans="1:4" x14ac:dyDescent="0.25">
      <c r="A390" s="25"/>
      <c r="B390" s="4" t="s">
        <v>33</v>
      </c>
      <c r="C390" s="4" t="s">
        <v>29</v>
      </c>
      <c r="D390" s="28">
        <v>10700</v>
      </c>
    </row>
    <row r="391" spans="1:4" x14ac:dyDescent="0.25">
      <c r="A391" s="25"/>
      <c r="B391" s="4" t="s">
        <v>31</v>
      </c>
      <c r="C391" s="4" t="s">
        <v>29</v>
      </c>
      <c r="D391" s="28">
        <v>10700</v>
      </c>
    </row>
    <row r="392" spans="1:4" x14ac:dyDescent="0.25">
      <c r="A392" s="25"/>
      <c r="B392" s="4" t="s">
        <v>94</v>
      </c>
      <c r="C392" s="4" t="s">
        <v>29</v>
      </c>
      <c r="D392" s="28">
        <v>15400</v>
      </c>
    </row>
    <row r="393" spans="1:4" x14ac:dyDescent="0.25">
      <c r="A393" s="25"/>
      <c r="B393" s="4" t="s">
        <v>95</v>
      </c>
      <c r="C393" s="4" t="s">
        <v>29</v>
      </c>
      <c r="D393" s="28">
        <v>26700</v>
      </c>
    </row>
    <row r="394" spans="1:4" x14ac:dyDescent="0.25">
      <c r="A394" s="25"/>
      <c r="B394" s="4" t="s">
        <v>37</v>
      </c>
      <c r="C394" s="4" t="s">
        <v>29</v>
      </c>
      <c r="D394" s="28">
        <v>8200</v>
      </c>
    </row>
    <row r="395" spans="1:4" x14ac:dyDescent="0.25">
      <c r="A395" s="25"/>
      <c r="B395" s="4" t="s">
        <v>107</v>
      </c>
      <c r="C395" s="4" t="s">
        <v>29</v>
      </c>
      <c r="D395" s="28">
        <v>19100</v>
      </c>
    </row>
    <row r="396" spans="1:4" x14ac:dyDescent="0.25">
      <c r="A396" s="25"/>
      <c r="B396" s="4" t="s">
        <v>288</v>
      </c>
      <c r="C396" s="4" t="s">
        <v>29</v>
      </c>
      <c r="D396" s="28">
        <v>28200</v>
      </c>
    </row>
    <row r="397" spans="1:4" x14ac:dyDescent="0.25">
      <c r="A397" s="25"/>
      <c r="B397" s="4" t="s">
        <v>287</v>
      </c>
      <c r="C397" s="4" t="s">
        <v>29</v>
      </c>
      <c r="D397" s="28">
        <v>19900</v>
      </c>
    </row>
    <row r="398" spans="1:4" x14ac:dyDescent="0.25">
      <c r="A398" s="25"/>
      <c r="B398" s="4" t="s">
        <v>208</v>
      </c>
      <c r="C398" s="4" t="s">
        <v>29</v>
      </c>
      <c r="D398" s="28">
        <v>11100</v>
      </c>
    </row>
    <row r="399" spans="1:4" x14ac:dyDescent="0.25">
      <c r="A399" s="25"/>
      <c r="B399" s="4" t="s">
        <v>209</v>
      </c>
      <c r="C399" s="4" t="s">
        <v>29</v>
      </c>
      <c r="D399" s="28">
        <v>14800</v>
      </c>
    </row>
    <row r="400" spans="1:4" x14ac:dyDescent="0.25">
      <c r="A400" s="25"/>
      <c r="B400" s="4" t="s">
        <v>36</v>
      </c>
      <c r="C400" s="4" t="s">
        <v>29</v>
      </c>
      <c r="D400" s="28">
        <v>18000</v>
      </c>
    </row>
    <row r="401" spans="1:4" x14ac:dyDescent="0.25">
      <c r="A401" s="23"/>
      <c r="B401" s="4" t="s">
        <v>544</v>
      </c>
      <c r="C401" s="4" t="s">
        <v>543</v>
      </c>
      <c r="D401" s="28">
        <v>11300</v>
      </c>
    </row>
    <row r="402" spans="1:4" x14ac:dyDescent="0.25">
      <c r="A402" s="25"/>
      <c r="B402" s="4" t="s">
        <v>545</v>
      </c>
      <c r="C402" s="4" t="s">
        <v>543</v>
      </c>
      <c r="D402" s="28">
        <v>41200</v>
      </c>
    </row>
    <row r="403" spans="1:4" x14ac:dyDescent="0.25">
      <c r="A403" s="25"/>
      <c r="B403" s="4" t="s">
        <v>546</v>
      </c>
      <c r="C403" s="4" t="s">
        <v>543</v>
      </c>
      <c r="D403" s="28">
        <v>41200</v>
      </c>
    </row>
    <row r="404" spans="1:4" x14ac:dyDescent="0.25">
      <c r="A404" s="25"/>
      <c r="B404" s="4" t="s">
        <v>547</v>
      </c>
      <c r="C404" s="4" t="s">
        <v>543</v>
      </c>
      <c r="D404" s="28">
        <v>68100</v>
      </c>
    </row>
    <row r="405" spans="1:4" x14ac:dyDescent="0.25">
      <c r="A405" s="25"/>
      <c r="B405" s="4" t="s">
        <v>548</v>
      </c>
      <c r="C405" s="4" t="s">
        <v>543</v>
      </c>
      <c r="D405" s="28">
        <v>59800</v>
      </c>
    </row>
    <row r="406" spans="1:4" x14ac:dyDescent="0.25">
      <c r="A406" s="25"/>
      <c r="B406" s="4" t="s">
        <v>553</v>
      </c>
      <c r="C406" s="4" t="s">
        <v>543</v>
      </c>
      <c r="D406" s="28">
        <v>47900</v>
      </c>
    </row>
    <row r="407" spans="1:4" x14ac:dyDescent="0.25">
      <c r="A407" s="25"/>
      <c r="B407" s="4" t="s">
        <v>554</v>
      </c>
      <c r="C407" s="4" t="s">
        <v>543</v>
      </c>
      <c r="D407" s="28">
        <v>46500</v>
      </c>
    </row>
    <row r="408" spans="1:4" x14ac:dyDescent="0.25">
      <c r="A408" s="25"/>
      <c r="B408" s="4" t="s">
        <v>549</v>
      </c>
      <c r="C408" s="4" t="s">
        <v>543</v>
      </c>
      <c r="D408" s="28">
        <v>50500</v>
      </c>
    </row>
    <row r="409" spans="1:4" x14ac:dyDescent="0.25">
      <c r="A409" s="25"/>
      <c r="B409" s="4" t="s">
        <v>550</v>
      </c>
      <c r="C409" s="4" t="s">
        <v>543</v>
      </c>
      <c r="D409" s="28">
        <v>65100</v>
      </c>
    </row>
    <row r="410" spans="1:4" x14ac:dyDescent="0.25">
      <c r="A410" s="25"/>
      <c r="B410" s="4" t="s">
        <v>555</v>
      </c>
      <c r="C410" s="4" t="s">
        <v>543</v>
      </c>
      <c r="D410" s="28">
        <v>43200</v>
      </c>
    </row>
    <row r="411" spans="1:4" x14ac:dyDescent="0.25">
      <c r="A411" s="25"/>
      <c r="B411" s="4" t="s">
        <v>551</v>
      </c>
      <c r="C411" s="4" t="s">
        <v>543</v>
      </c>
      <c r="D411" s="28">
        <v>50500</v>
      </c>
    </row>
    <row r="412" spans="1:4" x14ac:dyDescent="0.25">
      <c r="A412" s="25"/>
      <c r="B412" s="4" t="s">
        <v>552</v>
      </c>
      <c r="C412" s="4" t="s">
        <v>543</v>
      </c>
      <c r="D412" s="28">
        <v>50500</v>
      </c>
    </row>
    <row r="413" spans="1:4" x14ac:dyDescent="0.25">
      <c r="A413" s="25"/>
      <c r="B413" s="4" t="s">
        <v>556</v>
      </c>
      <c r="C413" s="4" t="s">
        <v>543</v>
      </c>
      <c r="D413" s="28"/>
    </row>
    <row r="414" spans="1:4" x14ac:dyDescent="0.25">
      <c r="A414" s="25"/>
      <c r="B414" s="4" t="s">
        <v>271</v>
      </c>
      <c r="C414" s="4" t="s">
        <v>130</v>
      </c>
      <c r="D414" s="28">
        <v>11500</v>
      </c>
    </row>
    <row r="415" spans="1:4" x14ac:dyDescent="0.25">
      <c r="A415" s="25"/>
      <c r="B415" s="4" t="s">
        <v>497</v>
      </c>
      <c r="C415" s="4" t="s">
        <v>130</v>
      </c>
      <c r="D415" s="28">
        <v>12900</v>
      </c>
    </row>
    <row r="416" spans="1:4" x14ac:dyDescent="0.25">
      <c r="A416" s="25"/>
      <c r="B416" s="4" t="s">
        <v>270</v>
      </c>
      <c r="C416" s="4" t="s">
        <v>130</v>
      </c>
      <c r="D416" s="28">
        <v>20000</v>
      </c>
    </row>
    <row r="417" spans="1:4" x14ac:dyDescent="0.25">
      <c r="A417" s="25"/>
      <c r="B417" s="4" t="s">
        <v>131</v>
      </c>
      <c r="C417" s="4" t="s">
        <v>130</v>
      </c>
      <c r="D417" s="28">
        <v>20000</v>
      </c>
    </row>
    <row r="418" spans="1:4" x14ac:dyDescent="0.25">
      <c r="A418" s="25"/>
      <c r="B418" s="4" t="s">
        <v>134</v>
      </c>
      <c r="C418" s="4" t="s">
        <v>130</v>
      </c>
      <c r="D418" s="28">
        <v>9300</v>
      </c>
    </row>
    <row r="419" spans="1:4" x14ac:dyDescent="0.25">
      <c r="A419" s="25"/>
      <c r="B419" s="4" t="s">
        <v>132</v>
      </c>
      <c r="C419" s="4" t="s">
        <v>130</v>
      </c>
      <c r="D419" s="28">
        <v>7900</v>
      </c>
    </row>
    <row r="420" spans="1:4" x14ac:dyDescent="0.25">
      <c r="A420" s="25"/>
      <c r="B420" s="4" t="s">
        <v>133</v>
      </c>
      <c r="C420" s="4" t="s">
        <v>130</v>
      </c>
      <c r="D420" s="28">
        <v>11500</v>
      </c>
    </row>
    <row r="421" spans="1:4" x14ac:dyDescent="0.25">
      <c r="A421" s="23"/>
      <c r="B421" s="4" t="s">
        <v>517</v>
      </c>
      <c r="C421" s="4" t="s">
        <v>516</v>
      </c>
      <c r="D421" s="28">
        <v>18000</v>
      </c>
    </row>
    <row r="422" spans="1:4" x14ac:dyDescent="0.25">
      <c r="A422" s="25"/>
      <c r="B422" s="4" t="s">
        <v>518</v>
      </c>
      <c r="C422" s="4" t="s">
        <v>516</v>
      </c>
      <c r="D422" s="28">
        <v>32000</v>
      </c>
    </row>
    <row r="423" spans="1:4" x14ac:dyDescent="0.25">
      <c r="A423" s="25"/>
      <c r="B423" s="4" t="s">
        <v>519</v>
      </c>
      <c r="C423" s="4" t="s">
        <v>516</v>
      </c>
      <c r="D423" s="28">
        <v>17200</v>
      </c>
    </row>
    <row r="424" spans="1:4" x14ac:dyDescent="0.25">
      <c r="A424" s="25"/>
      <c r="B424" s="4" t="s">
        <v>520</v>
      </c>
      <c r="C424" s="4" t="s">
        <v>516</v>
      </c>
      <c r="D424" s="28">
        <v>30000</v>
      </c>
    </row>
    <row r="425" spans="1:4" x14ac:dyDescent="0.25">
      <c r="A425" s="25"/>
      <c r="B425" s="4" t="s">
        <v>521</v>
      </c>
      <c r="C425" s="4" t="s">
        <v>516</v>
      </c>
      <c r="D425" s="28">
        <v>30000</v>
      </c>
    </row>
    <row r="426" spans="1:4" x14ac:dyDescent="0.25">
      <c r="A426" s="25"/>
      <c r="B426" s="4" t="s">
        <v>522</v>
      </c>
      <c r="C426" s="4" t="s">
        <v>516</v>
      </c>
      <c r="D426" s="28">
        <v>17000</v>
      </c>
    </row>
    <row r="427" spans="1:4" x14ac:dyDescent="0.25">
      <c r="A427" s="25"/>
      <c r="B427" s="4" t="s">
        <v>535</v>
      </c>
      <c r="C427" s="4" t="s">
        <v>516</v>
      </c>
      <c r="D427" s="28">
        <v>30000</v>
      </c>
    </row>
    <row r="428" spans="1:4" x14ac:dyDescent="0.25">
      <c r="A428" s="25"/>
      <c r="B428" s="4" t="s">
        <v>562</v>
      </c>
      <c r="C428" s="4" t="s">
        <v>516</v>
      </c>
      <c r="D428" s="28">
        <v>30000</v>
      </c>
    </row>
    <row r="429" spans="1:4" x14ac:dyDescent="0.25">
      <c r="A429" s="25"/>
      <c r="B429" s="4" t="s">
        <v>523</v>
      </c>
      <c r="C429" s="4" t="s">
        <v>516</v>
      </c>
      <c r="D429" s="28">
        <v>30000</v>
      </c>
    </row>
    <row r="430" spans="1:4" x14ac:dyDescent="0.25">
      <c r="A430" s="25"/>
      <c r="B430" s="4" t="s">
        <v>524</v>
      </c>
      <c r="C430" s="4" t="s">
        <v>516</v>
      </c>
      <c r="D430" s="28">
        <v>19900</v>
      </c>
    </row>
    <row r="431" spans="1:4" x14ac:dyDescent="0.25">
      <c r="A431" s="25"/>
      <c r="B431" s="4" t="s">
        <v>525</v>
      </c>
      <c r="C431" s="4" t="s">
        <v>516</v>
      </c>
      <c r="D431" s="28">
        <v>34900</v>
      </c>
    </row>
    <row r="432" spans="1:4" x14ac:dyDescent="0.25">
      <c r="A432" s="25"/>
      <c r="B432" s="4" t="s">
        <v>480</v>
      </c>
      <c r="C432" s="4" t="s">
        <v>479</v>
      </c>
      <c r="D432" s="28">
        <v>8500</v>
      </c>
    </row>
    <row r="433" spans="1:4" x14ac:dyDescent="0.25">
      <c r="A433" s="25"/>
      <c r="B433" s="4" t="s">
        <v>540</v>
      </c>
      <c r="C433" s="4" t="s">
        <v>479</v>
      </c>
      <c r="D433" s="28">
        <v>8500</v>
      </c>
    </row>
    <row r="434" spans="1:4" x14ac:dyDescent="0.25">
      <c r="A434" s="25"/>
      <c r="B434" s="4" t="s">
        <v>481</v>
      </c>
      <c r="C434" s="4" t="s">
        <v>479</v>
      </c>
      <c r="D434" s="28">
        <v>8500</v>
      </c>
    </row>
    <row r="435" spans="1:4" x14ac:dyDescent="0.25">
      <c r="A435" s="25"/>
      <c r="B435" s="4" t="s">
        <v>482</v>
      </c>
      <c r="C435" s="4" t="s">
        <v>479</v>
      </c>
      <c r="D435" s="28">
        <v>8500</v>
      </c>
    </row>
    <row r="436" spans="1:4" x14ac:dyDescent="0.25">
      <c r="A436" s="25"/>
      <c r="B436" s="4" t="s">
        <v>483</v>
      </c>
      <c r="C436" s="4" t="s">
        <v>479</v>
      </c>
      <c r="D436" s="28">
        <v>8500</v>
      </c>
    </row>
    <row r="437" spans="1:4" x14ac:dyDescent="0.25">
      <c r="A437" s="25"/>
      <c r="B437" s="4" t="s">
        <v>484</v>
      </c>
      <c r="C437" s="4" t="s">
        <v>479</v>
      </c>
      <c r="D437" s="28">
        <v>8500</v>
      </c>
    </row>
    <row r="438" spans="1:4" x14ac:dyDescent="0.25">
      <c r="A438" s="23"/>
      <c r="B438" s="4" t="s">
        <v>486</v>
      </c>
      <c r="C438" s="4" t="s">
        <v>485</v>
      </c>
      <c r="D438" s="28">
        <v>8000</v>
      </c>
    </row>
    <row r="439" spans="1:4" x14ac:dyDescent="0.25">
      <c r="A439" s="25"/>
      <c r="B439" s="4" t="s">
        <v>502</v>
      </c>
      <c r="C439" s="4" t="s">
        <v>485</v>
      </c>
      <c r="D439" s="28">
        <v>8000</v>
      </c>
    </row>
    <row r="440" spans="1:4" x14ac:dyDescent="0.25">
      <c r="A440" s="25"/>
      <c r="B440" s="4" t="s">
        <v>487</v>
      </c>
      <c r="C440" s="4" t="s">
        <v>485</v>
      </c>
      <c r="D440" s="28">
        <v>8000</v>
      </c>
    </row>
    <row r="441" spans="1:4" x14ac:dyDescent="0.25">
      <c r="A441" s="25"/>
      <c r="B441" s="4" t="s">
        <v>488</v>
      </c>
      <c r="C441" s="4" t="s">
        <v>485</v>
      </c>
      <c r="D441" s="28">
        <v>8000</v>
      </c>
    </row>
    <row r="442" spans="1:4" x14ac:dyDescent="0.25">
      <c r="A442" s="25"/>
      <c r="B442" s="4" t="s">
        <v>503</v>
      </c>
      <c r="C442" s="4" t="s">
        <v>485</v>
      </c>
      <c r="D442" s="28">
        <v>18500</v>
      </c>
    </row>
    <row r="443" spans="1:4" x14ac:dyDescent="0.25">
      <c r="A443" s="25"/>
      <c r="B443" s="4" t="s">
        <v>490</v>
      </c>
      <c r="C443" s="4" t="s">
        <v>485</v>
      </c>
      <c r="D443" s="28">
        <v>12200</v>
      </c>
    </row>
    <row r="444" spans="1:4" x14ac:dyDescent="0.25">
      <c r="A444" s="25"/>
      <c r="B444" s="4" t="s">
        <v>489</v>
      </c>
      <c r="C444" s="4" t="s">
        <v>485</v>
      </c>
      <c r="D444" s="28">
        <v>27000</v>
      </c>
    </row>
    <row r="445" spans="1:4" x14ac:dyDescent="0.25">
      <c r="A445" s="25"/>
      <c r="B445" s="4" t="s">
        <v>491</v>
      </c>
      <c r="C445" s="4" t="s">
        <v>485</v>
      </c>
      <c r="D445" s="28">
        <v>12000</v>
      </c>
    </row>
    <row r="446" spans="1:4" x14ac:dyDescent="0.25">
      <c r="A446" s="25"/>
      <c r="B446" s="4" t="s">
        <v>504</v>
      </c>
      <c r="C446" s="4" t="s">
        <v>485</v>
      </c>
      <c r="D446" s="28">
        <v>12000</v>
      </c>
    </row>
    <row r="447" spans="1:4" x14ac:dyDescent="0.25">
      <c r="A447" s="25"/>
      <c r="B447" s="6" t="s">
        <v>492</v>
      </c>
      <c r="C447" s="4" t="s">
        <v>485</v>
      </c>
      <c r="D447" s="28">
        <v>10000</v>
      </c>
    </row>
    <row r="448" spans="1:4" x14ac:dyDescent="0.25">
      <c r="A448" s="25"/>
      <c r="B448" s="4" t="s">
        <v>493</v>
      </c>
      <c r="C448" s="4" t="s">
        <v>485</v>
      </c>
      <c r="D448" s="28">
        <v>18500</v>
      </c>
    </row>
    <row r="449" spans="1:4" x14ac:dyDescent="0.25">
      <c r="A449" s="25"/>
      <c r="B449" s="4" t="s">
        <v>495</v>
      </c>
      <c r="C449" s="4" t="s">
        <v>485</v>
      </c>
      <c r="D449" s="28">
        <v>15000</v>
      </c>
    </row>
    <row r="450" spans="1:4" x14ac:dyDescent="0.25">
      <c r="A450" s="25"/>
      <c r="B450" s="4" t="s">
        <v>494</v>
      </c>
      <c r="C450" s="4" t="s">
        <v>485</v>
      </c>
      <c r="D450" s="28">
        <v>14000</v>
      </c>
    </row>
    <row r="451" spans="1:4" x14ac:dyDescent="0.25">
      <c r="A451" s="25"/>
      <c r="B451" s="6" t="s">
        <v>505</v>
      </c>
      <c r="C451" s="4" t="s">
        <v>485</v>
      </c>
      <c r="D451" s="28">
        <v>25000</v>
      </c>
    </row>
    <row r="452" spans="1:4" x14ac:dyDescent="0.25">
      <c r="A452" s="25"/>
      <c r="B452" s="4" t="s">
        <v>538</v>
      </c>
      <c r="C452" s="4" t="s">
        <v>485</v>
      </c>
      <c r="D452" s="28">
        <v>45000</v>
      </c>
    </row>
    <row r="453" spans="1:4" x14ac:dyDescent="0.25">
      <c r="A453" s="25"/>
      <c r="B453" s="4" t="s">
        <v>496</v>
      </c>
      <c r="C453" s="4" t="s">
        <v>485</v>
      </c>
      <c r="D453" s="28">
        <v>11000</v>
      </c>
    </row>
    <row r="454" spans="1:4" x14ac:dyDescent="0.25">
      <c r="A454" s="25"/>
      <c r="B454" s="4" t="s">
        <v>291</v>
      </c>
      <c r="C454" s="4" t="s">
        <v>281</v>
      </c>
      <c r="D454" s="28">
        <v>8300</v>
      </c>
    </row>
    <row r="455" spans="1:4" x14ac:dyDescent="0.25">
      <c r="A455" s="25"/>
      <c r="B455" s="4" t="s">
        <v>292</v>
      </c>
      <c r="C455" s="4" t="s">
        <v>281</v>
      </c>
      <c r="D455" s="28">
        <v>8300</v>
      </c>
    </row>
    <row r="456" spans="1:4" x14ac:dyDescent="0.25">
      <c r="A456" s="25"/>
      <c r="B456" s="4" t="s">
        <v>282</v>
      </c>
      <c r="C456" s="4" t="s">
        <v>281</v>
      </c>
      <c r="D456" s="28">
        <v>8800</v>
      </c>
    </row>
    <row r="457" spans="1:4" x14ac:dyDescent="0.25">
      <c r="A457" s="25"/>
      <c r="B457" s="4" t="s">
        <v>283</v>
      </c>
      <c r="C457" s="4" t="s">
        <v>281</v>
      </c>
      <c r="D457" s="28">
        <v>12800</v>
      </c>
    </row>
    <row r="458" spans="1:4" x14ac:dyDescent="0.25">
      <c r="A458" s="25"/>
      <c r="B458" s="4" t="s">
        <v>293</v>
      </c>
      <c r="C458" s="4" t="s">
        <v>281</v>
      </c>
      <c r="D458" s="28">
        <v>15100</v>
      </c>
    </row>
    <row r="459" spans="1:4" x14ac:dyDescent="0.25">
      <c r="A459" s="25"/>
      <c r="B459" s="4" t="s">
        <v>380</v>
      </c>
      <c r="C459" s="4" t="s">
        <v>281</v>
      </c>
      <c r="D459" s="28">
        <v>11300</v>
      </c>
    </row>
    <row r="460" spans="1:4" x14ac:dyDescent="0.25">
      <c r="A460" s="25"/>
      <c r="B460" s="4" t="s">
        <v>381</v>
      </c>
      <c r="C460" s="4" t="s">
        <v>281</v>
      </c>
      <c r="D460" s="28">
        <v>11300</v>
      </c>
    </row>
    <row r="461" spans="1:4" x14ac:dyDescent="0.25">
      <c r="A461" s="25"/>
      <c r="B461" s="10" t="s">
        <v>431</v>
      </c>
      <c r="C461" s="4" t="s">
        <v>478</v>
      </c>
      <c r="D461" s="28">
        <v>17500</v>
      </c>
    </row>
    <row r="462" spans="1:4" x14ac:dyDescent="0.25">
      <c r="A462" s="25"/>
      <c r="B462" s="10" t="s">
        <v>469</v>
      </c>
      <c r="C462" s="4" t="s">
        <v>478</v>
      </c>
      <c r="D462" s="28">
        <v>17500</v>
      </c>
    </row>
    <row r="463" spans="1:4" x14ac:dyDescent="0.25">
      <c r="A463" s="25"/>
      <c r="B463" s="4" t="s">
        <v>294</v>
      </c>
      <c r="C463" s="4" t="s">
        <v>478</v>
      </c>
      <c r="D463" s="28">
        <v>18900</v>
      </c>
    </row>
    <row r="464" spans="1:4" x14ac:dyDescent="0.25">
      <c r="A464" s="25"/>
      <c r="B464" s="4" t="s">
        <v>470</v>
      </c>
      <c r="C464" s="4" t="s">
        <v>478</v>
      </c>
      <c r="D464" s="28">
        <v>23000</v>
      </c>
    </row>
    <row r="465" spans="1:4" x14ac:dyDescent="0.25">
      <c r="A465" s="25"/>
      <c r="B465" s="6" t="s">
        <v>471</v>
      </c>
      <c r="C465" s="4" t="s">
        <v>478</v>
      </c>
      <c r="D465" s="28">
        <v>23000</v>
      </c>
    </row>
    <row r="466" spans="1:4" x14ac:dyDescent="0.25">
      <c r="A466" s="23"/>
      <c r="B466" s="4" t="s">
        <v>210</v>
      </c>
      <c r="C466" s="4" t="s">
        <v>1</v>
      </c>
      <c r="D466" s="28">
        <v>18000</v>
      </c>
    </row>
    <row r="467" spans="1:4" x14ac:dyDescent="0.25">
      <c r="A467" s="25"/>
      <c r="B467" s="4" t="s">
        <v>96</v>
      </c>
      <c r="C467" s="4" t="s">
        <v>1</v>
      </c>
      <c r="D467" s="28">
        <v>20000</v>
      </c>
    </row>
    <row r="468" spans="1:4" x14ac:dyDescent="0.25">
      <c r="A468" s="25"/>
      <c r="B468" s="4" t="s">
        <v>97</v>
      </c>
      <c r="C468" s="4" t="s">
        <v>1</v>
      </c>
      <c r="D468" s="28">
        <v>11200</v>
      </c>
    </row>
    <row r="469" spans="1:4" x14ac:dyDescent="0.25">
      <c r="A469" s="25"/>
      <c r="B469" s="4" t="s">
        <v>98</v>
      </c>
      <c r="C469" s="4" t="s">
        <v>1</v>
      </c>
      <c r="D469" s="28">
        <v>11200</v>
      </c>
    </row>
    <row r="470" spans="1:4" x14ac:dyDescent="0.25">
      <c r="A470" s="25"/>
      <c r="B470" s="4" t="s">
        <v>111</v>
      </c>
      <c r="C470" s="4" t="s">
        <v>1</v>
      </c>
      <c r="D470" s="28">
        <v>27000</v>
      </c>
    </row>
    <row r="471" spans="1:4" x14ac:dyDescent="0.25">
      <c r="A471" s="25"/>
      <c r="B471" s="4" t="s">
        <v>338</v>
      </c>
      <c r="C471" s="4" t="s">
        <v>1</v>
      </c>
      <c r="D471" s="28">
        <v>29500</v>
      </c>
    </row>
    <row r="472" spans="1:4" x14ac:dyDescent="0.25">
      <c r="A472" s="25"/>
      <c r="B472" s="4" t="s">
        <v>339</v>
      </c>
      <c r="C472" s="4" t="s">
        <v>1</v>
      </c>
      <c r="D472" s="28">
        <v>29500</v>
      </c>
    </row>
    <row r="473" spans="1:4" x14ac:dyDescent="0.25">
      <c r="A473" s="23"/>
      <c r="B473" s="4" t="s">
        <v>269</v>
      </c>
      <c r="C473" s="4" t="s">
        <v>265</v>
      </c>
      <c r="D473" s="28">
        <v>10800</v>
      </c>
    </row>
    <row r="474" spans="1:4" x14ac:dyDescent="0.25">
      <c r="A474" s="25"/>
      <c r="B474" s="4" t="s">
        <v>400</v>
      </c>
      <c r="C474" s="4" t="s">
        <v>265</v>
      </c>
      <c r="D474" s="28">
        <v>37800</v>
      </c>
    </row>
    <row r="475" spans="1:4" x14ac:dyDescent="0.25">
      <c r="A475" s="25"/>
      <c r="B475" s="4" t="s">
        <v>401</v>
      </c>
      <c r="C475" s="4" t="s">
        <v>265</v>
      </c>
      <c r="D475" s="28">
        <v>43700</v>
      </c>
    </row>
    <row r="476" spans="1:4" x14ac:dyDescent="0.25">
      <c r="A476" s="25"/>
      <c r="B476" s="4" t="s">
        <v>567</v>
      </c>
      <c r="C476" s="4" t="s">
        <v>265</v>
      </c>
      <c r="D476" s="28">
        <v>35200</v>
      </c>
    </row>
    <row r="477" spans="1:4" x14ac:dyDescent="0.25">
      <c r="A477" s="25"/>
      <c r="B477" s="4" t="s">
        <v>566</v>
      </c>
      <c r="C477" s="4" t="s">
        <v>265</v>
      </c>
      <c r="D477" s="28">
        <v>35200</v>
      </c>
    </row>
    <row r="478" spans="1:4" x14ac:dyDescent="0.25">
      <c r="A478" s="25"/>
      <c r="B478" s="4" t="s">
        <v>382</v>
      </c>
      <c r="C478" s="4" t="s">
        <v>265</v>
      </c>
      <c r="D478" s="28">
        <v>37800</v>
      </c>
    </row>
    <row r="479" spans="1:4" x14ac:dyDescent="0.25">
      <c r="A479" s="25"/>
      <c r="B479" s="4" t="s">
        <v>267</v>
      </c>
      <c r="C479" s="4" t="s">
        <v>265</v>
      </c>
      <c r="D479" s="28">
        <v>23500</v>
      </c>
    </row>
    <row r="480" spans="1:4" x14ac:dyDescent="0.25">
      <c r="A480" s="25"/>
      <c r="B480" s="4" t="s">
        <v>307</v>
      </c>
      <c r="C480" s="4" t="s">
        <v>265</v>
      </c>
      <c r="D480" s="28">
        <v>46200</v>
      </c>
    </row>
    <row r="481" spans="1:4" x14ac:dyDescent="0.25">
      <c r="A481" s="25"/>
      <c r="B481" s="4" t="s">
        <v>402</v>
      </c>
      <c r="C481" s="4" t="s">
        <v>265</v>
      </c>
      <c r="D481" s="28">
        <v>39100</v>
      </c>
    </row>
    <row r="482" spans="1:4" x14ac:dyDescent="0.25">
      <c r="A482" s="25"/>
      <c r="B482" s="10" t="s">
        <v>272</v>
      </c>
      <c r="C482" s="4" t="s">
        <v>265</v>
      </c>
      <c r="D482" s="28">
        <v>35400</v>
      </c>
    </row>
    <row r="483" spans="1:4" x14ac:dyDescent="0.25">
      <c r="A483" s="25"/>
      <c r="B483" s="4" t="s">
        <v>568</v>
      </c>
      <c r="C483" s="4" t="s">
        <v>265</v>
      </c>
      <c r="D483" s="28">
        <v>37800</v>
      </c>
    </row>
    <row r="484" spans="1:4" x14ac:dyDescent="0.25">
      <c r="A484" s="25"/>
      <c r="B484" s="4" t="s">
        <v>539</v>
      </c>
      <c r="C484" s="4" t="s">
        <v>265</v>
      </c>
      <c r="D484" s="28">
        <v>38500</v>
      </c>
    </row>
    <row r="485" spans="1:4" x14ac:dyDescent="0.25">
      <c r="A485" s="25"/>
      <c r="B485" s="4" t="s">
        <v>403</v>
      </c>
      <c r="C485" s="4" t="s">
        <v>265</v>
      </c>
      <c r="D485" s="28">
        <v>34200</v>
      </c>
    </row>
    <row r="486" spans="1:4" x14ac:dyDescent="0.25">
      <c r="A486" s="25"/>
      <c r="B486" s="4" t="s">
        <v>404</v>
      </c>
      <c r="C486" s="4" t="s">
        <v>265</v>
      </c>
      <c r="D486" s="28">
        <v>44300</v>
      </c>
    </row>
    <row r="487" spans="1:4" x14ac:dyDescent="0.25">
      <c r="A487" s="25"/>
      <c r="B487" s="4" t="s">
        <v>405</v>
      </c>
      <c r="C487" s="4" t="s">
        <v>265</v>
      </c>
      <c r="D487" s="28">
        <v>29000</v>
      </c>
    </row>
    <row r="488" spans="1:4" x14ac:dyDescent="0.25">
      <c r="A488" s="25"/>
      <c r="B488" s="4" t="s">
        <v>406</v>
      </c>
      <c r="C488" s="4" t="s">
        <v>265</v>
      </c>
      <c r="D488" s="28">
        <v>27200</v>
      </c>
    </row>
    <row r="489" spans="1:4" x14ac:dyDescent="0.25">
      <c r="A489" s="25"/>
      <c r="B489" s="4" t="s">
        <v>232</v>
      </c>
      <c r="C489" s="4" t="s">
        <v>265</v>
      </c>
      <c r="D489" s="28">
        <v>15300</v>
      </c>
    </row>
    <row r="490" spans="1:4" x14ac:dyDescent="0.25">
      <c r="A490" s="25"/>
      <c r="B490" s="4" t="s">
        <v>266</v>
      </c>
      <c r="C490" s="4" t="s">
        <v>265</v>
      </c>
      <c r="D490" s="28">
        <v>37800</v>
      </c>
    </row>
    <row r="491" spans="1:4" x14ac:dyDescent="0.25">
      <c r="A491" s="25"/>
      <c r="B491" s="4" t="s">
        <v>429</v>
      </c>
      <c r="C491" s="4" t="s">
        <v>14</v>
      </c>
      <c r="D491" s="28">
        <v>17000</v>
      </c>
    </row>
    <row r="492" spans="1:4" x14ac:dyDescent="0.25">
      <c r="A492" s="23"/>
      <c r="B492" s="4" t="s">
        <v>559</v>
      </c>
      <c r="C492" s="4" t="s">
        <v>14</v>
      </c>
      <c r="D492" s="28">
        <v>13000</v>
      </c>
    </row>
    <row r="493" spans="1:4" x14ac:dyDescent="0.25">
      <c r="A493" s="25"/>
      <c r="B493" s="4" t="s">
        <v>561</v>
      </c>
      <c r="C493" s="4" t="s">
        <v>14</v>
      </c>
      <c r="D493" s="28">
        <v>5900</v>
      </c>
    </row>
    <row r="494" spans="1:4" x14ac:dyDescent="0.25">
      <c r="A494" s="23"/>
      <c r="B494" s="4" t="s">
        <v>337</v>
      </c>
      <c r="C494" s="4" t="s">
        <v>14</v>
      </c>
      <c r="D494" s="28">
        <v>4000</v>
      </c>
    </row>
    <row r="495" spans="1:4" x14ac:dyDescent="0.25">
      <c r="A495" s="25"/>
      <c r="B495" s="6" t="s">
        <v>452</v>
      </c>
      <c r="C495" s="4" t="s">
        <v>14</v>
      </c>
      <c r="D495" s="28">
        <v>30400</v>
      </c>
    </row>
    <row r="496" spans="1:4" x14ac:dyDescent="0.25">
      <c r="A496" s="25"/>
      <c r="B496" s="6" t="s">
        <v>289</v>
      </c>
      <c r="C496" s="4" t="s">
        <v>14</v>
      </c>
      <c r="D496" s="28">
        <v>21900</v>
      </c>
    </row>
    <row r="497" spans="1:4" x14ac:dyDescent="0.25">
      <c r="A497" s="25"/>
      <c r="B497" s="6" t="s">
        <v>240</v>
      </c>
      <c r="C497" s="4" t="s">
        <v>14</v>
      </c>
      <c r="D497" s="28">
        <v>75000</v>
      </c>
    </row>
    <row r="498" spans="1:4" x14ac:dyDescent="0.25">
      <c r="A498" s="25"/>
      <c r="B498" s="6" t="s">
        <v>241</v>
      </c>
      <c r="C498" s="4" t="s">
        <v>14</v>
      </c>
      <c r="D498" s="28">
        <v>10000</v>
      </c>
    </row>
    <row r="499" spans="1:4" x14ac:dyDescent="0.25">
      <c r="A499" s="25"/>
      <c r="B499" s="6" t="s">
        <v>449</v>
      </c>
      <c r="C499" s="4" t="s">
        <v>14</v>
      </c>
      <c r="D499" s="28">
        <v>29100</v>
      </c>
    </row>
    <row r="500" spans="1:4" x14ac:dyDescent="0.25">
      <c r="A500" s="23"/>
      <c r="B500" s="4" t="s">
        <v>445</v>
      </c>
      <c r="C500" s="4" t="s">
        <v>14</v>
      </c>
      <c r="D500" s="28">
        <v>12000</v>
      </c>
    </row>
    <row r="501" spans="1:4" x14ac:dyDescent="0.25">
      <c r="A501" s="23"/>
      <c r="B501" s="4" t="s">
        <v>211</v>
      </c>
      <c r="C501" s="4" t="s">
        <v>14</v>
      </c>
      <c r="D501" s="28">
        <v>15500</v>
      </c>
    </row>
    <row r="502" spans="1:4" x14ac:dyDescent="0.25">
      <c r="A502" s="25"/>
      <c r="B502" s="6" t="s">
        <v>454</v>
      </c>
      <c r="C502" s="4" t="s">
        <v>14</v>
      </c>
      <c r="D502" s="28">
        <v>24700</v>
      </c>
    </row>
    <row r="503" spans="1:4" x14ac:dyDescent="0.25">
      <c r="A503" s="25"/>
      <c r="B503" s="4" t="s">
        <v>413</v>
      </c>
      <c r="C503" s="4" t="s">
        <v>14</v>
      </c>
      <c r="D503" s="28">
        <v>43500</v>
      </c>
    </row>
    <row r="504" spans="1:4" x14ac:dyDescent="0.25">
      <c r="A504" s="25"/>
      <c r="B504" s="6" t="s">
        <v>443</v>
      </c>
      <c r="C504" s="4" t="s">
        <v>14</v>
      </c>
      <c r="D504" s="28">
        <v>25000</v>
      </c>
    </row>
    <row r="505" spans="1:4" x14ac:dyDescent="0.25">
      <c r="A505" s="25"/>
      <c r="B505" s="4" t="s">
        <v>444</v>
      </c>
      <c r="C505" s="4" t="s">
        <v>14</v>
      </c>
      <c r="D505" s="28">
        <v>36100</v>
      </c>
    </row>
    <row r="506" spans="1:4" x14ac:dyDescent="0.25">
      <c r="A506" s="23"/>
      <c r="B506" s="4" t="s">
        <v>542</v>
      </c>
      <c r="C506" s="4" t="s">
        <v>14</v>
      </c>
      <c r="D506" s="28">
        <v>4000</v>
      </c>
    </row>
    <row r="507" spans="1:4" x14ac:dyDescent="0.25">
      <c r="A507" s="23"/>
      <c r="B507" s="4" t="s">
        <v>174</v>
      </c>
      <c r="C507" s="4" t="s">
        <v>14</v>
      </c>
      <c r="D507" s="28">
        <v>20000</v>
      </c>
    </row>
    <row r="508" spans="1:4" x14ac:dyDescent="0.25">
      <c r="A508" s="25"/>
      <c r="B508" s="10" t="s">
        <v>385</v>
      </c>
      <c r="C508" s="4" t="s">
        <v>14</v>
      </c>
      <c r="D508" s="28">
        <v>13000</v>
      </c>
    </row>
    <row r="509" spans="1:4" x14ac:dyDescent="0.25">
      <c r="A509" s="25"/>
      <c r="B509" s="10" t="s">
        <v>305</v>
      </c>
      <c r="C509" s="4" t="s">
        <v>14</v>
      </c>
      <c r="D509" s="28">
        <v>11500</v>
      </c>
    </row>
    <row r="510" spans="1:4" x14ac:dyDescent="0.25">
      <c r="A510" s="25"/>
      <c r="B510" s="10" t="s">
        <v>304</v>
      </c>
      <c r="C510" s="4" t="s">
        <v>14</v>
      </c>
      <c r="D510" s="28">
        <v>11500</v>
      </c>
    </row>
    <row r="511" spans="1:4" x14ac:dyDescent="0.25">
      <c r="A511" s="23"/>
      <c r="B511" s="4" t="s">
        <v>450</v>
      </c>
      <c r="C511" s="4" t="s">
        <v>14</v>
      </c>
      <c r="D511" s="28">
        <v>17200</v>
      </c>
    </row>
    <row r="512" spans="1:4" x14ac:dyDescent="0.25">
      <c r="A512" s="23"/>
      <c r="B512" s="10" t="s">
        <v>15</v>
      </c>
      <c r="C512" s="4" t="s">
        <v>14</v>
      </c>
      <c r="D512" s="28">
        <v>6300</v>
      </c>
    </row>
    <row r="513" spans="1:5" x14ac:dyDescent="0.25">
      <c r="A513" s="23"/>
      <c r="B513" s="10" t="s">
        <v>16</v>
      </c>
      <c r="C513" s="4" t="s">
        <v>14</v>
      </c>
      <c r="D513" s="28">
        <v>9200</v>
      </c>
    </row>
    <row r="514" spans="1:5" x14ac:dyDescent="0.25">
      <c r="A514" s="25"/>
      <c r="B514" s="10" t="s">
        <v>234</v>
      </c>
      <c r="C514" s="4" t="s">
        <v>14</v>
      </c>
      <c r="D514" s="28">
        <v>160000</v>
      </c>
    </row>
    <row r="515" spans="1:5" x14ac:dyDescent="0.25">
      <c r="A515" s="25"/>
      <c r="B515" s="10" t="s">
        <v>235</v>
      </c>
      <c r="C515" s="4" t="s">
        <v>14</v>
      </c>
      <c r="D515" s="28">
        <v>3700</v>
      </c>
    </row>
    <row r="516" spans="1:5" x14ac:dyDescent="0.25">
      <c r="A516" s="25"/>
      <c r="B516" s="4" t="s">
        <v>290</v>
      </c>
      <c r="C516" s="4" t="s">
        <v>14</v>
      </c>
      <c r="D516" s="28">
        <v>4300</v>
      </c>
    </row>
    <row r="517" spans="1:5" x14ac:dyDescent="0.25">
      <c r="A517" s="25"/>
      <c r="B517" s="10" t="s">
        <v>329</v>
      </c>
      <c r="C517" s="4" t="s">
        <v>14</v>
      </c>
      <c r="D517" s="28">
        <v>99000</v>
      </c>
    </row>
    <row r="518" spans="1:5" x14ac:dyDescent="0.25">
      <c r="A518" s="25"/>
      <c r="B518" s="10" t="s">
        <v>328</v>
      </c>
      <c r="C518" s="4" t="s">
        <v>14</v>
      </c>
      <c r="D518" s="28">
        <v>1200</v>
      </c>
    </row>
    <row r="519" spans="1:5" x14ac:dyDescent="0.25">
      <c r="A519" s="25"/>
      <c r="B519" s="10" t="s">
        <v>330</v>
      </c>
      <c r="C519" s="4" t="s">
        <v>14</v>
      </c>
      <c r="D519" s="28">
        <v>99000</v>
      </c>
      <c r="E519" s="20"/>
    </row>
    <row r="520" spans="1:5" x14ac:dyDescent="0.25">
      <c r="A520" s="25"/>
      <c r="B520" s="10" t="s">
        <v>331</v>
      </c>
      <c r="C520" s="4" t="s">
        <v>14</v>
      </c>
      <c r="D520" s="28">
        <v>1200</v>
      </c>
      <c r="E520" s="20"/>
    </row>
    <row r="521" spans="1:5" x14ac:dyDescent="0.25">
      <c r="A521" s="25"/>
      <c r="B521" s="10" t="s">
        <v>383</v>
      </c>
      <c r="C521" s="4" t="s">
        <v>14</v>
      </c>
      <c r="D521" s="28">
        <v>99000</v>
      </c>
      <c r="E521" s="20"/>
    </row>
    <row r="522" spans="1:5" x14ac:dyDescent="0.25">
      <c r="A522" s="25"/>
      <c r="B522" s="10" t="s">
        <v>384</v>
      </c>
      <c r="C522" s="4" t="s">
        <v>14</v>
      </c>
      <c r="D522" s="28">
        <v>1200</v>
      </c>
      <c r="E522" s="20"/>
    </row>
    <row r="523" spans="1:5" x14ac:dyDescent="0.25">
      <c r="A523" s="25"/>
      <c r="B523" s="4" t="s">
        <v>474</v>
      </c>
      <c r="C523" s="4" t="s">
        <v>14</v>
      </c>
      <c r="D523" s="28">
        <v>14000</v>
      </c>
    </row>
    <row r="524" spans="1:5" x14ac:dyDescent="0.25">
      <c r="A524" s="25"/>
      <c r="B524" s="10" t="s">
        <v>472</v>
      </c>
      <c r="C524" s="4" t="s">
        <v>14</v>
      </c>
      <c r="D524" s="28">
        <v>99000</v>
      </c>
      <c r="E524" s="20"/>
    </row>
    <row r="525" spans="1:5" x14ac:dyDescent="0.25">
      <c r="A525" s="25"/>
      <c r="B525" s="10" t="s">
        <v>473</v>
      </c>
      <c r="C525" s="4" t="s">
        <v>14</v>
      </c>
      <c r="D525" s="28">
        <v>1200</v>
      </c>
      <c r="E525" s="20"/>
    </row>
    <row r="526" spans="1:5" x14ac:dyDescent="0.25">
      <c r="A526" s="25"/>
      <c r="B526" s="4" t="s">
        <v>412</v>
      </c>
      <c r="C526" s="4" t="s">
        <v>14</v>
      </c>
      <c r="D526" s="28">
        <v>43500</v>
      </c>
    </row>
    <row r="527" spans="1:5" x14ac:dyDescent="0.25">
      <c r="A527" s="23"/>
      <c r="B527" s="4" t="s">
        <v>258</v>
      </c>
      <c r="C527" s="4" t="s">
        <v>14</v>
      </c>
      <c r="D527" s="28">
        <v>22900</v>
      </c>
    </row>
    <row r="528" spans="1:5" x14ac:dyDescent="0.25">
      <c r="A528" s="23"/>
      <c r="B528" s="10" t="s">
        <v>17</v>
      </c>
      <c r="C528" s="4" t="s">
        <v>14</v>
      </c>
      <c r="D528" s="28">
        <v>9200</v>
      </c>
    </row>
    <row r="529" spans="1:4" x14ac:dyDescent="0.25">
      <c r="A529" s="25"/>
      <c r="B529" s="4" t="s">
        <v>446</v>
      </c>
      <c r="C529" s="4" t="s">
        <v>14</v>
      </c>
      <c r="D529" s="28">
        <v>6900</v>
      </c>
    </row>
    <row r="530" spans="1:4" x14ac:dyDescent="0.25">
      <c r="A530" s="25"/>
      <c r="B530" s="10" t="s">
        <v>386</v>
      </c>
      <c r="C530" s="4" t="s">
        <v>14</v>
      </c>
      <c r="D530" s="28">
        <v>16000</v>
      </c>
    </row>
    <row r="531" spans="1:4" x14ac:dyDescent="0.25">
      <c r="B531" s="10" t="s">
        <v>327</v>
      </c>
      <c r="C531" s="4" t="s">
        <v>14</v>
      </c>
      <c r="D531" s="28">
        <v>99000</v>
      </c>
    </row>
    <row r="532" spans="1:4" x14ac:dyDescent="0.25">
      <c r="B532" s="10" t="s">
        <v>335</v>
      </c>
      <c r="C532" s="4" t="s">
        <v>14</v>
      </c>
      <c r="D532" s="28">
        <v>1200</v>
      </c>
    </row>
    <row r="533" spans="1:4" x14ac:dyDescent="0.25">
      <c r="A533" s="12"/>
      <c r="B533" s="6" t="s">
        <v>389</v>
      </c>
      <c r="C533" s="4" t="s">
        <v>14</v>
      </c>
      <c r="D533" s="28">
        <v>19900</v>
      </c>
    </row>
    <row r="536" spans="1:4" x14ac:dyDescent="0.25">
      <c r="B536" s="21" t="s">
        <v>475</v>
      </c>
      <c r="C536" s="8"/>
    </row>
    <row r="537" spans="1:4" x14ac:dyDescent="0.25">
      <c r="B537" s="21" t="s">
        <v>476</v>
      </c>
      <c r="C537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148A-5BC2-4C83-90FF-2C7AC2234E9F}">
  <sheetPr>
    <pageSetUpPr autoPageBreaks="0" fitToPage="1"/>
  </sheetPr>
  <dimension ref="A1:J537"/>
  <sheetViews>
    <sheetView topLeftCell="A386" zoomScale="70" zoomScaleNormal="70" zoomScalePageLayoutView="130" workbookViewId="0">
      <selection activeCell="H407" sqref="H407"/>
    </sheetView>
  </sheetViews>
  <sheetFormatPr baseColWidth="10" defaultColWidth="10.81640625" defaultRowHeight="12.5" x14ac:dyDescent="0.25"/>
  <cols>
    <col min="1" max="1" width="2.453125" style="1" customWidth="1"/>
    <col min="2" max="2" width="78" style="1" bestFit="1" customWidth="1"/>
    <col min="3" max="3" width="22" style="1" bestFit="1" customWidth="1"/>
    <col min="4" max="4" width="10" style="1" customWidth="1"/>
    <col min="5" max="5" width="2.453125" style="1" customWidth="1"/>
    <col min="6" max="16384" width="10.81640625" style="1"/>
  </cols>
  <sheetData>
    <row r="1" spans="1:4" ht="13" customHeight="1" x14ac:dyDescent="0.25">
      <c r="B1" s="13"/>
      <c r="C1" s="14"/>
    </row>
    <row r="2" spans="1:4" ht="13" customHeight="1" x14ac:dyDescent="0.25">
      <c r="B2" s="13"/>
      <c r="C2" s="13" t="s">
        <v>370</v>
      </c>
      <c r="D2" s="15" t="s">
        <v>237</v>
      </c>
    </row>
    <row r="3" spans="1:4" ht="13" customHeight="1" x14ac:dyDescent="0.25">
      <c r="B3" s="13"/>
      <c r="C3" s="13" t="s">
        <v>187</v>
      </c>
      <c r="D3" s="17" t="s">
        <v>247</v>
      </c>
    </row>
    <row r="4" spans="1:4" ht="13" x14ac:dyDescent="0.3">
      <c r="C4" s="13" t="s">
        <v>183</v>
      </c>
      <c r="D4" s="16">
        <v>0.15</v>
      </c>
    </row>
    <row r="5" spans="1:4" ht="13" x14ac:dyDescent="0.3">
      <c r="C5" s="13" t="s">
        <v>184</v>
      </c>
      <c r="D5" s="11" t="s">
        <v>239</v>
      </c>
    </row>
    <row r="6" spans="1:4" ht="13" customHeight="1" x14ac:dyDescent="0.3">
      <c r="B6" s="7" t="s">
        <v>222</v>
      </c>
      <c r="C6" s="7" t="s">
        <v>186</v>
      </c>
      <c r="D6" s="18" t="s">
        <v>238</v>
      </c>
    </row>
    <row r="7" spans="1:4" x14ac:dyDescent="0.25">
      <c r="A7" s="12"/>
      <c r="B7" s="2" t="s">
        <v>40</v>
      </c>
      <c r="C7" s="4" t="s">
        <v>5</v>
      </c>
      <c r="D7" s="19">
        <v>15000</v>
      </c>
    </row>
    <row r="8" spans="1:4" x14ac:dyDescent="0.25">
      <c r="A8" s="25"/>
      <c r="B8" s="2" t="s">
        <v>221</v>
      </c>
      <c r="C8" s="4" t="s">
        <v>5</v>
      </c>
      <c r="D8" s="19">
        <v>15000</v>
      </c>
    </row>
    <row r="9" spans="1:4" x14ac:dyDescent="0.25">
      <c r="A9" s="25"/>
      <c r="B9" s="2" t="s">
        <v>41</v>
      </c>
      <c r="C9" s="4" t="s">
        <v>5</v>
      </c>
      <c r="D9" s="19">
        <v>15000</v>
      </c>
    </row>
    <row r="10" spans="1:4" x14ac:dyDescent="0.25">
      <c r="A10" s="25"/>
      <c r="B10" s="2" t="s">
        <v>42</v>
      </c>
      <c r="C10" s="4" t="s">
        <v>5</v>
      </c>
      <c r="D10" s="19">
        <v>32000</v>
      </c>
    </row>
    <row r="11" spans="1:4" x14ac:dyDescent="0.25">
      <c r="A11" s="25"/>
      <c r="B11" s="2" t="s">
        <v>224</v>
      </c>
      <c r="C11" s="4" t="s">
        <v>5</v>
      </c>
      <c r="D11" s="19">
        <v>15000</v>
      </c>
    </row>
    <row r="12" spans="1:4" x14ac:dyDescent="0.25">
      <c r="A12" s="25"/>
      <c r="B12" s="2" t="s">
        <v>43</v>
      </c>
      <c r="C12" s="4" t="s">
        <v>5</v>
      </c>
      <c r="D12" s="19">
        <v>15000</v>
      </c>
    </row>
    <row r="13" spans="1:4" x14ac:dyDescent="0.25">
      <c r="A13" s="25"/>
      <c r="B13" s="2" t="s">
        <v>105</v>
      </c>
      <c r="C13" s="4" t="s">
        <v>5</v>
      </c>
      <c r="D13" s="19">
        <v>15000</v>
      </c>
    </row>
    <row r="14" spans="1:4" x14ac:dyDescent="0.25">
      <c r="A14" s="25"/>
      <c r="B14" s="2" t="s">
        <v>44</v>
      </c>
      <c r="C14" s="4" t="s">
        <v>5</v>
      </c>
      <c r="D14" s="19">
        <v>15000</v>
      </c>
    </row>
    <row r="15" spans="1:4" x14ac:dyDescent="0.25">
      <c r="A15" s="25"/>
      <c r="B15" s="2" t="s">
        <v>45</v>
      </c>
      <c r="C15" s="4" t="s">
        <v>5</v>
      </c>
      <c r="D15" s="19">
        <v>15000</v>
      </c>
    </row>
    <row r="16" spans="1:4" x14ac:dyDescent="0.25">
      <c r="A16" s="25"/>
      <c r="B16" s="2" t="s">
        <v>46</v>
      </c>
      <c r="C16" s="4" t="s">
        <v>5</v>
      </c>
      <c r="D16" s="19">
        <v>15000</v>
      </c>
    </row>
    <row r="17" spans="1:4" x14ac:dyDescent="0.25">
      <c r="A17" s="25"/>
      <c r="B17" s="4" t="s">
        <v>47</v>
      </c>
      <c r="C17" s="4" t="s">
        <v>5</v>
      </c>
      <c r="D17" s="19">
        <v>15000</v>
      </c>
    </row>
    <row r="18" spans="1:4" x14ac:dyDescent="0.25">
      <c r="A18" s="25"/>
      <c r="B18" s="2" t="s">
        <v>48</v>
      </c>
      <c r="C18" s="4" t="s">
        <v>5</v>
      </c>
      <c r="D18" s="19">
        <v>15000</v>
      </c>
    </row>
    <row r="19" spans="1:4" x14ac:dyDescent="0.25">
      <c r="A19" s="25"/>
      <c r="B19" s="2" t="s">
        <v>49</v>
      </c>
      <c r="C19" s="4" t="s">
        <v>5</v>
      </c>
      <c r="D19" s="19">
        <v>15000</v>
      </c>
    </row>
    <row r="20" spans="1:4" x14ac:dyDescent="0.25">
      <c r="A20" s="25"/>
      <c r="B20" s="2" t="s">
        <v>50</v>
      </c>
      <c r="C20" s="4" t="s">
        <v>5</v>
      </c>
      <c r="D20" s="19">
        <v>15000</v>
      </c>
    </row>
    <row r="21" spans="1:4" x14ac:dyDescent="0.25">
      <c r="A21" s="25"/>
      <c r="B21" s="2" t="s">
        <v>51</v>
      </c>
      <c r="C21" s="4" t="s">
        <v>5</v>
      </c>
      <c r="D21" s="19">
        <v>15000</v>
      </c>
    </row>
    <row r="22" spans="1:4" x14ac:dyDescent="0.25">
      <c r="A22" s="25"/>
      <c r="B22" s="2" t="s">
        <v>52</v>
      </c>
      <c r="C22" s="4" t="s">
        <v>5</v>
      </c>
      <c r="D22" s="19">
        <v>15000</v>
      </c>
    </row>
    <row r="23" spans="1:4" x14ac:dyDescent="0.25">
      <c r="A23" s="25"/>
      <c r="B23" s="4" t="s">
        <v>53</v>
      </c>
      <c r="C23" s="4" t="s">
        <v>5</v>
      </c>
      <c r="D23" s="19">
        <v>15000</v>
      </c>
    </row>
    <row r="24" spans="1:4" x14ac:dyDescent="0.25">
      <c r="A24" s="25"/>
      <c r="B24" s="2" t="s">
        <v>54</v>
      </c>
      <c r="C24" s="4" t="s">
        <v>5</v>
      </c>
      <c r="D24" s="19">
        <v>15000</v>
      </c>
    </row>
    <row r="25" spans="1:4" x14ac:dyDescent="0.25">
      <c r="A25" s="25"/>
      <c r="B25" s="2" t="s">
        <v>55</v>
      </c>
      <c r="C25" s="4" t="s">
        <v>5</v>
      </c>
      <c r="D25" s="19">
        <v>19000</v>
      </c>
    </row>
    <row r="26" spans="1:4" x14ac:dyDescent="0.25">
      <c r="A26" s="25"/>
      <c r="B26" s="2" t="s">
        <v>56</v>
      </c>
      <c r="C26" s="4" t="s">
        <v>5</v>
      </c>
      <c r="D26" s="19">
        <v>15000</v>
      </c>
    </row>
    <row r="27" spans="1:4" x14ac:dyDescent="0.25">
      <c r="A27" s="25"/>
      <c r="B27" s="4" t="s">
        <v>57</v>
      </c>
      <c r="C27" s="4" t="s">
        <v>5</v>
      </c>
      <c r="D27" s="19">
        <v>15000</v>
      </c>
    </row>
    <row r="28" spans="1:4" x14ac:dyDescent="0.25">
      <c r="A28" s="25"/>
      <c r="B28" s="4" t="s">
        <v>104</v>
      </c>
      <c r="C28" s="4" t="s">
        <v>5</v>
      </c>
      <c r="D28" s="19">
        <v>15000</v>
      </c>
    </row>
    <row r="29" spans="1:4" x14ac:dyDescent="0.25">
      <c r="A29" s="25"/>
      <c r="B29" s="2" t="s">
        <v>58</v>
      </c>
      <c r="C29" s="4" t="s">
        <v>5</v>
      </c>
      <c r="D29" s="19">
        <v>15000</v>
      </c>
    </row>
    <row r="30" spans="1:4" x14ac:dyDescent="0.25">
      <c r="A30" s="25"/>
      <c r="B30" s="2" t="s">
        <v>59</v>
      </c>
      <c r="C30" s="4" t="s">
        <v>5</v>
      </c>
      <c r="D30" s="19">
        <v>15000</v>
      </c>
    </row>
    <row r="31" spans="1:4" x14ac:dyDescent="0.25">
      <c r="A31" s="25"/>
      <c r="B31" s="2" t="s">
        <v>189</v>
      </c>
      <c r="C31" s="4" t="s">
        <v>5</v>
      </c>
      <c r="D31" s="19">
        <v>24000</v>
      </c>
    </row>
    <row r="32" spans="1:4" x14ac:dyDescent="0.25">
      <c r="A32" s="25"/>
      <c r="B32" s="3" t="s">
        <v>60</v>
      </c>
      <c r="C32" s="4" t="s">
        <v>5</v>
      </c>
      <c r="D32" s="19">
        <v>29000</v>
      </c>
    </row>
    <row r="33" spans="1:4" x14ac:dyDescent="0.25">
      <c r="A33" s="25"/>
      <c r="B33" s="2" t="s">
        <v>61</v>
      </c>
      <c r="C33" s="4" t="s">
        <v>5</v>
      </c>
      <c r="D33" s="19">
        <v>29000</v>
      </c>
    </row>
    <row r="34" spans="1:4" x14ac:dyDescent="0.25">
      <c r="A34" s="25"/>
      <c r="B34" s="2" t="s">
        <v>62</v>
      </c>
      <c r="C34" s="4" t="s">
        <v>5</v>
      </c>
      <c r="D34" s="19">
        <v>24000</v>
      </c>
    </row>
    <row r="35" spans="1:4" x14ac:dyDescent="0.25">
      <c r="A35" s="25"/>
      <c r="B35" s="6" t="s">
        <v>252</v>
      </c>
      <c r="C35" s="4" t="s">
        <v>5</v>
      </c>
      <c r="D35" s="19">
        <v>17000</v>
      </c>
    </row>
    <row r="36" spans="1:4" x14ac:dyDescent="0.25">
      <c r="A36" s="25"/>
      <c r="B36" s="6" t="s">
        <v>253</v>
      </c>
      <c r="C36" s="4" t="s">
        <v>5</v>
      </c>
      <c r="D36" s="19">
        <v>6000</v>
      </c>
    </row>
    <row r="37" spans="1:4" x14ac:dyDescent="0.25">
      <c r="A37" s="25"/>
      <c r="B37" s="2" t="s">
        <v>63</v>
      </c>
      <c r="C37" s="4" t="s">
        <v>5</v>
      </c>
      <c r="D37" s="19">
        <v>22000</v>
      </c>
    </row>
    <row r="38" spans="1:4" x14ac:dyDescent="0.25">
      <c r="A38" s="25"/>
      <c r="B38" s="2" t="s">
        <v>64</v>
      </c>
      <c r="C38" s="4" t="s">
        <v>5</v>
      </c>
      <c r="D38" s="19">
        <v>22000</v>
      </c>
    </row>
    <row r="39" spans="1:4" x14ac:dyDescent="0.25">
      <c r="A39" s="25"/>
      <c r="B39" s="2" t="s">
        <v>65</v>
      </c>
      <c r="C39" s="4" t="s">
        <v>5</v>
      </c>
      <c r="D39" s="19">
        <v>24000</v>
      </c>
    </row>
    <row r="40" spans="1:4" x14ac:dyDescent="0.25">
      <c r="A40" s="25"/>
      <c r="B40" s="4" t="s">
        <v>259</v>
      </c>
      <c r="C40" s="4" t="s">
        <v>5</v>
      </c>
      <c r="D40" s="19">
        <v>25000</v>
      </c>
    </row>
    <row r="41" spans="1:4" x14ac:dyDescent="0.25">
      <c r="A41" s="25"/>
      <c r="B41" s="4" t="s">
        <v>212</v>
      </c>
      <c r="C41" s="4" t="s">
        <v>5</v>
      </c>
      <c r="D41" s="19">
        <v>25000</v>
      </c>
    </row>
    <row r="42" spans="1:4" x14ac:dyDescent="0.25">
      <c r="A42" s="25"/>
      <c r="B42" s="4" t="s">
        <v>66</v>
      </c>
      <c r="C42" s="4" t="s">
        <v>5</v>
      </c>
      <c r="D42" s="19">
        <v>25000</v>
      </c>
    </row>
    <row r="43" spans="1:4" x14ac:dyDescent="0.25">
      <c r="A43" s="25"/>
      <c r="B43" s="2" t="s">
        <v>106</v>
      </c>
      <c r="C43" s="4" t="s">
        <v>5</v>
      </c>
      <c r="D43" s="19">
        <v>25000</v>
      </c>
    </row>
    <row r="44" spans="1:4" x14ac:dyDescent="0.25">
      <c r="A44" s="25"/>
      <c r="B44" s="4" t="s">
        <v>190</v>
      </c>
      <c r="C44" s="4" t="s">
        <v>5</v>
      </c>
      <c r="D44" s="19">
        <v>25000</v>
      </c>
    </row>
    <row r="45" spans="1:4" x14ac:dyDescent="0.25">
      <c r="A45" s="25"/>
      <c r="B45" s="4" t="s">
        <v>128</v>
      </c>
      <c r="C45" s="4" t="s">
        <v>5</v>
      </c>
      <c r="D45" s="19">
        <v>25000</v>
      </c>
    </row>
    <row r="46" spans="1:4" x14ac:dyDescent="0.25">
      <c r="A46" s="25"/>
      <c r="B46" s="2" t="s">
        <v>67</v>
      </c>
      <c r="C46" s="4" t="s">
        <v>5</v>
      </c>
      <c r="D46" s="19">
        <v>25000</v>
      </c>
    </row>
    <row r="47" spans="1:4" x14ac:dyDescent="0.25">
      <c r="A47" s="25"/>
      <c r="B47" s="2" t="s">
        <v>68</v>
      </c>
      <c r="C47" s="4" t="s">
        <v>5</v>
      </c>
      <c r="D47" s="19">
        <v>25000</v>
      </c>
    </row>
    <row r="48" spans="1:4" x14ac:dyDescent="0.25">
      <c r="A48" s="25"/>
      <c r="B48" s="2" t="s">
        <v>213</v>
      </c>
      <c r="C48" s="4" t="s">
        <v>5</v>
      </c>
      <c r="D48" s="19">
        <v>25000</v>
      </c>
    </row>
    <row r="49" spans="1:4" x14ac:dyDescent="0.25">
      <c r="A49" s="25"/>
      <c r="B49" s="2" t="s">
        <v>69</v>
      </c>
      <c r="C49" s="4" t="s">
        <v>5</v>
      </c>
      <c r="D49" s="19">
        <v>25000</v>
      </c>
    </row>
    <row r="50" spans="1:4" x14ac:dyDescent="0.25">
      <c r="A50" s="25"/>
      <c r="B50" s="2" t="s">
        <v>70</v>
      </c>
      <c r="C50" s="4" t="s">
        <v>5</v>
      </c>
      <c r="D50" s="19">
        <v>33000</v>
      </c>
    </row>
    <row r="51" spans="1:4" x14ac:dyDescent="0.25">
      <c r="A51" s="23"/>
      <c r="B51" s="2" t="s">
        <v>71</v>
      </c>
      <c r="C51" s="4" t="s">
        <v>8</v>
      </c>
      <c r="D51" s="19">
        <v>20000</v>
      </c>
    </row>
    <row r="52" spans="1:4" x14ac:dyDescent="0.25">
      <c r="A52" s="25"/>
      <c r="B52" s="4" t="s">
        <v>20</v>
      </c>
      <c r="C52" s="4" t="s">
        <v>8</v>
      </c>
      <c r="D52" s="19">
        <v>45000</v>
      </c>
    </row>
    <row r="53" spans="1:4" x14ac:dyDescent="0.25">
      <c r="A53" s="25"/>
      <c r="B53" s="2" t="s">
        <v>11</v>
      </c>
      <c r="C53" s="4" t="s">
        <v>8</v>
      </c>
      <c r="D53" s="19">
        <v>18000</v>
      </c>
    </row>
    <row r="54" spans="1:4" x14ac:dyDescent="0.25">
      <c r="A54" s="25"/>
      <c r="B54" s="2" t="s">
        <v>12</v>
      </c>
      <c r="C54" s="4" t="s">
        <v>8</v>
      </c>
      <c r="D54" s="19">
        <v>25000</v>
      </c>
    </row>
    <row r="55" spans="1:4" x14ac:dyDescent="0.25">
      <c r="A55" s="25"/>
      <c r="B55" s="2" t="s">
        <v>273</v>
      </c>
      <c r="C55" s="4" t="s">
        <v>8</v>
      </c>
      <c r="D55" s="19">
        <v>8000</v>
      </c>
    </row>
    <row r="56" spans="1:4" x14ac:dyDescent="0.25">
      <c r="A56" s="25"/>
      <c r="B56" s="2" t="s">
        <v>233</v>
      </c>
      <c r="C56" s="4" t="s">
        <v>8</v>
      </c>
      <c r="D56" s="19">
        <v>17000</v>
      </c>
    </row>
    <row r="57" spans="1:4" x14ac:dyDescent="0.25">
      <c r="A57" s="22"/>
      <c r="B57" s="3" t="s">
        <v>9</v>
      </c>
      <c r="C57" s="4" t="s">
        <v>8</v>
      </c>
      <c r="D57" s="19">
        <v>30000</v>
      </c>
    </row>
    <row r="58" spans="1:4" x14ac:dyDescent="0.25">
      <c r="A58" s="25"/>
      <c r="B58" s="2" t="s">
        <v>110</v>
      </c>
      <c r="C58" s="4" t="s">
        <v>8</v>
      </c>
      <c r="D58" s="19">
        <v>13000</v>
      </c>
    </row>
    <row r="59" spans="1:4" x14ac:dyDescent="0.25">
      <c r="A59" s="25"/>
      <c r="B59" s="2" t="s">
        <v>257</v>
      </c>
      <c r="C59" s="4" t="s">
        <v>8</v>
      </c>
      <c r="D59" s="19">
        <v>14000</v>
      </c>
    </row>
    <row r="60" spans="1:4" x14ac:dyDescent="0.25">
      <c r="A60" s="25"/>
      <c r="B60" s="2" t="s">
        <v>10</v>
      </c>
      <c r="C60" s="4" t="s">
        <v>8</v>
      </c>
      <c r="D60" s="19">
        <v>14000</v>
      </c>
    </row>
    <row r="61" spans="1:4" x14ac:dyDescent="0.25">
      <c r="A61" s="25"/>
      <c r="B61" s="4" t="s">
        <v>375</v>
      </c>
      <c r="C61" s="4" t="s">
        <v>8</v>
      </c>
      <c r="D61" s="19">
        <v>19000</v>
      </c>
    </row>
    <row r="62" spans="1:4" x14ac:dyDescent="0.25">
      <c r="A62" s="25"/>
      <c r="B62" s="4" t="s">
        <v>302</v>
      </c>
      <c r="C62" s="4" t="s">
        <v>164</v>
      </c>
      <c r="D62" s="19">
        <v>22000</v>
      </c>
    </row>
    <row r="63" spans="1:4" x14ac:dyDescent="0.25">
      <c r="A63" s="25"/>
      <c r="B63" s="4" t="s">
        <v>170</v>
      </c>
      <c r="C63" s="4" t="s">
        <v>164</v>
      </c>
      <c r="D63" s="19">
        <v>28000</v>
      </c>
    </row>
    <row r="64" spans="1:4" x14ac:dyDescent="0.25">
      <c r="A64" s="25"/>
      <c r="B64" s="4" t="s">
        <v>171</v>
      </c>
      <c r="C64" s="4" t="s">
        <v>164</v>
      </c>
      <c r="D64" s="19">
        <v>14000</v>
      </c>
    </row>
    <row r="65" spans="1:4" x14ac:dyDescent="0.25">
      <c r="A65" s="25"/>
      <c r="B65" s="4" t="s">
        <v>165</v>
      </c>
      <c r="C65" s="4" t="s">
        <v>164</v>
      </c>
      <c r="D65" s="19">
        <v>18000</v>
      </c>
    </row>
    <row r="66" spans="1:4" x14ac:dyDescent="0.25">
      <c r="A66" s="25"/>
      <c r="B66" s="4" t="s">
        <v>166</v>
      </c>
      <c r="C66" s="4" t="s">
        <v>164</v>
      </c>
      <c r="D66" s="19">
        <v>18000</v>
      </c>
    </row>
    <row r="67" spans="1:4" x14ac:dyDescent="0.25">
      <c r="A67" s="25"/>
      <c r="B67" s="4" t="s">
        <v>167</v>
      </c>
      <c r="C67" s="4" t="s">
        <v>164</v>
      </c>
      <c r="D67" s="19">
        <v>18000</v>
      </c>
    </row>
    <row r="68" spans="1:4" x14ac:dyDescent="0.25">
      <c r="A68" s="25"/>
      <c r="B68" s="4" t="s">
        <v>168</v>
      </c>
      <c r="C68" s="4" t="s">
        <v>164</v>
      </c>
      <c r="D68" s="19">
        <v>18000</v>
      </c>
    </row>
    <row r="69" spans="1:4" x14ac:dyDescent="0.25">
      <c r="A69" s="25"/>
      <c r="B69" s="4" t="s">
        <v>169</v>
      </c>
      <c r="C69" s="4" t="s">
        <v>164</v>
      </c>
      <c r="D69" s="19">
        <v>18000</v>
      </c>
    </row>
    <row r="70" spans="1:4" x14ac:dyDescent="0.25">
      <c r="A70" s="25"/>
      <c r="B70" s="4" t="s">
        <v>279</v>
      </c>
      <c r="C70" s="4" t="s">
        <v>164</v>
      </c>
      <c r="D70" s="19">
        <v>11000</v>
      </c>
    </row>
    <row r="71" spans="1:4" x14ac:dyDescent="0.25">
      <c r="A71" s="25"/>
      <c r="B71" s="4" t="s">
        <v>557</v>
      </c>
      <c r="C71" s="4" t="s">
        <v>164</v>
      </c>
      <c r="D71" s="19">
        <v>21000</v>
      </c>
    </row>
    <row r="72" spans="1:4" x14ac:dyDescent="0.25">
      <c r="A72" s="25"/>
      <c r="B72" s="4" t="s">
        <v>420</v>
      </c>
      <c r="C72" s="4" t="s">
        <v>117</v>
      </c>
      <c r="D72" s="19">
        <v>9000</v>
      </c>
    </row>
    <row r="73" spans="1:4" x14ac:dyDescent="0.25">
      <c r="A73" s="25"/>
      <c r="B73" s="4" t="s">
        <v>421</v>
      </c>
      <c r="C73" s="4" t="s">
        <v>117</v>
      </c>
      <c r="D73" s="19">
        <v>8000</v>
      </c>
    </row>
    <row r="74" spans="1:4" x14ac:dyDescent="0.25">
      <c r="A74" s="25"/>
      <c r="B74" s="4" t="s">
        <v>422</v>
      </c>
      <c r="C74" s="4" t="s">
        <v>117</v>
      </c>
      <c r="D74" s="19">
        <v>35000</v>
      </c>
    </row>
    <row r="75" spans="1:4" x14ac:dyDescent="0.25">
      <c r="A75" s="25"/>
      <c r="B75" s="4" t="s">
        <v>122</v>
      </c>
      <c r="C75" s="4" t="s">
        <v>117</v>
      </c>
      <c r="D75" s="19">
        <v>10000</v>
      </c>
    </row>
    <row r="76" spans="1:4" x14ac:dyDescent="0.25">
      <c r="A76" s="25"/>
      <c r="B76" s="4" t="s">
        <v>334</v>
      </c>
      <c r="C76" s="4" t="s">
        <v>117</v>
      </c>
      <c r="D76" s="19">
        <v>17000</v>
      </c>
    </row>
    <row r="77" spans="1:4" x14ac:dyDescent="0.25">
      <c r="A77" s="25"/>
      <c r="B77" s="4" t="s">
        <v>333</v>
      </c>
      <c r="C77" s="4" t="s">
        <v>117</v>
      </c>
      <c r="D77" s="19">
        <v>11000</v>
      </c>
    </row>
    <row r="78" spans="1:4" x14ac:dyDescent="0.25">
      <c r="A78" s="25"/>
      <c r="B78" s="4" t="s">
        <v>256</v>
      </c>
      <c r="C78" s="4" t="s">
        <v>117</v>
      </c>
      <c r="D78" s="19">
        <v>26000</v>
      </c>
    </row>
    <row r="79" spans="1:4" x14ac:dyDescent="0.25">
      <c r="A79" s="25"/>
      <c r="B79" s="4" t="s">
        <v>119</v>
      </c>
      <c r="C79" s="4" t="s">
        <v>117</v>
      </c>
      <c r="D79" s="19">
        <v>16000</v>
      </c>
    </row>
    <row r="80" spans="1:4" x14ac:dyDescent="0.25">
      <c r="A80" s="25"/>
      <c r="B80" s="2" t="s">
        <v>118</v>
      </c>
      <c r="C80" s="4" t="s">
        <v>117</v>
      </c>
      <c r="D80" s="19">
        <v>16000</v>
      </c>
    </row>
    <row r="81" spans="1:4" x14ac:dyDescent="0.25">
      <c r="A81" s="25"/>
      <c r="B81" s="4" t="s">
        <v>129</v>
      </c>
      <c r="C81" s="4" t="s">
        <v>117</v>
      </c>
      <c r="D81" s="19">
        <v>26000</v>
      </c>
    </row>
    <row r="82" spans="1:4" x14ac:dyDescent="0.25">
      <c r="A82" s="25"/>
      <c r="B82" s="2" t="s">
        <v>120</v>
      </c>
      <c r="C82" s="4" t="s">
        <v>117</v>
      </c>
      <c r="D82" s="19">
        <v>16000</v>
      </c>
    </row>
    <row r="83" spans="1:4" x14ac:dyDescent="0.25">
      <c r="A83" s="25"/>
      <c r="B83" s="2" t="s">
        <v>121</v>
      </c>
      <c r="C83" s="4" t="s">
        <v>117</v>
      </c>
      <c r="D83" s="19">
        <v>16000</v>
      </c>
    </row>
    <row r="84" spans="1:4" x14ac:dyDescent="0.25">
      <c r="A84" s="25"/>
      <c r="B84" s="10" t="s">
        <v>295</v>
      </c>
      <c r="C84" s="4" t="s">
        <v>113</v>
      </c>
      <c r="D84" s="19">
        <v>25000</v>
      </c>
    </row>
    <row r="85" spans="1:4" x14ac:dyDescent="0.25">
      <c r="A85" s="25"/>
      <c r="B85" s="10" t="s">
        <v>116</v>
      </c>
      <c r="C85" s="4" t="s">
        <v>113</v>
      </c>
      <c r="D85" s="19">
        <v>25000</v>
      </c>
    </row>
    <row r="86" spans="1:4" x14ac:dyDescent="0.25">
      <c r="A86" s="25"/>
      <c r="B86" s="4" t="s">
        <v>227</v>
      </c>
      <c r="C86" s="4" t="s">
        <v>113</v>
      </c>
      <c r="D86" s="19">
        <v>35000</v>
      </c>
    </row>
    <row r="87" spans="1:4" x14ac:dyDescent="0.25">
      <c r="A87" s="25"/>
      <c r="B87" s="10" t="s">
        <v>225</v>
      </c>
      <c r="C87" s="4" t="s">
        <v>113</v>
      </c>
      <c r="D87" s="19">
        <v>25000</v>
      </c>
    </row>
    <row r="88" spans="1:4" x14ac:dyDescent="0.25">
      <c r="A88" s="25"/>
      <c r="B88" s="10" t="s">
        <v>346</v>
      </c>
      <c r="C88" s="4" t="s">
        <v>113</v>
      </c>
      <c r="D88" s="19">
        <v>25000</v>
      </c>
    </row>
    <row r="89" spans="1:4" x14ac:dyDescent="0.25">
      <c r="A89" s="25"/>
      <c r="B89" s="4" t="s">
        <v>127</v>
      </c>
      <c r="C89" s="4" t="s">
        <v>113</v>
      </c>
      <c r="D89" s="19">
        <v>33000</v>
      </c>
    </row>
    <row r="90" spans="1:4" x14ac:dyDescent="0.25">
      <c r="A90" s="25"/>
      <c r="B90" s="4" t="s">
        <v>114</v>
      </c>
      <c r="C90" s="4" t="s">
        <v>113</v>
      </c>
      <c r="D90" s="19">
        <v>17000</v>
      </c>
    </row>
    <row r="91" spans="1:4" x14ac:dyDescent="0.25">
      <c r="A91" s="25"/>
      <c r="B91" s="4" t="s">
        <v>296</v>
      </c>
      <c r="C91" s="4" t="s">
        <v>113</v>
      </c>
      <c r="D91" s="19">
        <v>40000</v>
      </c>
    </row>
    <row r="92" spans="1:4" x14ac:dyDescent="0.25">
      <c r="A92" s="25"/>
      <c r="B92" s="4" t="s">
        <v>263</v>
      </c>
      <c r="C92" s="4" t="s">
        <v>113</v>
      </c>
      <c r="D92" s="19">
        <v>31000</v>
      </c>
    </row>
    <row r="93" spans="1:4" x14ac:dyDescent="0.25">
      <c r="A93" s="25"/>
      <c r="B93" s="6" t="s">
        <v>262</v>
      </c>
      <c r="C93" s="4" t="s">
        <v>113</v>
      </c>
      <c r="D93" s="19">
        <v>20000</v>
      </c>
    </row>
    <row r="94" spans="1:4" x14ac:dyDescent="0.25">
      <c r="B94" s="4" t="s">
        <v>261</v>
      </c>
      <c r="C94" s="4" t="s">
        <v>113</v>
      </c>
      <c r="D94" s="19">
        <v>20000</v>
      </c>
    </row>
    <row r="95" spans="1:4" x14ac:dyDescent="0.25">
      <c r="B95" s="4" t="s">
        <v>264</v>
      </c>
      <c r="C95" s="4" t="s">
        <v>113</v>
      </c>
      <c r="D95" s="19">
        <v>31000</v>
      </c>
    </row>
    <row r="96" spans="1:4" x14ac:dyDescent="0.25">
      <c r="A96" s="25"/>
      <c r="B96" s="10" t="s">
        <v>115</v>
      </c>
      <c r="C96" s="4" t="s">
        <v>113</v>
      </c>
      <c r="D96" s="19">
        <v>25000</v>
      </c>
    </row>
    <row r="97" spans="1:4" x14ac:dyDescent="0.25">
      <c r="A97" s="25"/>
      <c r="B97" s="10" t="s">
        <v>245</v>
      </c>
      <c r="C97" s="4" t="s">
        <v>113</v>
      </c>
      <c r="D97" s="19">
        <v>25000</v>
      </c>
    </row>
    <row r="98" spans="1:4" x14ac:dyDescent="0.25">
      <c r="A98" s="25"/>
      <c r="B98" s="4" t="s">
        <v>136</v>
      </c>
      <c r="C98" s="4" t="s">
        <v>113</v>
      </c>
      <c r="D98" s="19">
        <v>15000</v>
      </c>
    </row>
    <row r="99" spans="1:4" x14ac:dyDescent="0.25">
      <c r="A99" s="25"/>
      <c r="B99" s="4" t="s">
        <v>228</v>
      </c>
      <c r="C99" s="4" t="s">
        <v>113</v>
      </c>
      <c r="D99" s="19">
        <v>15000</v>
      </c>
    </row>
    <row r="100" spans="1:4" x14ac:dyDescent="0.25">
      <c r="A100" s="25"/>
      <c r="B100" s="6" t="s">
        <v>159</v>
      </c>
      <c r="C100" s="4" t="s">
        <v>113</v>
      </c>
      <c r="D100" s="19">
        <v>15000</v>
      </c>
    </row>
    <row r="101" spans="1:4" x14ac:dyDescent="0.25">
      <c r="A101" s="25"/>
      <c r="B101" s="4" t="s">
        <v>176</v>
      </c>
      <c r="C101" s="4" t="s">
        <v>113</v>
      </c>
      <c r="D101" s="19">
        <v>17000</v>
      </c>
    </row>
    <row r="102" spans="1:4" x14ac:dyDescent="0.25">
      <c r="A102" s="25"/>
      <c r="B102" s="4" t="s">
        <v>177</v>
      </c>
      <c r="C102" s="4" t="s">
        <v>113</v>
      </c>
      <c r="D102" s="19">
        <v>17000</v>
      </c>
    </row>
    <row r="103" spans="1:4" x14ac:dyDescent="0.25">
      <c r="B103" s="6" t="s">
        <v>306</v>
      </c>
      <c r="C103" s="4" t="s">
        <v>113</v>
      </c>
      <c r="D103" s="19">
        <v>45000</v>
      </c>
    </row>
    <row r="104" spans="1:4" x14ac:dyDescent="0.25">
      <c r="A104" s="25"/>
      <c r="B104" s="6" t="s">
        <v>188</v>
      </c>
      <c r="C104" s="4" t="s">
        <v>113</v>
      </c>
      <c r="D104" s="19">
        <v>17000</v>
      </c>
    </row>
    <row r="105" spans="1:4" x14ac:dyDescent="0.25">
      <c r="A105" s="25"/>
      <c r="B105" s="9" t="s">
        <v>179</v>
      </c>
      <c r="C105" s="4" t="s">
        <v>113</v>
      </c>
      <c r="D105" s="19">
        <v>25000</v>
      </c>
    </row>
    <row r="106" spans="1:4" x14ac:dyDescent="0.25">
      <c r="A106" s="25"/>
      <c r="B106" s="10" t="s">
        <v>123</v>
      </c>
      <c r="C106" s="4" t="s">
        <v>113</v>
      </c>
      <c r="D106" s="19">
        <v>33000</v>
      </c>
    </row>
    <row r="107" spans="1:4" x14ac:dyDescent="0.25">
      <c r="A107" s="25"/>
      <c r="B107" s="4" t="s">
        <v>565</v>
      </c>
      <c r="C107" s="4" t="s">
        <v>113</v>
      </c>
      <c r="D107" s="19">
        <v>28000</v>
      </c>
    </row>
    <row r="108" spans="1:4" x14ac:dyDescent="0.25">
      <c r="A108" s="25"/>
      <c r="B108" s="4" t="s">
        <v>564</v>
      </c>
      <c r="C108" s="4" t="s">
        <v>113</v>
      </c>
      <c r="D108" s="19">
        <v>17000</v>
      </c>
    </row>
    <row r="109" spans="1:4" x14ac:dyDescent="0.25">
      <c r="A109" s="25"/>
      <c r="B109" s="4" t="s">
        <v>160</v>
      </c>
      <c r="C109" s="4" t="s">
        <v>113</v>
      </c>
      <c r="D109" s="19">
        <v>10000</v>
      </c>
    </row>
    <row r="110" spans="1:4" x14ac:dyDescent="0.25">
      <c r="A110" s="25"/>
      <c r="B110" s="6" t="s">
        <v>297</v>
      </c>
      <c r="C110" s="4" t="s">
        <v>113</v>
      </c>
      <c r="D110" s="19">
        <v>33000</v>
      </c>
    </row>
    <row r="111" spans="1:4" x14ac:dyDescent="0.25">
      <c r="A111" s="25"/>
      <c r="B111" s="4" t="s">
        <v>300</v>
      </c>
      <c r="C111" s="4" t="s">
        <v>113</v>
      </c>
      <c r="D111" s="19">
        <v>12000</v>
      </c>
    </row>
    <row r="112" spans="1:4" x14ac:dyDescent="0.25">
      <c r="A112" s="25"/>
      <c r="B112" s="4" t="s">
        <v>298</v>
      </c>
      <c r="C112" s="4" t="s">
        <v>113</v>
      </c>
      <c r="D112" s="19">
        <v>12000</v>
      </c>
    </row>
    <row r="113" spans="1:7" x14ac:dyDescent="0.25">
      <c r="A113" s="25"/>
      <c r="B113" s="4" t="s">
        <v>246</v>
      </c>
      <c r="C113" s="4" t="s">
        <v>113</v>
      </c>
      <c r="D113" s="19">
        <v>35000</v>
      </c>
    </row>
    <row r="114" spans="1:7" x14ac:dyDescent="0.25">
      <c r="A114" s="25"/>
      <c r="B114" s="6" t="s">
        <v>223</v>
      </c>
      <c r="C114" s="4" t="s">
        <v>113</v>
      </c>
      <c r="D114" s="19">
        <v>17000</v>
      </c>
    </row>
    <row r="115" spans="1:7" x14ac:dyDescent="0.25">
      <c r="A115" s="25"/>
      <c r="B115" s="4" t="s">
        <v>563</v>
      </c>
      <c r="C115" s="4" t="s">
        <v>113</v>
      </c>
      <c r="D115" s="19">
        <v>11000</v>
      </c>
    </row>
    <row r="116" spans="1:7" x14ac:dyDescent="0.25">
      <c r="A116" s="25"/>
      <c r="B116" s="10" t="s">
        <v>347</v>
      </c>
      <c r="C116" s="4" t="s">
        <v>113</v>
      </c>
      <c r="D116" s="19">
        <v>25000</v>
      </c>
    </row>
    <row r="117" spans="1:7" x14ac:dyDescent="0.25">
      <c r="A117" s="25"/>
      <c r="B117" s="4" t="s">
        <v>178</v>
      </c>
      <c r="C117" s="4" t="s">
        <v>113</v>
      </c>
      <c r="D117" s="19">
        <v>17000</v>
      </c>
    </row>
    <row r="118" spans="1:7" x14ac:dyDescent="0.25">
      <c r="A118" s="25"/>
      <c r="B118" s="10" t="s">
        <v>299</v>
      </c>
      <c r="C118" s="4" t="s">
        <v>113</v>
      </c>
      <c r="D118" s="19">
        <v>19000</v>
      </c>
    </row>
    <row r="119" spans="1:7" x14ac:dyDescent="0.25">
      <c r="A119" s="25"/>
      <c r="B119" s="10" t="s">
        <v>219</v>
      </c>
      <c r="C119" s="4" t="s">
        <v>113</v>
      </c>
      <c r="D119" s="19">
        <v>25000</v>
      </c>
    </row>
    <row r="120" spans="1:7" x14ac:dyDescent="0.25">
      <c r="A120" s="26"/>
      <c r="B120" s="2" t="s">
        <v>72</v>
      </c>
      <c r="C120" s="4" t="s">
        <v>0</v>
      </c>
      <c r="D120" s="19">
        <v>35000</v>
      </c>
      <c r="G120" s="5"/>
    </row>
    <row r="121" spans="1:7" x14ac:dyDescent="0.25">
      <c r="A121" s="26"/>
      <c r="B121" s="2" t="s">
        <v>73</v>
      </c>
      <c r="C121" s="4" t="s">
        <v>0</v>
      </c>
      <c r="D121" s="19">
        <v>17000</v>
      </c>
      <c r="G121" s="5"/>
    </row>
    <row r="122" spans="1:7" x14ac:dyDescent="0.25">
      <c r="A122" s="26"/>
      <c r="B122" s="2" t="s">
        <v>268</v>
      </c>
      <c r="C122" s="4" t="s">
        <v>0</v>
      </c>
      <c r="D122" s="19">
        <v>42000</v>
      </c>
      <c r="G122" s="5"/>
    </row>
    <row r="123" spans="1:7" x14ac:dyDescent="0.25">
      <c r="A123" s="26"/>
      <c r="B123" s="2" t="s">
        <v>74</v>
      </c>
      <c r="C123" s="4" t="s">
        <v>0</v>
      </c>
      <c r="D123" s="19">
        <v>17000</v>
      </c>
      <c r="G123" s="5"/>
    </row>
    <row r="124" spans="1:7" x14ac:dyDescent="0.25">
      <c r="A124" s="26"/>
      <c r="B124" s="2" t="s">
        <v>75</v>
      </c>
      <c r="C124" s="4" t="s">
        <v>0</v>
      </c>
      <c r="D124" s="19">
        <v>143000</v>
      </c>
      <c r="G124" s="5"/>
    </row>
    <row r="125" spans="1:7" x14ac:dyDescent="0.25">
      <c r="A125" s="26"/>
      <c r="B125" s="2" t="s">
        <v>326</v>
      </c>
      <c r="C125" s="4" t="s">
        <v>0</v>
      </c>
      <c r="D125" s="19">
        <v>52000</v>
      </c>
      <c r="G125" s="5"/>
    </row>
    <row r="126" spans="1:7" x14ac:dyDescent="0.25">
      <c r="A126" s="26"/>
      <c r="B126" s="2" t="s">
        <v>109</v>
      </c>
      <c r="C126" s="4" t="s">
        <v>0</v>
      </c>
      <c r="D126" s="19">
        <v>32000</v>
      </c>
      <c r="G126" s="5"/>
    </row>
    <row r="127" spans="1:7" x14ac:dyDescent="0.25">
      <c r="A127" s="26"/>
      <c r="B127" s="4" t="s">
        <v>255</v>
      </c>
      <c r="C127" s="4" t="s">
        <v>0</v>
      </c>
      <c r="D127" s="19">
        <v>229000</v>
      </c>
      <c r="G127" s="5"/>
    </row>
    <row r="128" spans="1:7" x14ac:dyDescent="0.25">
      <c r="A128" s="26"/>
      <c r="B128" s="2" t="s">
        <v>76</v>
      </c>
      <c r="C128" s="4" t="s">
        <v>0</v>
      </c>
      <c r="D128" s="19">
        <v>18000</v>
      </c>
      <c r="G128" s="5"/>
    </row>
    <row r="129" spans="1:7" x14ac:dyDescent="0.25">
      <c r="A129" s="26"/>
      <c r="B129" s="2" t="s">
        <v>77</v>
      </c>
      <c r="C129" s="4" t="s">
        <v>0</v>
      </c>
      <c r="D129" s="19">
        <v>29000</v>
      </c>
      <c r="G129" s="5"/>
    </row>
    <row r="130" spans="1:7" x14ac:dyDescent="0.25">
      <c r="A130" s="26"/>
      <c r="B130" s="2" t="s">
        <v>78</v>
      </c>
      <c r="C130" s="4" t="s">
        <v>0</v>
      </c>
      <c r="D130" s="19">
        <v>62000</v>
      </c>
      <c r="G130" s="5"/>
    </row>
    <row r="131" spans="1:7" x14ac:dyDescent="0.25">
      <c r="A131" s="25"/>
      <c r="B131" s="6" t="s">
        <v>341</v>
      </c>
      <c r="C131" s="4" t="s">
        <v>340</v>
      </c>
      <c r="D131" s="19">
        <v>9000</v>
      </c>
      <c r="G131" s="5"/>
    </row>
    <row r="132" spans="1:7" x14ac:dyDescent="0.25">
      <c r="A132" s="25"/>
      <c r="B132" s="6" t="s">
        <v>342</v>
      </c>
      <c r="C132" s="4" t="s">
        <v>340</v>
      </c>
      <c r="D132" s="19">
        <v>9000</v>
      </c>
      <c r="G132" s="5"/>
    </row>
    <row r="133" spans="1:7" x14ac:dyDescent="0.25">
      <c r="A133" s="25"/>
      <c r="B133" s="6" t="s">
        <v>343</v>
      </c>
      <c r="C133" s="4" t="s">
        <v>340</v>
      </c>
      <c r="D133" s="19">
        <v>9000</v>
      </c>
      <c r="G133" s="5"/>
    </row>
    <row r="134" spans="1:7" x14ac:dyDescent="0.25">
      <c r="A134" s="25"/>
      <c r="B134" s="6" t="s">
        <v>344</v>
      </c>
      <c r="C134" s="4" t="s">
        <v>340</v>
      </c>
      <c r="D134" s="19">
        <v>9000</v>
      </c>
      <c r="G134" s="5"/>
    </row>
    <row r="135" spans="1:7" x14ac:dyDescent="0.25">
      <c r="A135" s="25"/>
      <c r="B135" s="6" t="s">
        <v>345</v>
      </c>
      <c r="C135" s="4" t="s">
        <v>340</v>
      </c>
      <c r="D135" s="19">
        <v>9000</v>
      </c>
      <c r="G135" s="5"/>
    </row>
    <row r="136" spans="1:7" x14ac:dyDescent="0.25">
      <c r="A136" s="25"/>
      <c r="B136" s="6" t="s">
        <v>349</v>
      </c>
      <c r="C136" s="4" t="s">
        <v>340</v>
      </c>
      <c r="D136" s="19">
        <v>15000</v>
      </c>
    </row>
    <row r="137" spans="1:7" x14ac:dyDescent="0.25">
      <c r="A137" s="25"/>
      <c r="B137" s="6" t="s">
        <v>350</v>
      </c>
      <c r="C137" s="4" t="s">
        <v>340</v>
      </c>
      <c r="D137" s="19">
        <v>15000</v>
      </c>
    </row>
    <row r="138" spans="1:7" x14ac:dyDescent="0.25">
      <c r="A138" s="25"/>
      <c r="B138" s="6" t="s">
        <v>351</v>
      </c>
      <c r="C138" s="4" t="s">
        <v>340</v>
      </c>
      <c r="D138" s="19">
        <v>15000</v>
      </c>
    </row>
    <row r="139" spans="1:7" x14ac:dyDescent="0.25">
      <c r="A139" s="25"/>
      <c r="B139" s="6" t="s">
        <v>360</v>
      </c>
      <c r="C139" s="4" t="s">
        <v>340</v>
      </c>
      <c r="D139" s="19">
        <v>5000</v>
      </c>
    </row>
    <row r="140" spans="1:7" x14ac:dyDescent="0.25">
      <c r="A140" s="25"/>
      <c r="B140" s="6" t="s">
        <v>361</v>
      </c>
      <c r="C140" s="4" t="s">
        <v>340</v>
      </c>
      <c r="D140" s="19">
        <v>5000</v>
      </c>
    </row>
    <row r="141" spans="1:7" x14ac:dyDescent="0.25">
      <c r="A141" s="25"/>
      <c r="B141" s="6" t="s">
        <v>362</v>
      </c>
      <c r="C141" s="4" t="s">
        <v>340</v>
      </c>
      <c r="D141" s="19">
        <v>5000</v>
      </c>
    </row>
    <row r="142" spans="1:7" x14ac:dyDescent="0.25">
      <c r="A142" s="25"/>
      <c r="B142" s="6" t="s">
        <v>363</v>
      </c>
      <c r="C142" s="4" t="s">
        <v>340</v>
      </c>
      <c r="D142" s="19">
        <v>5000</v>
      </c>
    </row>
    <row r="143" spans="1:7" x14ac:dyDescent="0.25">
      <c r="A143" s="25"/>
      <c r="B143" s="6" t="s">
        <v>364</v>
      </c>
      <c r="C143" s="4" t="s">
        <v>340</v>
      </c>
      <c r="D143" s="19">
        <v>5000</v>
      </c>
    </row>
    <row r="144" spans="1:7" x14ac:dyDescent="0.25">
      <c r="A144" s="25"/>
      <c r="B144" s="6" t="s">
        <v>365</v>
      </c>
      <c r="C144" s="4" t="s">
        <v>340</v>
      </c>
      <c r="D144" s="19">
        <v>5000</v>
      </c>
    </row>
    <row r="145" spans="1:4" x14ac:dyDescent="0.25">
      <c r="A145" s="25"/>
      <c r="B145" s="6" t="s">
        <v>352</v>
      </c>
      <c r="C145" s="4" t="s">
        <v>340</v>
      </c>
      <c r="D145" s="19">
        <v>8000</v>
      </c>
    </row>
    <row r="146" spans="1:4" x14ac:dyDescent="0.25">
      <c r="A146" s="25"/>
      <c r="B146" s="6" t="s">
        <v>353</v>
      </c>
      <c r="C146" s="4" t="s">
        <v>340</v>
      </c>
      <c r="D146" s="19">
        <v>8000</v>
      </c>
    </row>
    <row r="147" spans="1:4" x14ac:dyDescent="0.25">
      <c r="A147" s="25"/>
      <c r="B147" s="6" t="s">
        <v>354</v>
      </c>
      <c r="C147" s="4" t="s">
        <v>340</v>
      </c>
      <c r="D147" s="19">
        <v>8000</v>
      </c>
    </row>
    <row r="148" spans="1:4" x14ac:dyDescent="0.25">
      <c r="A148" s="25"/>
      <c r="B148" s="6" t="s">
        <v>355</v>
      </c>
      <c r="C148" s="4" t="s">
        <v>340</v>
      </c>
      <c r="D148" s="19">
        <v>8000</v>
      </c>
    </row>
    <row r="149" spans="1:4" x14ac:dyDescent="0.25">
      <c r="A149" s="25"/>
      <c r="B149" s="6" t="s">
        <v>356</v>
      </c>
      <c r="C149" s="4" t="s">
        <v>340</v>
      </c>
      <c r="D149" s="19">
        <v>8000</v>
      </c>
    </row>
    <row r="150" spans="1:4" x14ac:dyDescent="0.25">
      <c r="A150" s="25"/>
      <c r="B150" s="6" t="s">
        <v>357</v>
      </c>
      <c r="C150" s="4" t="s">
        <v>340</v>
      </c>
      <c r="D150" s="19">
        <v>8000</v>
      </c>
    </row>
    <row r="151" spans="1:4" x14ac:dyDescent="0.25">
      <c r="A151" s="25"/>
      <c r="B151" s="6" t="s">
        <v>366</v>
      </c>
      <c r="C151" s="4" t="s">
        <v>340</v>
      </c>
      <c r="D151" s="19">
        <v>8000</v>
      </c>
    </row>
    <row r="152" spans="1:4" x14ac:dyDescent="0.25">
      <c r="A152" s="25"/>
      <c r="B152" s="6" t="s">
        <v>359</v>
      </c>
      <c r="C152" s="4" t="s">
        <v>340</v>
      </c>
      <c r="D152" s="19">
        <v>5000</v>
      </c>
    </row>
    <row r="153" spans="1:4" x14ac:dyDescent="0.25">
      <c r="A153" s="25"/>
      <c r="B153" s="6" t="s">
        <v>358</v>
      </c>
      <c r="C153" s="4" t="s">
        <v>340</v>
      </c>
      <c r="D153" s="19">
        <v>5000</v>
      </c>
    </row>
    <row r="154" spans="1:4" x14ac:dyDescent="0.25">
      <c r="A154" s="25"/>
      <c r="B154" s="6" t="s">
        <v>440</v>
      </c>
      <c r="C154" s="4" t="s">
        <v>340</v>
      </c>
      <c r="D154" s="19">
        <v>8000</v>
      </c>
    </row>
    <row r="155" spans="1:4" x14ac:dyDescent="0.25">
      <c r="A155" s="25"/>
      <c r="B155" s="6" t="s">
        <v>378</v>
      </c>
      <c r="C155" s="4" t="s">
        <v>340</v>
      </c>
      <c r="D155" s="19">
        <v>8000</v>
      </c>
    </row>
    <row r="156" spans="1:4" x14ac:dyDescent="0.25">
      <c r="A156" s="25"/>
      <c r="B156" s="6" t="s">
        <v>348</v>
      </c>
      <c r="C156" s="4" t="s">
        <v>340</v>
      </c>
      <c r="D156" s="19">
        <v>5000</v>
      </c>
    </row>
    <row r="157" spans="1:4" x14ac:dyDescent="0.25">
      <c r="A157" s="23"/>
      <c r="B157" s="4" t="s">
        <v>477</v>
      </c>
      <c r="C157" s="4" t="s">
        <v>13</v>
      </c>
      <c r="D157" s="19">
        <v>22000</v>
      </c>
    </row>
    <row r="158" spans="1:4" x14ac:dyDescent="0.25">
      <c r="A158" s="25"/>
      <c r="B158" s="4" t="s">
        <v>220</v>
      </c>
      <c r="C158" s="4" t="s">
        <v>13</v>
      </c>
      <c r="D158" s="19">
        <v>22000</v>
      </c>
    </row>
    <row r="159" spans="1:4" x14ac:dyDescent="0.25">
      <c r="A159" s="25"/>
      <c r="B159" s="4" t="s">
        <v>242</v>
      </c>
      <c r="C159" s="4" t="s">
        <v>13</v>
      </c>
      <c r="D159" s="19">
        <v>22000</v>
      </c>
    </row>
    <row r="160" spans="1:4" x14ac:dyDescent="0.25">
      <c r="A160" s="25"/>
      <c r="B160" s="4" t="s">
        <v>244</v>
      </c>
      <c r="C160" s="4" t="s">
        <v>13</v>
      </c>
      <c r="D160" s="19">
        <v>12000</v>
      </c>
    </row>
    <row r="161" spans="1:4" x14ac:dyDescent="0.25">
      <c r="A161" s="25"/>
      <c r="B161" s="4" t="s">
        <v>79</v>
      </c>
      <c r="C161" s="4" t="s">
        <v>13</v>
      </c>
      <c r="D161" s="19">
        <v>18000</v>
      </c>
    </row>
    <row r="162" spans="1:4" x14ac:dyDescent="0.25">
      <c r="A162" s="25"/>
      <c r="B162" s="4" t="s">
        <v>301</v>
      </c>
      <c r="C162" s="4" t="s">
        <v>13</v>
      </c>
      <c r="D162" s="19">
        <v>22000</v>
      </c>
    </row>
    <row r="163" spans="1:4" x14ac:dyDescent="0.25">
      <c r="A163" s="25"/>
      <c r="B163" s="4" t="s">
        <v>80</v>
      </c>
      <c r="C163" s="4" t="s">
        <v>13</v>
      </c>
      <c r="D163" s="19">
        <v>11000</v>
      </c>
    </row>
    <row r="164" spans="1:4" x14ac:dyDescent="0.25">
      <c r="A164" s="25"/>
      <c r="B164" s="4" t="s">
        <v>466</v>
      </c>
      <c r="C164" s="4" t="s">
        <v>13</v>
      </c>
      <c r="D164" s="19">
        <v>11000</v>
      </c>
    </row>
    <row r="165" spans="1:4" x14ac:dyDescent="0.25">
      <c r="A165" s="25"/>
      <c r="B165" s="4" t="s">
        <v>467</v>
      </c>
      <c r="C165" s="4" t="s">
        <v>13</v>
      </c>
      <c r="D165" s="19">
        <v>13000</v>
      </c>
    </row>
    <row r="166" spans="1:4" x14ac:dyDescent="0.25">
      <c r="A166" s="25"/>
      <c r="B166" s="4" t="s">
        <v>81</v>
      </c>
      <c r="C166" s="4" t="s">
        <v>13</v>
      </c>
      <c r="D166" s="19">
        <v>17000</v>
      </c>
    </row>
    <row r="167" spans="1:4" x14ac:dyDescent="0.25">
      <c r="A167" s="25"/>
      <c r="B167" s="4" t="s">
        <v>101</v>
      </c>
      <c r="C167" s="4" t="s">
        <v>13</v>
      </c>
      <c r="D167" s="19">
        <v>9000</v>
      </c>
    </row>
    <row r="168" spans="1:4" x14ac:dyDescent="0.25">
      <c r="A168" s="25"/>
      <c r="B168" s="4" t="s">
        <v>182</v>
      </c>
      <c r="C168" s="4" t="s">
        <v>13</v>
      </c>
      <c r="D168" s="19">
        <v>9000</v>
      </c>
    </row>
    <row r="169" spans="1:4" x14ac:dyDescent="0.25">
      <c r="A169" s="25"/>
      <c r="B169" s="4" t="s">
        <v>135</v>
      </c>
      <c r="C169" s="4" t="s">
        <v>13</v>
      </c>
      <c r="D169" s="19">
        <v>22000</v>
      </c>
    </row>
    <row r="170" spans="1:4" x14ac:dyDescent="0.25">
      <c r="A170" s="25"/>
      <c r="B170" s="2" t="s">
        <v>336</v>
      </c>
      <c r="C170" s="4" t="s">
        <v>13</v>
      </c>
      <c r="D170" s="19">
        <v>34000</v>
      </c>
    </row>
    <row r="171" spans="1:4" x14ac:dyDescent="0.25">
      <c r="A171" s="25"/>
      <c r="B171" s="4" t="s">
        <v>162</v>
      </c>
      <c r="C171" s="4" t="s">
        <v>13</v>
      </c>
      <c r="D171" s="19">
        <v>22000</v>
      </c>
    </row>
    <row r="172" spans="1:4" x14ac:dyDescent="0.25">
      <c r="A172" s="25"/>
      <c r="B172" s="2" t="s">
        <v>82</v>
      </c>
      <c r="C172" s="4" t="s">
        <v>13</v>
      </c>
      <c r="D172" s="19">
        <v>19000</v>
      </c>
    </row>
    <row r="173" spans="1:4" x14ac:dyDescent="0.25">
      <c r="A173" s="25"/>
      <c r="B173" s="4" t="s">
        <v>462</v>
      </c>
      <c r="C173" s="4" t="s">
        <v>468</v>
      </c>
      <c r="D173" s="19">
        <v>28000</v>
      </c>
    </row>
    <row r="174" spans="1:4" x14ac:dyDescent="0.25">
      <c r="A174" s="25"/>
      <c r="B174" s="4" t="s">
        <v>423</v>
      </c>
      <c r="C174" s="4" t="s">
        <v>468</v>
      </c>
      <c r="D174" s="19">
        <v>23000</v>
      </c>
    </row>
    <row r="175" spans="1:4" x14ac:dyDescent="0.25">
      <c r="A175" s="25"/>
      <c r="B175" s="10" t="s">
        <v>303</v>
      </c>
      <c r="C175" s="4" t="s">
        <v>468</v>
      </c>
      <c r="D175" s="19">
        <v>6000</v>
      </c>
    </row>
    <row r="176" spans="1:4" x14ac:dyDescent="0.25">
      <c r="A176" s="25"/>
      <c r="B176" s="4" t="s">
        <v>419</v>
      </c>
      <c r="C176" s="4" t="s">
        <v>468</v>
      </c>
      <c r="D176" s="19">
        <v>27000</v>
      </c>
    </row>
    <row r="177" spans="1:4" x14ac:dyDescent="0.25">
      <c r="A177" s="25"/>
      <c r="B177" s="4" t="s">
        <v>458</v>
      </c>
      <c r="C177" s="4" t="s">
        <v>468</v>
      </c>
      <c r="D177" s="19">
        <v>28000</v>
      </c>
    </row>
    <row r="178" spans="1:4" x14ac:dyDescent="0.25">
      <c r="A178" s="25"/>
      <c r="B178" s="4" t="s">
        <v>453</v>
      </c>
      <c r="C178" s="4" t="s">
        <v>468</v>
      </c>
      <c r="D178" s="19">
        <v>32000</v>
      </c>
    </row>
    <row r="179" spans="1:4" x14ac:dyDescent="0.25">
      <c r="A179" s="23"/>
      <c r="B179" s="4" t="s">
        <v>418</v>
      </c>
      <c r="C179" s="4" t="s">
        <v>468</v>
      </c>
      <c r="D179" s="19">
        <v>33000</v>
      </c>
    </row>
    <row r="180" spans="1:4" x14ac:dyDescent="0.25">
      <c r="A180" s="25"/>
      <c r="B180" s="4" t="s">
        <v>424</v>
      </c>
      <c r="C180" s="4" t="s">
        <v>468</v>
      </c>
      <c r="D180" s="19">
        <v>37000</v>
      </c>
    </row>
    <row r="181" spans="1:4" x14ac:dyDescent="0.25">
      <c r="A181" s="25"/>
      <c r="B181" s="4" t="s">
        <v>455</v>
      </c>
      <c r="C181" s="4" t="s">
        <v>468</v>
      </c>
      <c r="D181" s="19">
        <v>37000</v>
      </c>
    </row>
    <row r="182" spans="1:4" x14ac:dyDescent="0.25">
      <c r="A182" s="23"/>
      <c r="B182" s="4" t="s">
        <v>425</v>
      </c>
      <c r="C182" s="4" t="s">
        <v>468</v>
      </c>
      <c r="D182" s="19">
        <v>41000</v>
      </c>
    </row>
    <row r="183" spans="1:4" x14ac:dyDescent="0.25">
      <c r="A183" s="23"/>
      <c r="B183" s="4" t="s">
        <v>541</v>
      </c>
      <c r="C183" s="4" t="s">
        <v>468</v>
      </c>
      <c r="D183" s="19">
        <v>27000</v>
      </c>
    </row>
    <row r="184" spans="1:4" x14ac:dyDescent="0.25">
      <c r="A184" s="23"/>
      <c r="B184" s="4" t="s">
        <v>426</v>
      </c>
      <c r="C184" s="4" t="s">
        <v>468</v>
      </c>
      <c r="D184" s="19">
        <v>25000</v>
      </c>
    </row>
    <row r="185" spans="1:4" x14ac:dyDescent="0.25">
      <c r="A185" s="25"/>
      <c r="B185" s="4" t="s">
        <v>432</v>
      </c>
      <c r="C185" s="4" t="s">
        <v>468</v>
      </c>
      <c r="D185" s="19">
        <v>40000</v>
      </c>
    </row>
    <row r="186" spans="1:4" x14ac:dyDescent="0.25">
      <c r="A186" s="23"/>
      <c r="B186" s="4" t="s">
        <v>498</v>
      </c>
      <c r="C186" s="4" t="s">
        <v>468</v>
      </c>
      <c r="D186" s="19">
        <v>49000</v>
      </c>
    </row>
    <row r="187" spans="1:4" x14ac:dyDescent="0.25">
      <c r="A187" s="25"/>
      <c r="B187" s="4" t="s">
        <v>427</v>
      </c>
      <c r="C187" s="4" t="s">
        <v>468</v>
      </c>
      <c r="D187" s="19">
        <v>25000</v>
      </c>
    </row>
    <row r="188" spans="1:4" x14ac:dyDescent="0.25">
      <c r="A188" s="25"/>
      <c r="B188" s="4" t="s">
        <v>428</v>
      </c>
      <c r="C188" s="4" t="s">
        <v>468</v>
      </c>
      <c r="D188" s="19">
        <v>32000</v>
      </c>
    </row>
    <row r="189" spans="1:4" x14ac:dyDescent="0.25">
      <c r="A189" s="25"/>
      <c r="B189" s="4" t="s">
        <v>463</v>
      </c>
      <c r="C189" s="4" t="s">
        <v>468</v>
      </c>
      <c r="D189" s="19">
        <v>42000</v>
      </c>
    </row>
    <row r="190" spans="1:4" x14ac:dyDescent="0.25">
      <c r="A190" s="25"/>
      <c r="B190" s="6" t="s">
        <v>275</v>
      </c>
      <c r="C190" s="4" t="s">
        <v>468</v>
      </c>
      <c r="D190" s="19">
        <v>10000</v>
      </c>
    </row>
    <row r="191" spans="1:4" x14ac:dyDescent="0.25">
      <c r="A191" s="25"/>
      <c r="B191" s="6" t="s">
        <v>274</v>
      </c>
      <c r="C191" s="4" t="s">
        <v>468</v>
      </c>
      <c r="D191" s="19">
        <v>10000</v>
      </c>
    </row>
    <row r="192" spans="1:4" x14ac:dyDescent="0.25">
      <c r="A192" s="25"/>
      <c r="B192" s="4" t="s">
        <v>430</v>
      </c>
      <c r="C192" s="4" t="s">
        <v>468</v>
      </c>
      <c r="D192" s="19">
        <v>26000</v>
      </c>
    </row>
    <row r="193" spans="1:10" x14ac:dyDescent="0.25">
      <c r="A193" s="25"/>
      <c r="B193" s="9" t="s">
        <v>276</v>
      </c>
      <c r="C193" s="4" t="s">
        <v>468</v>
      </c>
      <c r="D193" s="19">
        <v>57000</v>
      </c>
    </row>
    <row r="194" spans="1:10" x14ac:dyDescent="0.25">
      <c r="A194" s="25"/>
      <c r="B194" s="9" t="s">
        <v>277</v>
      </c>
      <c r="C194" s="4" t="s">
        <v>468</v>
      </c>
      <c r="D194" s="19">
        <v>6000</v>
      </c>
    </row>
    <row r="195" spans="1:10" x14ac:dyDescent="0.25">
      <c r="A195" s="25"/>
      <c r="B195" s="6" t="s">
        <v>278</v>
      </c>
      <c r="C195" s="4" t="s">
        <v>468</v>
      </c>
      <c r="D195" s="19">
        <v>6000</v>
      </c>
    </row>
    <row r="196" spans="1:10" x14ac:dyDescent="0.25">
      <c r="A196" s="25"/>
      <c r="B196" s="10" t="s">
        <v>332</v>
      </c>
      <c r="C196" s="4" t="s">
        <v>468</v>
      </c>
      <c r="D196" s="19">
        <v>6000</v>
      </c>
    </row>
    <row r="197" spans="1:10" x14ac:dyDescent="0.25">
      <c r="A197" s="25"/>
      <c r="B197" s="4" t="s">
        <v>499</v>
      </c>
      <c r="C197" s="4" t="s">
        <v>468</v>
      </c>
      <c r="D197" s="19">
        <v>37000</v>
      </c>
    </row>
    <row r="198" spans="1:10" x14ac:dyDescent="0.25">
      <c r="A198" s="25"/>
      <c r="B198" s="4" t="s">
        <v>464</v>
      </c>
      <c r="C198" s="4" t="s">
        <v>468</v>
      </c>
      <c r="D198" s="19">
        <v>38000</v>
      </c>
    </row>
    <row r="199" spans="1:10" x14ac:dyDescent="0.25">
      <c r="A199" s="23"/>
      <c r="B199" s="4" t="s">
        <v>439</v>
      </c>
      <c r="C199" s="4" t="s">
        <v>468</v>
      </c>
      <c r="D199" s="19">
        <v>37000</v>
      </c>
    </row>
    <row r="200" spans="1:10" x14ac:dyDescent="0.25">
      <c r="A200" s="25"/>
      <c r="B200" s="4" t="s">
        <v>500</v>
      </c>
      <c r="C200" s="4" t="s">
        <v>468</v>
      </c>
      <c r="D200" s="19">
        <v>72000</v>
      </c>
    </row>
    <row r="201" spans="1:10" x14ac:dyDescent="0.25">
      <c r="A201" s="25"/>
      <c r="B201" s="4" t="s">
        <v>513</v>
      </c>
      <c r="C201" s="4" t="s">
        <v>468</v>
      </c>
      <c r="D201" s="19">
        <v>30000</v>
      </c>
    </row>
    <row r="202" spans="1:10" x14ac:dyDescent="0.25">
      <c r="A202" s="25"/>
      <c r="B202" s="4" t="s">
        <v>501</v>
      </c>
      <c r="C202" s="4" t="s">
        <v>468</v>
      </c>
      <c r="D202" s="19">
        <v>3000</v>
      </c>
    </row>
    <row r="203" spans="1:10" x14ac:dyDescent="0.25">
      <c r="A203" s="25"/>
      <c r="B203" s="4" t="s">
        <v>465</v>
      </c>
      <c r="C203" s="4" t="s">
        <v>468</v>
      </c>
      <c r="D203" s="19">
        <v>33000</v>
      </c>
    </row>
    <row r="204" spans="1:10" x14ac:dyDescent="0.25">
      <c r="A204" s="23"/>
      <c r="B204" s="4" t="s">
        <v>560</v>
      </c>
      <c r="C204" s="4" t="s">
        <v>468</v>
      </c>
      <c r="D204" s="19">
        <v>37000</v>
      </c>
    </row>
    <row r="205" spans="1:10" x14ac:dyDescent="0.25">
      <c r="A205" s="23"/>
      <c r="B205" s="4" t="s">
        <v>457</v>
      </c>
      <c r="C205" s="4" t="s">
        <v>468</v>
      </c>
      <c r="D205" s="19">
        <v>43000</v>
      </c>
    </row>
    <row r="206" spans="1:10" x14ac:dyDescent="0.25">
      <c r="A206" s="23"/>
      <c r="B206" s="4" t="s">
        <v>456</v>
      </c>
      <c r="C206" s="4" t="s">
        <v>468</v>
      </c>
      <c r="D206" s="19">
        <v>33000</v>
      </c>
    </row>
    <row r="207" spans="1:10" x14ac:dyDescent="0.25">
      <c r="A207" s="25"/>
      <c r="B207" s="2" t="s">
        <v>27</v>
      </c>
      <c r="C207" s="4" t="s">
        <v>24</v>
      </c>
      <c r="D207" s="19">
        <v>91000</v>
      </c>
      <c r="G207" s="5"/>
      <c r="H207" s="5"/>
      <c r="I207" s="5"/>
      <c r="J207" s="5"/>
    </row>
    <row r="208" spans="1:10" x14ac:dyDescent="0.25">
      <c r="A208" s="25"/>
      <c r="B208" s="2" t="s">
        <v>514</v>
      </c>
      <c r="C208" s="4" t="s">
        <v>24</v>
      </c>
      <c r="D208" s="19">
        <v>53000</v>
      </c>
      <c r="G208" s="5"/>
      <c r="H208" s="5"/>
      <c r="I208" s="5"/>
      <c r="J208" s="5"/>
    </row>
    <row r="209" spans="1:10" x14ac:dyDescent="0.25">
      <c r="A209" s="25"/>
      <c r="B209" s="4" t="s">
        <v>26</v>
      </c>
      <c r="C209" s="4" t="s">
        <v>24</v>
      </c>
      <c r="D209" s="19">
        <v>60000</v>
      </c>
      <c r="G209" s="5"/>
      <c r="H209" s="5"/>
      <c r="I209" s="5"/>
      <c r="J209" s="5"/>
    </row>
    <row r="210" spans="1:10" x14ac:dyDescent="0.25">
      <c r="A210" s="25"/>
      <c r="B210" s="4" t="s">
        <v>39</v>
      </c>
      <c r="C210" s="4" t="s">
        <v>24</v>
      </c>
      <c r="D210" s="19">
        <v>132000</v>
      </c>
      <c r="G210" s="5"/>
      <c r="H210" s="5"/>
      <c r="I210" s="5"/>
      <c r="J210" s="5"/>
    </row>
    <row r="211" spans="1:10" x14ac:dyDescent="0.25">
      <c r="A211" s="25"/>
      <c r="B211" s="4" t="s">
        <v>28</v>
      </c>
      <c r="C211" s="4" t="s">
        <v>24</v>
      </c>
      <c r="D211" s="19">
        <v>94000</v>
      </c>
      <c r="G211" s="5"/>
      <c r="H211" s="5"/>
      <c r="I211" s="5"/>
      <c r="J211" s="5"/>
    </row>
    <row r="212" spans="1:10" x14ac:dyDescent="0.25">
      <c r="A212" s="25"/>
      <c r="B212" s="2" t="s">
        <v>25</v>
      </c>
      <c r="C212" s="4" t="s">
        <v>24</v>
      </c>
      <c r="D212" s="19">
        <v>60000</v>
      </c>
      <c r="G212" s="5"/>
      <c r="H212" s="5"/>
      <c r="I212" s="5"/>
      <c r="J212" s="5"/>
    </row>
    <row r="213" spans="1:10" x14ac:dyDescent="0.25">
      <c r="A213" s="25"/>
      <c r="B213" s="2" t="s">
        <v>38</v>
      </c>
      <c r="C213" s="4" t="s">
        <v>24</v>
      </c>
      <c r="D213" s="19">
        <v>132000</v>
      </c>
      <c r="G213" s="5"/>
      <c r="H213" s="5"/>
      <c r="I213" s="5"/>
      <c r="J213" s="5"/>
    </row>
    <row r="214" spans="1:10" x14ac:dyDescent="0.25">
      <c r="A214" s="25"/>
      <c r="B214" s="4" t="s">
        <v>409</v>
      </c>
      <c r="C214" s="4" t="s">
        <v>24</v>
      </c>
      <c r="D214" s="19">
        <v>114000</v>
      </c>
      <c r="G214" s="5"/>
      <c r="H214" s="5"/>
      <c r="I214" s="5"/>
      <c r="J214" s="5"/>
    </row>
    <row r="215" spans="1:10" x14ac:dyDescent="0.25">
      <c r="A215" s="25"/>
      <c r="B215" s="4" t="s">
        <v>441</v>
      </c>
      <c r="C215" s="4" t="s">
        <v>24</v>
      </c>
      <c r="D215" s="19">
        <v>114000</v>
      </c>
      <c r="G215" s="5"/>
      <c r="H215" s="5"/>
      <c r="I215" s="5"/>
      <c r="J215" s="5"/>
    </row>
    <row r="216" spans="1:10" x14ac:dyDescent="0.25">
      <c r="A216" s="25"/>
      <c r="B216" s="4" t="s">
        <v>410</v>
      </c>
      <c r="C216" s="4" t="s">
        <v>24</v>
      </c>
      <c r="D216" s="19">
        <v>114000</v>
      </c>
      <c r="G216" s="5"/>
      <c r="H216" s="5"/>
      <c r="I216" s="5"/>
      <c r="J216" s="5"/>
    </row>
    <row r="217" spans="1:10" x14ac:dyDescent="0.25">
      <c r="A217" s="23"/>
      <c r="B217" s="2" t="s">
        <v>83</v>
      </c>
      <c r="C217" s="4" t="s">
        <v>2</v>
      </c>
      <c r="D217" s="19">
        <v>17000</v>
      </c>
      <c r="H217" s="5"/>
    </row>
    <row r="218" spans="1:10" x14ac:dyDescent="0.25">
      <c r="A218" s="25"/>
      <c r="B218" s="4" t="s">
        <v>236</v>
      </c>
      <c r="C218" s="4" t="s">
        <v>2</v>
      </c>
      <c r="D218" s="19">
        <v>15000</v>
      </c>
    </row>
    <row r="219" spans="1:10" x14ac:dyDescent="0.25">
      <c r="A219" s="25"/>
      <c r="B219" s="2" t="s">
        <v>84</v>
      </c>
      <c r="C219" s="4" t="s">
        <v>2</v>
      </c>
      <c r="D219" s="19">
        <v>15000</v>
      </c>
    </row>
    <row r="220" spans="1:10" x14ac:dyDescent="0.25">
      <c r="A220" s="25"/>
      <c r="B220" s="2" t="s">
        <v>85</v>
      </c>
      <c r="C220" s="4" t="s">
        <v>2</v>
      </c>
      <c r="D220" s="19">
        <v>23000</v>
      </c>
    </row>
    <row r="221" spans="1:10" x14ac:dyDescent="0.25">
      <c r="A221" s="25"/>
      <c r="B221" s="2" t="s">
        <v>218</v>
      </c>
      <c r="C221" s="4" t="s">
        <v>2</v>
      </c>
      <c r="D221" s="19">
        <v>28000</v>
      </c>
    </row>
    <row r="222" spans="1:10" x14ac:dyDescent="0.25">
      <c r="A222" s="25"/>
      <c r="B222" s="2" t="s">
        <v>229</v>
      </c>
      <c r="C222" s="4" t="s">
        <v>2</v>
      </c>
      <c r="D222" s="19">
        <v>11000</v>
      </c>
    </row>
    <row r="223" spans="1:10" x14ac:dyDescent="0.25">
      <c r="A223" s="25"/>
      <c r="B223" s="4" t="s">
        <v>280</v>
      </c>
      <c r="C223" s="4" t="s">
        <v>2</v>
      </c>
      <c r="D223" s="19">
        <v>21000</v>
      </c>
    </row>
    <row r="224" spans="1:10" x14ac:dyDescent="0.25">
      <c r="A224" s="25"/>
      <c r="B224" s="2" t="s">
        <v>86</v>
      </c>
      <c r="C224" s="4" t="s">
        <v>2</v>
      </c>
      <c r="D224" s="19">
        <v>46000</v>
      </c>
    </row>
    <row r="225" spans="1:4" x14ac:dyDescent="0.25">
      <c r="A225" s="25"/>
      <c r="B225" s="4" t="s">
        <v>285</v>
      </c>
      <c r="C225" s="4" t="s">
        <v>2</v>
      </c>
      <c r="D225" s="19">
        <v>15000</v>
      </c>
    </row>
    <row r="226" spans="1:4" x14ac:dyDescent="0.25">
      <c r="A226" s="25"/>
      <c r="B226" s="3" t="s">
        <v>87</v>
      </c>
      <c r="C226" s="4" t="s">
        <v>2</v>
      </c>
      <c r="D226" s="19">
        <v>14000</v>
      </c>
    </row>
    <row r="227" spans="1:4" x14ac:dyDescent="0.25">
      <c r="A227" s="25"/>
      <c r="B227" s="2" t="s">
        <v>88</v>
      </c>
      <c r="C227" s="4" t="s">
        <v>2</v>
      </c>
      <c r="D227" s="19">
        <v>20000</v>
      </c>
    </row>
    <row r="228" spans="1:4" x14ac:dyDescent="0.25">
      <c r="A228" s="25"/>
      <c r="B228" s="2" t="s">
        <v>89</v>
      </c>
      <c r="C228" s="4" t="s">
        <v>2</v>
      </c>
      <c r="D228" s="19">
        <v>8000</v>
      </c>
    </row>
    <row r="229" spans="1:4" x14ac:dyDescent="0.25">
      <c r="A229" s="25"/>
      <c r="B229" s="2" t="s">
        <v>90</v>
      </c>
      <c r="C229" s="4" t="s">
        <v>2</v>
      </c>
      <c r="D229" s="19">
        <v>35000</v>
      </c>
    </row>
    <row r="230" spans="1:4" x14ac:dyDescent="0.25">
      <c r="A230" s="25"/>
      <c r="B230" s="2" t="s">
        <v>91</v>
      </c>
      <c r="C230" s="4" t="s">
        <v>2</v>
      </c>
      <c r="D230" s="19">
        <v>11000</v>
      </c>
    </row>
    <row r="231" spans="1:4" x14ac:dyDescent="0.25">
      <c r="A231" s="25"/>
      <c r="B231" s="2" t="s">
        <v>92</v>
      </c>
      <c r="C231" s="4" t="s">
        <v>2</v>
      </c>
      <c r="D231" s="19">
        <v>30000</v>
      </c>
    </row>
    <row r="232" spans="1:4" x14ac:dyDescent="0.25">
      <c r="A232" s="25"/>
      <c r="B232" s="2" t="s">
        <v>93</v>
      </c>
      <c r="C232" s="4" t="s">
        <v>2</v>
      </c>
      <c r="D232" s="19">
        <v>18000</v>
      </c>
    </row>
    <row r="233" spans="1:4" x14ac:dyDescent="0.25">
      <c r="A233" s="25"/>
      <c r="B233" s="2" t="s">
        <v>192</v>
      </c>
      <c r="C233" s="4" t="s">
        <v>2</v>
      </c>
      <c r="D233" s="19">
        <v>40000</v>
      </c>
    </row>
    <row r="234" spans="1:4" x14ac:dyDescent="0.25">
      <c r="A234" s="25"/>
      <c r="B234" s="4" t="s">
        <v>144</v>
      </c>
      <c r="C234" s="4" t="s">
        <v>137</v>
      </c>
      <c r="D234" s="19">
        <v>10000</v>
      </c>
    </row>
    <row r="235" spans="1:4" x14ac:dyDescent="0.25">
      <c r="A235" s="25"/>
      <c r="B235" s="4" t="s">
        <v>138</v>
      </c>
      <c r="C235" s="4" t="s">
        <v>137</v>
      </c>
      <c r="D235" s="19">
        <v>7000</v>
      </c>
    </row>
    <row r="236" spans="1:4" x14ac:dyDescent="0.25">
      <c r="A236" s="25"/>
      <c r="B236" s="4" t="s">
        <v>145</v>
      </c>
      <c r="C236" s="4" t="s">
        <v>137</v>
      </c>
      <c r="D236" s="19">
        <v>10000</v>
      </c>
    </row>
    <row r="237" spans="1:4" x14ac:dyDescent="0.25">
      <c r="A237" s="25"/>
      <c r="B237" s="4" t="s">
        <v>139</v>
      </c>
      <c r="C237" s="4" t="s">
        <v>137</v>
      </c>
      <c r="D237" s="19">
        <v>7000</v>
      </c>
    </row>
    <row r="238" spans="1:4" x14ac:dyDescent="0.25">
      <c r="A238" s="25"/>
      <c r="B238" s="4" t="s">
        <v>146</v>
      </c>
      <c r="C238" s="4" t="s">
        <v>137</v>
      </c>
      <c r="D238" s="19">
        <v>10000</v>
      </c>
    </row>
    <row r="239" spans="1:4" x14ac:dyDescent="0.25">
      <c r="A239" s="25"/>
      <c r="B239" s="4" t="s">
        <v>140</v>
      </c>
      <c r="C239" s="4" t="s">
        <v>137</v>
      </c>
      <c r="D239" s="19">
        <v>7000</v>
      </c>
    </row>
    <row r="240" spans="1:4" x14ac:dyDescent="0.25">
      <c r="A240" s="25"/>
      <c r="B240" s="4" t="s">
        <v>147</v>
      </c>
      <c r="C240" s="4" t="s">
        <v>137</v>
      </c>
      <c r="D240" s="19">
        <v>10000</v>
      </c>
    </row>
    <row r="241" spans="1:4" x14ac:dyDescent="0.25">
      <c r="A241" s="25"/>
      <c r="B241" s="4" t="s">
        <v>141</v>
      </c>
      <c r="C241" s="4" t="s">
        <v>137</v>
      </c>
      <c r="D241" s="19">
        <v>7000</v>
      </c>
    </row>
    <row r="242" spans="1:4" x14ac:dyDescent="0.25">
      <c r="A242" s="25"/>
      <c r="B242" s="4" t="s">
        <v>148</v>
      </c>
      <c r="C242" s="4" t="s">
        <v>137</v>
      </c>
      <c r="D242" s="19">
        <v>10000</v>
      </c>
    </row>
    <row r="243" spans="1:4" x14ac:dyDescent="0.25">
      <c r="A243" s="25"/>
      <c r="B243" s="6" t="s">
        <v>411</v>
      </c>
      <c r="C243" s="4" t="s">
        <v>137</v>
      </c>
      <c r="D243" s="19">
        <v>14000</v>
      </c>
    </row>
    <row r="244" spans="1:4" x14ac:dyDescent="0.25">
      <c r="A244" s="25"/>
      <c r="B244" s="4" t="s">
        <v>142</v>
      </c>
      <c r="C244" s="4" t="s">
        <v>137</v>
      </c>
      <c r="D244" s="19">
        <v>7000</v>
      </c>
    </row>
    <row r="245" spans="1:4" x14ac:dyDescent="0.25">
      <c r="A245" s="25"/>
      <c r="B245" s="4" t="s">
        <v>143</v>
      </c>
      <c r="C245" s="4" t="s">
        <v>137</v>
      </c>
      <c r="D245" s="19">
        <v>7000</v>
      </c>
    </row>
    <row r="246" spans="1:4" x14ac:dyDescent="0.25">
      <c r="A246" s="25"/>
      <c r="B246" s="4" t="s">
        <v>460</v>
      </c>
      <c r="C246" s="4" t="s">
        <v>137</v>
      </c>
      <c r="D246" s="19">
        <v>25000</v>
      </c>
    </row>
    <row r="247" spans="1:4" x14ac:dyDescent="0.25">
      <c r="A247" s="25"/>
      <c r="B247" s="4" t="s">
        <v>367</v>
      </c>
      <c r="C247" s="4" t="s">
        <v>137</v>
      </c>
      <c r="D247" s="19">
        <v>25000</v>
      </c>
    </row>
    <row r="248" spans="1:4" x14ac:dyDescent="0.25">
      <c r="A248" s="25"/>
      <c r="B248" s="4" t="s">
        <v>194</v>
      </c>
      <c r="C248" s="4" t="s">
        <v>137</v>
      </c>
      <c r="D248" s="19">
        <v>15000</v>
      </c>
    </row>
    <row r="249" spans="1:4" x14ac:dyDescent="0.25">
      <c r="A249" s="25"/>
      <c r="B249" s="4" t="s">
        <v>149</v>
      </c>
      <c r="C249" s="4" t="s">
        <v>137</v>
      </c>
      <c r="D249" s="19">
        <v>15000</v>
      </c>
    </row>
    <row r="250" spans="1:4" x14ac:dyDescent="0.25">
      <c r="A250" s="25"/>
      <c r="B250" s="4" t="s">
        <v>193</v>
      </c>
      <c r="C250" s="4" t="s">
        <v>137</v>
      </c>
      <c r="D250" s="19">
        <v>15000</v>
      </c>
    </row>
    <row r="251" spans="1:4" x14ac:dyDescent="0.25">
      <c r="A251" s="25"/>
      <c r="B251" s="4" t="s">
        <v>195</v>
      </c>
      <c r="C251" s="4" t="s">
        <v>137</v>
      </c>
      <c r="D251" s="19">
        <v>15000</v>
      </c>
    </row>
    <row r="252" spans="1:4" x14ac:dyDescent="0.25">
      <c r="A252" s="25"/>
      <c r="B252" s="4" t="s">
        <v>150</v>
      </c>
      <c r="C252" s="4" t="s">
        <v>137</v>
      </c>
      <c r="D252" s="19">
        <v>15000</v>
      </c>
    </row>
    <row r="253" spans="1:4" x14ac:dyDescent="0.25">
      <c r="A253" s="25"/>
      <c r="B253" s="4" t="s">
        <v>459</v>
      </c>
      <c r="C253" s="4" t="s">
        <v>137</v>
      </c>
      <c r="D253" s="19">
        <v>15000</v>
      </c>
    </row>
    <row r="254" spans="1:4" x14ac:dyDescent="0.25">
      <c r="A254" s="25"/>
      <c r="B254" s="4" t="s">
        <v>180</v>
      </c>
      <c r="C254" s="4" t="s">
        <v>137</v>
      </c>
      <c r="D254" s="19">
        <v>15000</v>
      </c>
    </row>
    <row r="255" spans="1:4" x14ac:dyDescent="0.25">
      <c r="A255" s="25"/>
      <c r="B255" s="4" t="s">
        <v>196</v>
      </c>
      <c r="C255" s="4" t="s">
        <v>137</v>
      </c>
      <c r="D255" s="19">
        <v>15000</v>
      </c>
    </row>
    <row r="256" spans="1:4" x14ac:dyDescent="0.25">
      <c r="A256" s="25"/>
      <c r="B256" s="4" t="s">
        <v>151</v>
      </c>
      <c r="C256" s="4" t="s">
        <v>137</v>
      </c>
      <c r="D256" s="19">
        <v>15000</v>
      </c>
    </row>
    <row r="257" spans="1:4" x14ac:dyDescent="0.25">
      <c r="A257" s="25"/>
      <c r="B257" s="4" t="s">
        <v>172</v>
      </c>
      <c r="C257" s="4" t="s">
        <v>137</v>
      </c>
      <c r="D257" s="19">
        <v>15000</v>
      </c>
    </row>
    <row r="258" spans="1:4" x14ac:dyDescent="0.25">
      <c r="A258" s="25"/>
      <c r="B258" s="4" t="s">
        <v>461</v>
      </c>
      <c r="C258" s="4" t="s">
        <v>137</v>
      </c>
      <c r="D258" s="19">
        <v>15000</v>
      </c>
    </row>
    <row r="259" spans="1:4" x14ac:dyDescent="0.25">
      <c r="A259" s="25"/>
      <c r="B259" s="4" t="s">
        <v>152</v>
      </c>
      <c r="C259" s="4" t="s">
        <v>137</v>
      </c>
      <c r="D259" s="19">
        <v>15000</v>
      </c>
    </row>
    <row r="260" spans="1:4" x14ac:dyDescent="0.25">
      <c r="A260" s="25"/>
      <c r="B260" s="4" t="s">
        <v>153</v>
      </c>
      <c r="C260" s="4" t="s">
        <v>137</v>
      </c>
      <c r="D260" s="19">
        <v>18000</v>
      </c>
    </row>
    <row r="261" spans="1:4" x14ac:dyDescent="0.25">
      <c r="A261" s="25"/>
      <c r="B261" s="4" t="s">
        <v>181</v>
      </c>
      <c r="C261" s="4" t="s">
        <v>137</v>
      </c>
      <c r="D261" s="19">
        <v>15000</v>
      </c>
    </row>
    <row r="262" spans="1:4" x14ac:dyDescent="0.25">
      <c r="A262" s="25"/>
      <c r="B262" s="4" t="s">
        <v>154</v>
      </c>
      <c r="C262" s="4" t="s">
        <v>137</v>
      </c>
      <c r="D262" s="19">
        <v>15000</v>
      </c>
    </row>
    <row r="263" spans="1:4" x14ac:dyDescent="0.25">
      <c r="A263" s="25"/>
      <c r="B263" s="4" t="s">
        <v>173</v>
      </c>
      <c r="C263" s="4" t="s">
        <v>137</v>
      </c>
      <c r="D263" s="19">
        <v>15000</v>
      </c>
    </row>
    <row r="264" spans="1:4" x14ac:dyDescent="0.25">
      <c r="A264" s="25"/>
      <c r="B264" s="4" t="s">
        <v>155</v>
      </c>
      <c r="C264" s="4" t="s">
        <v>137</v>
      </c>
      <c r="D264" s="19">
        <v>15000</v>
      </c>
    </row>
    <row r="265" spans="1:4" x14ac:dyDescent="0.25">
      <c r="A265" s="25"/>
      <c r="B265" s="4" t="s">
        <v>197</v>
      </c>
      <c r="C265" s="4" t="s">
        <v>137</v>
      </c>
      <c r="D265" s="19">
        <v>15000</v>
      </c>
    </row>
    <row r="266" spans="1:4" x14ac:dyDescent="0.25">
      <c r="A266" s="25"/>
      <c r="B266" s="4" t="s">
        <v>156</v>
      </c>
      <c r="C266" s="4" t="s">
        <v>137</v>
      </c>
      <c r="D266" s="19">
        <v>15000</v>
      </c>
    </row>
    <row r="267" spans="1:4" x14ac:dyDescent="0.25">
      <c r="A267" s="25"/>
      <c r="B267" s="4" t="s">
        <v>198</v>
      </c>
      <c r="C267" s="4" t="s">
        <v>137</v>
      </c>
      <c r="D267" s="19">
        <v>15000</v>
      </c>
    </row>
    <row r="268" spans="1:4" x14ac:dyDescent="0.25">
      <c r="A268" s="25"/>
      <c r="B268" s="4" t="s">
        <v>157</v>
      </c>
      <c r="C268" s="4" t="s">
        <v>137</v>
      </c>
      <c r="D268" s="19">
        <v>15000</v>
      </c>
    </row>
    <row r="269" spans="1:4" x14ac:dyDescent="0.25">
      <c r="A269" s="25"/>
      <c r="B269" s="4" t="s">
        <v>199</v>
      </c>
      <c r="C269" s="4" t="s">
        <v>137</v>
      </c>
      <c r="D269" s="19">
        <v>15000</v>
      </c>
    </row>
    <row r="270" spans="1:4" x14ac:dyDescent="0.25">
      <c r="A270" s="25"/>
      <c r="B270" s="6" t="s">
        <v>254</v>
      </c>
      <c r="C270" s="4" t="s">
        <v>137</v>
      </c>
      <c r="D270" s="19">
        <v>25000</v>
      </c>
    </row>
    <row r="271" spans="1:4" x14ac:dyDescent="0.25">
      <c r="A271" s="25"/>
      <c r="B271" s="6" t="s">
        <v>251</v>
      </c>
      <c r="C271" s="4" t="s">
        <v>137</v>
      </c>
      <c r="D271" s="19">
        <v>13000</v>
      </c>
    </row>
    <row r="272" spans="1:4" x14ac:dyDescent="0.25">
      <c r="A272" s="25"/>
      <c r="B272" s="4" t="s">
        <v>408</v>
      </c>
      <c r="C272" s="4" t="s">
        <v>137</v>
      </c>
      <c r="D272" s="19">
        <v>25000</v>
      </c>
    </row>
    <row r="273" spans="1:4" x14ac:dyDescent="0.25">
      <c r="A273" s="25"/>
      <c r="B273" s="6" t="s">
        <v>368</v>
      </c>
      <c r="C273" s="4" t="s">
        <v>137</v>
      </c>
      <c r="D273" s="19">
        <v>25000</v>
      </c>
    </row>
    <row r="274" spans="1:4" x14ac:dyDescent="0.25">
      <c r="A274" s="25"/>
      <c r="B274" s="4" t="s">
        <v>407</v>
      </c>
      <c r="C274" s="4" t="s">
        <v>137</v>
      </c>
      <c r="D274" s="19">
        <v>20000</v>
      </c>
    </row>
    <row r="275" spans="1:4" x14ac:dyDescent="0.25">
      <c r="A275" s="25"/>
      <c r="B275" s="4" t="s">
        <v>379</v>
      </c>
      <c r="C275" s="4" t="s">
        <v>137</v>
      </c>
      <c r="D275" s="19">
        <v>25000</v>
      </c>
    </row>
    <row r="276" spans="1:4" x14ac:dyDescent="0.25">
      <c r="A276" s="25"/>
      <c r="B276" s="4" t="s">
        <v>369</v>
      </c>
      <c r="C276" s="4" t="s">
        <v>137</v>
      </c>
      <c r="D276" s="19">
        <v>25000</v>
      </c>
    </row>
    <row r="277" spans="1:4" x14ac:dyDescent="0.25">
      <c r="A277" s="25"/>
      <c r="B277" s="4" t="s">
        <v>451</v>
      </c>
      <c r="C277" s="4" t="s">
        <v>137</v>
      </c>
      <c r="D277" s="19">
        <v>25000</v>
      </c>
    </row>
    <row r="278" spans="1:4" x14ac:dyDescent="0.25">
      <c r="A278" s="23"/>
      <c r="B278" s="2" t="s">
        <v>7</v>
      </c>
      <c r="C278" s="4" t="s">
        <v>3</v>
      </c>
      <c r="D278" s="19">
        <v>36000</v>
      </c>
    </row>
    <row r="279" spans="1:4" x14ac:dyDescent="0.25">
      <c r="A279" s="25"/>
      <c r="B279" s="4" t="s">
        <v>19</v>
      </c>
      <c r="C279" s="4" t="s">
        <v>3</v>
      </c>
      <c r="D279" s="19">
        <v>32000</v>
      </c>
    </row>
    <row r="280" spans="1:4" x14ac:dyDescent="0.25">
      <c r="A280" s="25"/>
      <c r="B280" s="2" t="s">
        <v>6</v>
      </c>
      <c r="C280" s="4" t="s">
        <v>3</v>
      </c>
      <c r="D280" s="19">
        <v>29000</v>
      </c>
    </row>
    <row r="281" spans="1:4" x14ac:dyDescent="0.25">
      <c r="A281" s="25"/>
      <c r="B281" s="4" t="s">
        <v>191</v>
      </c>
      <c r="C281" s="4" t="s">
        <v>3</v>
      </c>
      <c r="D281" s="19">
        <v>28000</v>
      </c>
    </row>
    <row r="282" spans="1:4" x14ac:dyDescent="0.25">
      <c r="A282" s="25"/>
      <c r="B282" s="2" t="s">
        <v>102</v>
      </c>
      <c r="C282" s="4" t="s">
        <v>3</v>
      </c>
      <c r="D282" s="19">
        <v>20000</v>
      </c>
    </row>
    <row r="283" spans="1:4" x14ac:dyDescent="0.25">
      <c r="A283" s="25"/>
      <c r="B283" s="4" t="s">
        <v>200</v>
      </c>
      <c r="C283" s="4" t="s">
        <v>3</v>
      </c>
      <c r="D283" s="19">
        <v>62000</v>
      </c>
    </row>
    <row r="284" spans="1:4" x14ac:dyDescent="0.25">
      <c r="A284" s="25"/>
      <c r="B284" s="4" t="s">
        <v>201</v>
      </c>
      <c r="C284" s="4" t="s">
        <v>3</v>
      </c>
      <c r="D284" s="19">
        <v>97000</v>
      </c>
    </row>
    <row r="285" spans="1:4" x14ac:dyDescent="0.25">
      <c r="A285" s="25"/>
      <c r="B285" s="4" t="s">
        <v>202</v>
      </c>
      <c r="C285" s="4" t="s">
        <v>3</v>
      </c>
      <c r="D285" s="19">
        <v>89000</v>
      </c>
    </row>
    <row r="286" spans="1:4" x14ac:dyDescent="0.25">
      <c r="A286" s="25"/>
      <c r="B286" s="4" t="s">
        <v>226</v>
      </c>
      <c r="C286" s="4" t="s">
        <v>3</v>
      </c>
      <c r="D286" s="19">
        <v>35000</v>
      </c>
    </row>
    <row r="287" spans="1:4" x14ac:dyDescent="0.25">
      <c r="A287" s="25"/>
      <c r="B287" s="4" t="s">
        <v>185</v>
      </c>
      <c r="C287" s="4" t="s">
        <v>3</v>
      </c>
      <c r="D287" s="19">
        <v>34000</v>
      </c>
    </row>
    <row r="288" spans="1:4" x14ac:dyDescent="0.25">
      <c r="A288" s="25"/>
      <c r="B288" s="2" t="s">
        <v>558</v>
      </c>
      <c r="C288" s="4" t="s">
        <v>3</v>
      </c>
      <c r="D288" s="19">
        <v>34000</v>
      </c>
    </row>
    <row r="289" spans="1:4" x14ac:dyDescent="0.25">
      <c r="A289" s="25"/>
      <c r="B289" s="4" t="s">
        <v>515</v>
      </c>
      <c r="C289" s="4" t="s">
        <v>3</v>
      </c>
      <c r="D289" s="19">
        <v>34000</v>
      </c>
    </row>
    <row r="290" spans="1:4" x14ac:dyDescent="0.25">
      <c r="A290" s="25"/>
      <c r="B290" s="2" t="s">
        <v>4</v>
      </c>
      <c r="C290" s="4" t="s">
        <v>3</v>
      </c>
      <c r="D290" s="19">
        <v>38000</v>
      </c>
    </row>
    <row r="291" spans="1:4" x14ac:dyDescent="0.25">
      <c r="A291" s="25"/>
      <c r="B291" s="2" t="s">
        <v>23</v>
      </c>
      <c r="C291" s="4" t="s">
        <v>3</v>
      </c>
      <c r="D291" s="19">
        <v>42000</v>
      </c>
    </row>
    <row r="292" spans="1:4" x14ac:dyDescent="0.25">
      <c r="A292" s="25"/>
      <c r="B292" s="4" t="s">
        <v>21</v>
      </c>
      <c r="C292" s="4" t="s">
        <v>3</v>
      </c>
      <c r="D292" s="19">
        <v>42000</v>
      </c>
    </row>
    <row r="293" spans="1:4" x14ac:dyDescent="0.25">
      <c r="A293" s="25"/>
      <c r="B293" s="4" t="s">
        <v>18</v>
      </c>
      <c r="C293" s="4" t="s">
        <v>3</v>
      </c>
      <c r="D293" s="19">
        <v>33000</v>
      </c>
    </row>
    <row r="294" spans="1:4" x14ac:dyDescent="0.25">
      <c r="A294" s="25"/>
      <c r="B294" s="4" t="s">
        <v>163</v>
      </c>
      <c r="C294" s="4" t="s">
        <v>3</v>
      </c>
      <c r="D294" s="19">
        <v>33000</v>
      </c>
    </row>
    <row r="295" spans="1:4" x14ac:dyDescent="0.25">
      <c r="A295" s="25"/>
      <c r="B295" s="4" t="s">
        <v>377</v>
      </c>
      <c r="C295" s="4" t="s">
        <v>376</v>
      </c>
      <c r="D295" s="19">
        <v>18000</v>
      </c>
    </row>
    <row r="296" spans="1:4" x14ac:dyDescent="0.25">
      <c r="A296" s="25"/>
      <c r="B296" s="4" t="s">
        <v>371</v>
      </c>
      <c r="C296" s="4" t="s">
        <v>376</v>
      </c>
      <c r="D296" s="19">
        <v>34000</v>
      </c>
    </row>
    <row r="297" spans="1:4" x14ac:dyDescent="0.25">
      <c r="A297" s="25"/>
      <c r="B297" s="4" t="s">
        <v>372</v>
      </c>
      <c r="C297" s="4" t="s">
        <v>376</v>
      </c>
      <c r="D297" s="19">
        <v>34000</v>
      </c>
    </row>
    <row r="298" spans="1:4" x14ac:dyDescent="0.25">
      <c r="A298" s="25"/>
      <c r="B298" s="4" t="s">
        <v>387</v>
      </c>
      <c r="C298" s="4" t="s">
        <v>376</v>
      </c>
      <c r="D298" s="19">
        <v>24000</v>
      </c>
    </row>
    <row r="299" spans="1:4" x14ac:dyDescent="0.25">
      <c r="A299" s="25"/>
      <c r="B299" s="4" t="s">
        <v>388</v>
      </c>
      <c r="C299" s="4" t="s">
        <v>376</v>
      </c>
      <c r="D299" s="19">
        <v>24000</v>
      </c>
    </row>
    <row r="300" spans="1:4" x14ac:dyDescent="0.25">
      <c r="A300" s="25"/>
      <c r="B300" s="4" t="s">
        <v>506</v>
      </c>
      <c r="C300" s="4" t="s">
        <v>103</v>
      </c>
      <c r="D300" s="19">
        <v>78000</v>
      </c>
    </row>
    <row r="301" spans="1:4" x14ac:dyDescent="0.25">
      <c r="A301" s="25"/>
      <c r="B301" s="4" t="s">
        <v>390</v>
      </c>
      <c r="C301" s="4" t="s">
        <v>103</v>
      </c>
      <c r="D301" s="19">
        <v>39000</v>
      </c>
    </row>
    <row r="302" spans="1:4" x14ac:dyDescent="0.25">
      <c r="A302" s="25"/>
      <c r="B302" s="4" t="s">
        <v>509</v>
      </c>
      <c r="C302" s="4" t="s">
        <v>103</v>
      </c>
      <c r="D302" s="19">
        <v>63000</v>
      </c>
    </row>
    <row r="303" spans="1:4" x14ac:dyDescent="0.25">
      <c r="A303" s="25"/>
      <c r="B303" s="4" t="s">
        <v>507</v>
      </c>
      <c r="C303" s="4" t="s">
        <v>103</v>
      </c>
      <c r="D303" s="19">
        <v>97000</v>
      </c>
    </row>
    <row r="304" spans="1:4" x14ac:dyDescent="0.25">
      <c r="A304" s="25"/>
      <c r="B304" s="4" t="s">
        <v>391</v>
      </c>
      <c r="C304" s="4" t="s">
        <v>103</v>
      </c>
      <c r="D304" s="19">
        <v>39000</v>
      </c>
    </row>
    <row r="305" spans="1:4" x14ac:dyDescent="0.25">
      <c r="A305" s="25"/>
      <c r="B305" s="4" t="s">
        <v>392</v>
      </c>
      <c r="C305" s="4" t="s">
        <v>103</v>
      </c>
      <c r="D305" s="19">
        <v>26000</v>
      </c>
    </row>
    <row r="306" spans="1:4" x14ac:dyDescent="0.25">
      <c r="A306" s="25"/>
      <c r="B306" s="4" t="s">
        <v>393</v>
      </c>
      <c r="C306" s="4" t="s">
        <v>103</v>
      </c>
      <c r="D306" s="19">
        <v>39000</v>
      </c>
    </row>
    <row r="307" spans="1:4" x14ac:dyDescent="0.25">
      <c r="A307" s="25"/>
      <c r="B307" s="4" t="s">
        <v>394</v>
      </c>
      <c r="C307" s="4" t="s">
        <v>103</v>
      </c>
      <c r="D307" s="19">
        <v>24000</v>
      </c>
    </row>
    <row r="308" spans="1:4" x14ac:dyDescent="0.25">
      <c r="A308" s="25"/>
      <c r="B308" s="3" t="s">
        <v>108</v>
      </c>
      <c r="C308" s="4" t="s">
        <v>103</v>
      </c>
      <c r="D308" s="19">
        <v>31000</v>
      </c>
    </row>
    <row r="309" spans="1:4" x14ac:dyDescent="0.25">
      <c r="A309" s="25"/>
      <c r="B309" s="4" t="s">
        <v>510</v>
      </c>
      <c r="C309" s="4" t="s">
        <v>103</v>
      </c>
      <c r="D309" s="19">
        <v>126000</v>
      </c>
    </row>
    <row r="310" spans="1:4" x14ac:dyDescent="0.25">
      <c r="A310" s="25"/>
      <c r="B310" s="4" t="s">
        <v>511</v>
      </c>
      <c r="C310" s="4" t="s">
        <v>103</v>
      </c>
      <c r="D310" s="19">
        <v>194000</v>
      </c>
    </row>
    <row r="311" spans="1:4" x14ac:dyDescent="0.25">
      <c r="A311" s="25"/>
      <c r="B311" s="4" t="s">
        <v>512</v>
      </c>
      <c r="C311" s="4" t="s">
        <v>103</v>
      </c>
      <c r="D311" s="19">
        <v>68000</v>
      </c>
    </row>
    <row r="312" spans="1:4" x14ac:dyDescent="0.25">
      <c r="A312" s="25"/>
      <c r="B312" s="4" t="s">
        <v>508</v>
      </c>
      <c r="C312" s="4" t="s">
        <v>103</v>
      </c>
      <c r="D312" s="19">
        <v>78000</v>
      </c>
    </row>
    <row r="313" spans="1:4" x14ac:dyDescent="0.25">
      <c r="A313" s="25"/>
      <c r="B313" s="4" t="s">
        <v>395</v>
      </c>
      <c r="C313" s="4" t="s">
        <v>103</v>
      </c>
      <c r="D313" s="19">
        <v>36000</v>
      </c>
    </row>
    <row r="314" spans="1:4" x14ac:dyDescent="0.25">
      <c r="A314" s="25"/>
      <c r="B314" s="4" t="s">
        <v>396</v>
      </c>
      <c r="C314" s="4" t="s">
        <v>103</v>
      </c>
      <c r="D314" s="19">
        <v>24000</v>
      </c>
    </row>
    <row r="315" spans="1:4" x14ac:dyDescent="0.25">
      <c r="A315" s="25"/>
      <c r="B315" s="4" t="s">
        <v>397</v>
      </c>
      <c r="C315" s="4" t="s">
        <v>103</v>
      </c>
      <c r="D315" s="19">
        <v>39000</v>
      </c>
    </row>
    <row r="316" spans="1:4" x14ac:dyDescent="0.25">
      <c r="A316" s="25"/>
      <c r="B316" s="4" t="s">
        <v>398</v>
      </c>
      <c r="C316" s="4" t="s">
        <v>103</v>
      </c>
      <c r="D316" s="19">
        <v>25000</v>
      </c>
    </row>
    <row r="317" spans="1:4" x14ac:dyDescent="0.25">
      <c r="A317" s="25"/>
      <c r="B317" s="4" t="s">
        <v>536</v>
      </c>
      <c r="C317" s="4" t="s">
        <v>529</v>
      </c>
      <c r="D317" s="19">
        <v>13000</v>
      </c>
    </row>
    <row r="318" spans="1:4" x14ac:dyDescent="0.25">
      <c r="A318" s="25"/>
      <c r="B318" s="4" t="s">
        <v>526</v>
      </c>
      <c r="C318" s="4" t="s">
        <v>529</v>
      </c>
      <c r="D318" s="19">
        <v>8000</v>
      </c>
    </row>
    <row r="319" spans="1:4" x14ac:dyDescent="0.25">
      <c r="A319" s="25"/>
      <c r="B319" s="4" t="s">
        <v>527</v>
      </c>
      <c r="C319" s="4" t="s">
        <v>529</v>
      </c>
      <c r="D319" s="19">
        <v>8000</v>
      </c>
    </row>
    <row r="320" spans="1:4" x14ac:dyDescent="0.25">
      <c r="A320" s="25"/>
      <c r="B320" s="4" t="s">
        <v>528</v>
      </c>
      <c r="C320" s="4" t="s">
        <v>529</v>
      </c>
      <c r="D320" s="19">
        <v>10000</v>
      </c>
    </row>
    <row r="321" spans="1:4" x14ac:dyDescent="0.25">
      <c r="A321" s="25"/>
      <c r="B321" s="4" t="s">
        <v>530</v>
      </c>
      <c r="C321" s="4" t="s">
        <v>529</v>
      </c>
      <c r="D321" s="19">
        <v>54000</v>
      </c>
    </row>
    <row r="322" spans="1:4" x14ac:dyDescent="0.25">
      <c r="A322" s="25"/>
      <c r="B322" s="4" t="s">
        <v>537</v>
      </c>
      <c r="C322" s="4" t="s">
        <v>529</v>
      </c>
      <c r="D322" s="19">
        <v>16000</v>
      </c>
    </row>
    <row r="323" spans="1:4" x14ac:dyDescent="0.25">
      <c r="A323" s="25"/>
      <c r="B323" s="4" t="s">
        <v>531</v>
      </c>
      <c r="C323" s="4" t="s">
        <v>529</v>
      </c>
      <c r="D323" s="19">
        <v>21000</v>
      </c>
    </row>
    <row r="324" spans="1:4" x14ac:dyDescent="0.25">
      <c r="A324" s="25"/>
      <c r="B324" s="4" t="s">
        <v>532</v>
      </c>
      <c r="C324" s="4" t="s">
        <v>529</v>
      </c>
      <c r="D324" s="19">
        <v>17000</v>
      </c>
    </row>
    <row r="325" spans="1:4" x14ac:dyDescent="0.25">
      <c r="A325" s="25"/>
      <c r="B325" s="4" t="s">
        <v>533</v>
      </c>
      <c r="C325" s="4" t="s">
        <v>529</v>
      </c>
      <c r="D325" s="19">
        <v>30000</v>
      </c>
    </row>
    <row r="326" spans="1:4" x14ac:dyDescent="0.25">
      <c r="A326" s="25"/>
      <c r="B326" s="4" t="s">
        <v>534</v>
      </c>
      <c r="C326" s="4" t="s">
        <v>529</v>
      </c>
      <c r="D326" s="19">
        <v>152000</v>
      </c>
    </row>
    <row r="327" spans="1:4" x14ac:dyDescent="0.25">
      <c r="A327" s="25"/>
      <c r="B327" s="6" t="s">
        <v>436</v>
      </c>
      <c r="C327" s="4" t="s">
        <v>433</v>
      </c>
      <c r="D327" s="19">
        <v>16000</v>
      </c>
    </row>
    <row r="328" spans="1:4" x14ac:dyDescent="0.25">
      <c r="A328" s="25"/>
      <c r="B328" s="6" t="s">
        <v>442</v>
      </c>
      <c r="C328" s="4" t="s">
        <v>433</v>
      </c>
      <c r="D328" s="19">
        <v>17000</v>
      </c>
    </row>
    <row r="329" spans="1:4" x14ac:dyDescent="0.25">
      <c r="A329" s="25"/>
      <c r="B329" s="6" t="s">
        <v>434</v>
      </c>
      <c r="C329" s="4" t="s">
        <v>433</v>
      </c>
      <c r="D329" s="19">
        <v>21000</v>
      </c>
    </row>
    <row r="330" spans="1:4" x14ac:dyDescent="0.25">
      <c r="A330" s="25"/>
      <c r="B330" s="6" t="s">
        <v>447</v>
      </c>
      <c r="C330" s="4" t="s">
        <v>433</v>
      </c>
      <c r="D330" s="19">
        <v>21000</v>
      </c>
    </row>
    <row r="331" spans="1:4" x14ac:dyDescent="0.25">
      <c r="A331" s="25"/>
      <c r="B331" s="6" t="s">
        <v>448</v>
      </c>
      <c r="C331" s="4" t="s">
        <v>433</v>
      </c>
      <c r="D331" s="19">
        <v>21000</v>
      </c>
    </row>
    <row r="332" spans="1:4" x14ac:dyDescent="0.25">
      <c r="A332" s="25"/>
      <c r="B332" s="6" t="s">
        <v>437</v>
      </c>
      <c r="C332" s="4" t="s">
        <v>433</v>
      </c>
      <c r="D332" s="19">
        <v>21000</v>
      </c>
    </row>
    <row r="333" spans="1:4" x14ac:dyDescent="0.25">
      <c r="A333" s="25"/>
      <c r="B333" s="6" t="s">
        <v>435</v>
      </c>
      <c r="C333" s="4" t="s">
        <v>433</v>
      </c>
      <c r="D333" s="19">
        <v>21000</v>
      </c>
    </row>
    <row r="334" spans="1:4" x14ac:dyDescent="0.25">
      <c r="A334" s="25"/>
      <c r="B334" s="4" t="s">
        <v>249</v>
      </c>
      <c r="C334" s="4" t="s">
        <v>22</v>
      </c>
      <c r="D334" s="19">
        <v>11000</v>
      </c>
    </row>
    <row r="335" spans="1:4" x14ac:dyDescent="0.25">
      <c r="A335" s="25"/>
      <c r="B335" s="4" t="s">
        <v>250</v>
      </c>
      <c r="C335" s="4" t="s">
        <v>22</v>
      </c>
      <c r="D335" s="19">
        <v>11000</v>
      </c>
    </row>
    <row r="336" spans="1:4" x14ac:dyDescent="0.25">
      <c r="A336" s="25"/>
      <c r="B336" s="4" t="s">
        <v>248</v>
      </c>
      <c r="C336" s="4" t="s">
        <v>22</v>
      </c>
      <c r="D336" s="19">
        <v>24000</v>
      </c>
    </row>
    <row r="337" spans="1:4" x14ac:dyDescent="0.25">
      <c r="A337" s="25"/>
      <c r="B337" s="4" t="s">
        <v>399</v>
      </c>
      <c r="C337" s="4" t="s">
        <v>22</v>
      </c>
      <c r="D337" s="19">
        <v>21000</v>
      </c>
    </row>
    <row r="338" spans="1:4" x14ac:dyDescent="0.25">
      <c r="A338" s="25"/>
      <c r="B338" s="4" t="s">
        <v>124</v>
      </c>
      <c r="C338" s="4" t="s">
        <v>22</v>
      </c>
      <c r="D338" s="19">
        <v>49000</v>
      </c>
    </row>
    <row r="339" spans="1:4" x14ac:dyDescent="0.25">
      <c r="A339" s="25"/>
      <c r="B339" s="6" t="s">
        <v>158</v>
      </c>
      <c r="C339" s="4" t="s">
        <v>22</v>
      </c>
      <c r="D339" s="19">
        <v>37000</v>
      </c>
    </row>
    <row r="340" spans="1:4" x14ac:dyDescent="0.25">
      <c r="A340" s="25"/>
      <c r="B340" s="4" t="s">
        <v>416</v>
      </c>
      <c r="C340" s="4" t="s">
        <v>22</v>
      </c>
      <c r="D340" s="19">
        <v>31000</v>
      </c>
    </row>
    <row r="341" spans="1:4" x14ac:dyDescent="0.25">
      <c r="A341" s="25"/>
      <c r="B341" s="2" t="s">
        <v>216</v>
      </c>
      <c r="C341" s="4" t="s">
        <v>22</v>
      </c>
      <c r="D341" s="19">
        <v>186000</v>
      </c>
    </row>
    <row r="342" spans="1:4" x14ac:dyDescent="0.25">
      <c r="A342" s="25"/>
      <c r="B342" s="2" t="s">
        <v>215</v>
      </c>
      <c r="C342" s="4" t="s">
        <v>22</v>
      </c>
      <c r="D342" s="19">
        <v>3000</v>
      </c>
    </row>
    <row r="343" spans="1:4" x14ac:dyDescent="0.25">
      <c r="A343" s="25"/>
      <c r="B343" s="4" t="s">
        <v>214</v>
      </c>
      <c r="C343" s="4" t="s">
        <v>22</v>
      </c>
      <c r="D343" s="19">
        <v>25000</v>
      </c>
    </row>
    <row r="344" spans="1:4" x14ac:dyDescent="0.25">
      <c r="A344" s="25"/>
      <c r="B344" s="4" t="s">
        <v>414</v>
      </c>
      <c r="C344" s="4" t="s">
        <v>22</v>
      </c>
      <c r="D344" s="19">
        <v>38000</v>
      </c>
    </row>
    <row r="345" spans="1:4" x14ac:dyDescent="0.25">
      <c r="A345" s="25"/>
      <c r="B345" s="4" t="s">
        <v>415</v>
      </c>
      <c r="C345" s="4" t="s">
        <v>22</v>
      </c>
      <c r="D345" s="19">
        <v>38000</v>
      </c>
    </row>
    <row r="346" spans="1:4" x14ac:dyDescent="0.25">
      <c r="A346" s="25"/>
      <c r="B346" s="2" t="s">
        <v>217</v>
      </c>
      <c r="C346" s="4" t="s">
        <v>22</v>
      </c>
      <c r="D346" s="19">
        <v>243000</v>
      </c>
    </row>
    <row r="347" spans="1:4" x14ac:dyDescent="0.25">
      <c r="A347" s="25"/>
      <c r="B347" s="2" t="s">
        <v>284</v>
      </c>
      <c r="C347" s="4" t="s">
        <v>22</v>
      </c>
      <c r="D347" s="19">
        <v>32000</v>
      </c>
    </row>
    <row r="348" spans="1:4" x14ac:dyDescent="0.25">
      <c r="A348" s="25"/>
      <c r="B348" s="2" t="s">
        <v>175</v>
      </c>
      <c r="C348" s="4" t="s">
        <v>22</v>
      </c>
      <c r="D348" s="19">
        <v>3000</v>
      </c>
    </row>
    <row r="349" spans="1:4" x14ac:dyDescent="0.25">
      <c r="A349" s="25"/>
      <c r="B349" s="2" t="s">
        <v>374</v>
      </c>
      <c r="C349" s="4" t="s">
        <v>22</v>
      </c>
      <c r="D349" s="19">
        <v>28000</v>
      </c>
    </row>
    <row r="350" spans="1:4" x14ac:dyDescent="0.25">
      <c r="A350" s="25"/>
      <c r="B350" s="2" t="s">
        <v>125</v>
      </c>
      <c r="C350" s="4" t="s">
        <v>22</v>
      </c>
      <c r="D350" s="19">
        <v>40000</v>
      </c>
    </row>
    <row r="351" spans="1:4" x14ac:dyDescent="0.25">
      <c r="A351" s="25"/>
      <c r="B351" s="3" t="s">
        <v>126</v>
      </c>
      <c r="C351" s="4" t="s">
        <v>22</v>
      </c>
      <c r="D351" s="19">
        <v>40000</v>
      </c>
    </row>
    <row r="352" spans="1:4" x14ac:dyDescent="0.25">
      <c r="A352" s="25"/>
      <c r="B352" s="6" t="s">
        <v>438</v>
      </c>
      <c r="C352" s="4" t="s">
        <v>22</v>
      </c>
      <c r="D352" s="19">
        <v>46000</v>
      </c>
    </row>
    <row r="353" spans="1:4" x14ac:dyDescent="0.25">
      <c r="A353" s="25"/>
      <c r="B353" s="3" t="s">
        <v>417</v>
      </c>
      <c r="C353" s="4" t="s">
        <v>22</v>
      </c>
      <c r="D353" s="19">
        <v>66000</v>
      </c>
    </row>
    <row r="354" spans="1:4" x14ac:dyDescent="0.25">
      <c r="A354" s="25"/>
      <c r="B354" s="4" t="s">
        <v>320</v>
      </c>
      <c r="C354" s="4" t="s">
        <v>308</v>
      </c>
      <c r="D354" s="19">
        <v>3000</v>
      </c>
    </row>
    <row r="355" spans="1:4" x14ac:dyDescent="0.25">
      <c r="A355" s="25"/>
      <c r="B355" s="6" t="s">
        <v>324</v>
      </c>
      <c r="C355" s="4" t="s">
        <v>308</v>
      </c>
      <c r="D355" s="19">
        <v>12000</v>
      </c>
    </row>
    <row r="356" spans="1:4" x14ac:dyDescent="0.25">
      <c r="A356" s="25"/>
      <c r="B356" s="4" t="s">
        <v>321</v>
      </c>
      <c r="C356" s="4" t="s">
        <v>308</v>
      </c>
      <c r="D356" s="19">
        <v>7000</v>
      </c>
    </row>
    <row r="357" spans="1:4" x14ac:dyDescent="0.25">
      <c r="A357" s="25"/>
      <c r="B357" s="4" t="s">
        <v>319</v>
      </c>
      <c r="C357" s="4" t="s">
        <v>308</v>
      </c>
      <c r="D357" s="19">
        <v>4000</v>
      </c>
    </row>
    <row r="358" spans="1:4" x14ac:dyDescent="0.25">
      <c r="A358" s="25"/>
      <c r="B358" s="6" t="s">
        <v>322</v>
      </c>
      <c r="C358" s="4" t="s">
        <v>308</v>
      </c>
      <c r="D358" s="19">
        <v>6000</v>
      </c>
    </row>
    <row r="359" spans="1:4" x14ac:dyDescent="0.25">
      <c r="A359" s="25"/>
      <c r="B359" s="4" t="s">
        <v>373</v>
      </c>
      <c r="C359" s="4" t="s">
        <v>308</v>
      </c>
      <c r="D359" s="19">
        <v>11000</v>
      </c>
    </row>
    <row r="360" spans="1:4" x14ac:dyDescent="0.25">
      <c r="A360" s="25"/>
      <c r="B360" s="4" t="s">
        <v>318</v>
      </c>
      <c r="C360" s="4" t="s">
        <v>308</v>
      </c>
      <c r="D360" s="19">
        <v>9000</v>
      </c>
    </row>
    <row r="361" spans="1:4" x14ac:dyDescent="0.25">
      <c r="A361" s="25"/>
      <c r="B361" s="4" t="s">
        <v>316</v>
      </c>
      <c r="C361" s="4" t="s">
        <v>308</v>
      </c>
      <c r="D361" s="19">
        <v>7000</v>
      </c>
    </row>
    <row r="362" spans="1:4" x14ac:dyDescent="0.25">
      <c r="A362" s="25"/>
      <c r="B362" s="4" t="s">
        <v>315</v>
      </c>
      <c r="C362" s="4" t="s">
        <v>308</v>
      </c>
      <c r="D362" s="19">
        <v>6000</v>
      </c>
    </row>
    <row r="363" spans="1:4" x14ac:dyDescent="0.25">
      <c r="A363" s="25"/>
      <c r="B363" s="4" t="s">
        <v>323</v>
      </c>
      <c r="C363" s="4" t="s">
        <v>308</v>
      </c>
      <c r="D363" s="19">
        <v>5000</v>
      </c>
    </row>
    <row r="364" spans="1:4" x14ac:dyDescent="0.25">
      <c r="A364" s="23"/>
      <c r="B364" s="4" t="s">
        <v>317</v>
      </c>
      <c r="C364" s="4" t="s">
        <v>308</v>
      </c>
      <c r="D364" s="19">
        <v>35000</v>
      </c>
    </row>
    <row r="365" spans="1:4" x14ac:dyDescent="0.25">
      <c r="A365" s="25"/>
      <c r="B365" s="4" t="s">
        <v>314</v>
      </c>
      <c r="C365" s="4" t="s">
        <v>308</v>
      </c>
      <c r="D365" s="19">
        <v>4000</v>
      </c>
    </row>
    <row r="366" spans="1:4" x14ac:dyDescent="0.25">
      <c r="A366" s="25"/>
      <c r="B366" s="4" t="s">
        <v>313</v>
      </c>
      <c r="C366" s="4" t="s">
        <v>308</v>
      </c>
      <c r="D366" s="19">
        <v>3000</v>
      </c>
    </row>
    <row r="367" spans="1:4" x14ac:dyDescent="0.25">
      <c r="A367" s="25"/>
      <c r="B367" s="4" t="s">
        <v>325</v>
      </c>
      <c r="C367" s="4" t="s">
        <v>308</v>
      </c>
      <c r="D367" s="19">
        <v>3000</v>
      </c>
    </row>
    <row r="368" spans="1:4" x14ac:dyDescent="0.25">
      <c r="A368" s="25"/>
      <c r="B368" s="6" t="s">
        <v>309</v>
      </c>
      <c r="C368" s="4" t="s">
        <v>308</v>
      </c>
      <c r="D368" s="19">
        <v>22000</v>
      </c>
    </row>
    <row r="369" spans="1:4" x14ac:dyDescent="0.25">
      <c r="A369" s="25"/>
      <c r="B369" s="6" t="s">
        <v>310</v>
      </c>
      <c r="C369" s="4" t="s">
        <v>308</v>
      </c>
      <c r="D369" s="19">
        <v>22000</v>
      </c>
    </row>
    <row r="370" spans="1:4" x14ac:dyDescent="0.25">
      <c r="A370" s="25"/>
      <c r="B370" s="6" t="s">
        <v>311</v>
      </c>
      <c r="C370" s="4" t="s">
        <v>308</v>
      </c>
      <c r="D370" s="19">
        <v>22000</v>
      </c>
    </row>
    <row r="371" spans="1:4" x14ac:dyDescent="0.25">
      <c r="A371" s="25"/>
      <c r="B371" s="6" t="s">
        <v>312</v>
      </c>
      <c r="C371" s="4" t="s">
        <v>308</v>
      </c>
      <c r="D371" s="19">
        <v>18000</v>
      </c>
    </row>
    <row r="372" spans="1:4" x14ac:dyDescent="0.25">
      <c r="A372" s="23"/>
      <c r="B372" s="4" t="s">
        <v>286</v>
      </c>
      <c r="C372" s="4" t="s">
        <v>29</v>
      </c>
      <c r="D372" s="19">
        <v>30000</v>
      </c>
    </row>
    <row r="373" spans="1:4" x14ac:dyDescent="0.25">
      <c r="A373" s="25"/>
      <c r="B373" s="4" t="s">
        <v>30</v>
      </c>
      <c r="C373" s="4" t="s">
        <v>29</v>
      </c>
      <c r="D373" s="19">
        <v>30000</v>
      </c>
    </row>
    <row r="374" spans="1:4" x14ac:dyDescent="0.25">
      <c r="A374" s="25"/>
      <c r="B374" s="4" t="s">
        <v>161</v>
      </c>
      <c r="C374" s="4" t="s">
        <v>29</v>
      </c>
      <c r="D374" s="19">
        <v>35000</v>
      </c>
    </row>
    <row r="375" spans="1:4" x14ac:dyDescent="0.25">
      <c r="A375" s="25"/>
      <c r="B375" s="4" t="s">
        <v>243</v>
      </c>
      <c r="C375" s="4" t="s">
        <v>29</v>
      </c>
      <c r="D375" s="19">
        <v>22000</v>
      </c>
    </row>
    <row r="376" spans="1:4" x14ac:dyDescent="0.25">
      <c r="A376" s="25"/>
      <c r="B376" s="4" t="s">
        <v>203</v>
      </c>
      <c r="C376" s="4" t="s">
        <v>29</v>
      </c>
      <c r="D376" s="19">
        <v>29000</v>
      </c>
    </row>
    <row r="377" spans="1:4" x14ac:dyDescent="0.25">
      <c r="A377" s="25"/>
      <c r="B377" s="4" t="s">
        <v>204</v>
      </c>
      <c r="C377" s="4" t="s">
        <v>29</v>
      </c>
      <c r="D377" s="19">
        <v>36000</v>
      </c>
    </row>
    <row r="378" spans="1:4" x14ac:dyDescent="0.25">
      <c r="A378" s="25"/>
      <c r="B378" s="4" t="s">
        <v>34</v>
      </c>
      <c r="C378" s="4" t="s">
        <v>29</v>
      </c>
      <c r="D378" s="19">
        <v>17000</v>
      </c>
    </row>
    <row r="379" spans="1:4" x14ac:dyDescent="0.25">
      <c r="A379" s="25"/>
      <c r="B379" s="4" t="s">
        <v>205</v>
      </c>
      <c r="C379" s="4" t="s">
        <v>29</v>
      </c>
      <c r="D379" s="19">
        <v>17000</v>
      </c>
    </row>
    <row r="380" spans="1:4" x14ac:dyDescent="0.25">
      <c r="A380" s="25"/>
      <c r="B380" s="4" t="s">
        <v>206</v>
      </c>
      <c r="C380" s="4" t="s">
        <v>29</v>
      </c>
      <c r="D380" s="19">
        <v>17000</v>
      </c>
    </row>
    <row r="381" spans="1:4" x14ac:dyDescent="0.25">
      <c r="A381" s="25"/>
      <c r="B381" s="4" t="s">
        <v>207</v>
      </c>
      <c r="C381" s="4" t="s">
        <v>29</v>
      </c>
      <c r="D381" s="19">
        <v>16000</v>
      </c>
    </row>
    <row r="382" spans="1:4" x14ac:dyDescent="0.25">
      <c r="A382" s="25"/>
      <c r="B382" s="4" t="s">
        <v>112</v>
      </c>
      <c r="C382" s="4" t="s">
        <v>29</v>
      </c>
      <c r="D382" s="19">
        <v>21000</v>
      </c>
    </row>
    <row r="383" spans="1:4" x14ac:dyDescent="0.25">
      <c r="A383" s="25"/>
      <c r="B383" s="4" t="s">
        <v>99</v>
      </c>
      <c r="C383" s="4" t="s">
        <v>29</v>
      </c>
      <c r="D383" s="19">
        <v>11000</v>
      </c>
    </row>
    <row r="384" spans="1:4" x14ac:dyDescent="0.25">
      <c r="A384" s="25"/>
      <c r="B384" s="4" t="s">
        <v>32</v>
      </c>
      <c r="C384" s="4" t="s">
        <v>29</v>
      </c>
      <c r="D384" s="19">
        <v>16000</v>
      </c>
    </row>
    <row r="385" spans="1:4" x14ac:dyDescent="0.25">
      <c r="A385" s="25"/>
      <c r="B385" s="4" t="s">
        <v>100</v>
      </c>
      <c r="C385" s="4" t="s">
        <v>29</v>
      </c>
      <c r="D385" s="19">
        <v>15000</v>
      </c>
    </row>
    <row r="386" spans="1:4" x14ac:dyDescent="0.25">
      <c r="A386" s="25"/>
      <c r="B386" s="4" t="s">
        <v>230</v>
      </c>
      <c r="C386" s="4" t="s">
        <v>29</v>
      </c>
      <c r="D386" s="19">
        <v>17000</v>
      </c>
    </row>
    <row r="387" spans="1:4" x14ac:dyDescent="0.25">
      <c r="A387" s="25"/>
      <c r="B387" s="4" t="s">
        <v>260</v>
      </c>
      <c r="C387" s="4" t="s">
        <v>29</v>
      </c>
      <c r="D387" s="19">
        <v>11000</v>
      </c>
    </row>
    <row r="388" spans="1:4" x14ac:dyDescent="0.25">
      <c r="A388" s="25"/>
      <c r="B388" s="4" t="s">
        <v>231</v>
      </c>
      <c r="C388" s="4" t="s">
        <v>29</v>
      </c>
      <c r="D388" s="19">
        <v>17000</v>
      </c>
    </row>
    <row r="389" spans="1:4" x14ac:dyDescent="0.25">
      <c r="A389" s="25"/>
      <c r="B389" s="4" t="s">
        <v>35</v>
      </c>
      <c r="C389" s="4" t="s">
        <v>29</v>
      </c>
      <c r="D389" s="19">
        <v>11000</v>
      </c>
    </row>
    <row r="390" spans="1:4" x14ac:dyDescent="0.25">
      <c r="A390" s="25"/>
      <c r="B390" s="4" t="s">
        <v>33</v>
      </c>
      <c r="C390" s="4" t="s">
        <v>29</v>
      </c>
      <c r="D390" s="19">
        <v>16000</v>
      </c>
    </row>
    <row r="391" spans="1:4" x14ac:dyDescent="0.25">
      <c r="A391" s="25"/>
      <c r="B391" s="4" t="s">
        <v>31</v>
      </c>
      <c r="C391" s="4" t="s">
        <v>29</v>
      </c>
      <c r="D391" s="19">
        <v>16000</v>
      </c>
    </row>
    <row r="392" spans="1:4" x14ac:dyDescent="0.25">
      <c r="A392" s="25"/>
      <c r="B392" s="4" t="s">
        <v>94</v>
      </c>
      <c r="C392" s="4" t="s">
        <v>29</v>
      </c>
      <c r="D392" s="19">
        <v>22000</v>
      </c>
    </row>
    <row r="393" spans="1:4" x14ac:dyDescent="0.25">
      <c r="A393" s="25"/>
      <c r="B393" s="4" t="s">
        <v>95</v>
      </c>
      <c r="C393" s="4" t="s">
        <v>29</v>
      </c>
      <c r="D393" s="19">
        <v>39000</v>
      </c>
    </row>
    <row r="394" spans="1:4" x14ac:dyDescent="0.25">
      <c r="A394" s="25"/>
      <c r="B394" s="4" t="s">
        <v>37</v>
      </c>
      <c r="C394" s="4" t="s">
        <v>29</v>
      </c>
      <c r="D394" s="19">
        <v>12000</v>
      </c>
    </row>
    <row r="395" spans="1:4" x14ac:dyDescent="0.25">
      <c r="A395" s="25"/>
      <c r="B395" s="4" t="s">
        <v>107</v>
      </c>
      <c r="C395" s="4" t="s">
        <v>29</v>
      </c>
      <c r="D395" s="19">
        <v>28000</v>
      </c>
    </row>
    <row r="396" spans="1:4" x14ac:dyDescent="0.25">
      <c r="A396" s="25"/>
      <c r="B396" s="4" t="s">
        <v>288</v>
      </c>
      <c r="C396" s="4" t="s">
        <v>29</v>
      </c>
      <c r="D396" s="19">
        <v>41000</v>
      </c>
    </row>
    <row r="397" spans="1:4" x14ac:dyDescent="0.25">
      <c r="A397" s="25"/>
      <c r="B397" s="4" t="s">
        <v>287</v>
      </c>
      <c r="C397" s="4" t="s">
        <v>29</v>
      </c>
      <c r="D397" s="19">
        <v>29000</v>
      </c>
    </row>
    <row r="398" spans="1:4" x14ac:dyDescent="0.25">
      <c r="A398" s="25"/>
      <c r="B398" s="4" t="s">
        <v>208</v>
      </c>
      <c r="C398" s="4" t="s">
        <v>29</v>
      </c>
      <c r="D398" s="19">
        <v>16000</v>
      </c>
    </row>
    <row r="399" spans="1:4" x14ac:dyDescent="0.25">
      <c r="A399" s="25"/>
      <c r="B399" s="4" t="s">
        <v>209</v>
      </c>
      <c r="C399" s="4" t="s">
        <v>29</v>
      </c>
      <c r="D399" s="19">
        <v>22000</v>
      </c>
    </row>
    <row r="400" spans="1:4" x14ac:dyDescent="0.25">
      <c r="A400" s="25"/>
      <c r="B400" s="4" t="s">
        <v>36</v>
      </c>
      <c r="C400" s="4" t="s">
        <v>29</v>
      </c>
      <c r="D400" s="19">
        <v>26000</v>
      </c>
    </row>
    <row r="401" spans="1:4" x14ac:dyDescent="0.25">
      <c r="A401" s="23"/>
      <c r="B401" s="4" t="s">
        <v>544</v>
      </c>
      <c r="C401" s="4" t="s">
        <v>543</v>
      </c>
      <c r="D401" s="19">
        <v>17000</v>
      </c>
    </row>
    <row r="402" spans="1:4" x14ac:dyDescent="0.25">
      <c r="A402" s="25"/>
      <c r="B402" s="4" t="s">
        <v>545</v>
      </c>
      <c r="C402" s="4" t="s">
        <v>543</v>
      </c>
      <c r="D402" s="19">
        <v>59000</v>
      </c>
    </row>
    <row r="403" spans="1:4" x14ac:dyDescent="0.25">
      <c r="A403" s="25"/>
      <c r="B403" s="4" t="s">
        <v>546</v>
      </c>
      <c r="C403" s="4" t="s">
        <v>543</v>
      </c>
      <c r="D403" s="19">
        <v>59000</v>
      </c>
    </row>
    <row r="404" spans="1:4" x14ac:dyDescent="0.25">
      <c r="A404" s="25"/>
      <c r="B404" s="4" t="s">
        <v>547</v>
      </c>
      <c r="C404" s="4" t="s">
        <v>543</v>
      </c>
      <c r="D404" s="19">
        <v>98000</v>
      </c>
    </row>
    <row r="405" spans="1:4" x14ac:dyDescent="0.25">
      <c r="A405" s="25"/>
      <c r="B405" s="4" t="s">
        <v>548</v>
      </c>
      <c r="C405" s="4" t="s">
        <v>543</v>
      </c>
      <c r="D405" s="19">
        <v>86000</v>
      </c>
    </row>
    <row r="406" spans="1:4" x14ac:dyDescent="0.25">
      <c r="A406" s="25"/>
      <c r="B406" s="4" t="s">
        <v>553</v>
      </c>
      <c r="C406" s="4" t="s">
        <v>543</v>
      </c>
      <c r="D406" s="19">
        <v>69000</v>
      </c>
    </row>
    <row r="407" spans="1:4" x14ac:dyDescent="0.25">
      <c r="A407" s="25"/>
      <c r="B407" s="4" t="s">
        <v>554</v>
      </c>
      <c r="C407" s="4" t="s">
        <v>543</v>
      </c>
      <c r="D407" s="19">
        <v>67000</v>
      </c>
    </row>
    <row r="408" spans="1:4" x14ac:dyDescent="0.25">
      <c r="A408" s="25"/>
      <c r="B408" s="4" t="s">
        <v>549</v>
      </c>
      <c r="C408" s="4" t="s">
        <v>543</v>
      </c>
      <c r="D408" s="19">
        <v>73000</v>
      </c>
    </row>
    <row r="409" spans="1:4" x14ac:dyDescent="0.25">
      <c r="A409" s="25"/>
      <c r="B409" s="4" t="s">
        <v>550</v>
      </c>
      <c r="C409" s="4" t="s">
        <v>543</v>
      </c>
      <c r="D409" s="19">
        <v>93000</v>
      </c>
    </row>
    <row r="410" spans="1:4" x14ac:dyDescent="0.25">
      <c r="A410" s="25"/>
      <c r="B410" s="4" t="s">
        <v>555</v>
      </c>
      <c r="C410" s="4" t="s">
        <v>543</v>
      </c>
      <c r="D410" s="19">
        <v>62000</v>
      </c>
    </row>
    <row r="411" spans="1:4" x14ac:dyDescent="0.25">
      <c r="A411" s="25"/>
      <c r="B411" s="4" t="s">
        <v>551</v>
      </c>
      <c r="C411" s="4" t="s">
        <v>543</v>
      </c>
      <c r="D411" s="19">
        <v>73000</v>
      </c>
    </row>
    <row r="412" spans="1:4" x14ac:dyDescent="0.25">
      <c r="A412" s="25"/>
      <c r="B412" s="4" t="s">
        <v>552</v>
      </c>
      <c r="C412" s="4" t="s">
        <v>543</v>
      </c>
      <c r="D412" s="19">
        <v>73000</v>
      </c>
    </row>
    <row r="413" spans="1:4" x14ac:dyDescent="0.25">
      <c r="A413" s="25"/>
      <c r="B413" s="4" t="s">
        <v>556</v>
      </c>
      <c r="C413" s="4" t="s">
        <v>543</v>
      </c>
      <c r="D413" s="19">
        <v>0</v>
      </c>
    </row>
    <row r="414" spans="1:4" x14ac:dyDescent="0.25">
      <c r="A414" s="25"/>
      <c r="B414" s="4" t="s">
        <v>271</v>
      </c>
      <c r="C414" s="4" t="s">
        <v>130</v>
      </c>
      <c r="D414" s="19">
        <v>17000</v>
      </c>
    </row>
    <row r="415" spans="1:4" x14ac:dyDescent="0.25">
      <c r="A415" s="25"/>
      <c r="B415" s="4" t="s">
        <v>497</v>
      </c>
      <c r="C415" s="4" t="s">
        <v>130</v>
      </c>
      <c r="D415" s="19">
        <v>19000</v>
      </c>
    </row>
    <row r="416" spans="1:4" x14ac:dyDescent="0.25">
      <c r="A416" s="25"/>
      <c r="B416" s="4" t="s">
        <v>270</v>
      </c>
      <c r="C416" s="4" t="s">
        <v>130</v>
      </c>
      <c r="D416" s="19">
        <v>29000</v>
      </c>
    </row>
    <row r="417" spans="1:4" x14ac:dyDescent="0.25">
      <c r="A417" s="25"/>
      <c r="B417" s="4" t="s">
        <v>131</v>
      </c>
      <c r="C417" s="4" t="s">
        <v>130</v>
      </c>
      <c r="D417" s="19">
        <v>29000</v>
      </c>
    </row>
    <row r="418" spans="1:4" x14ac:dyDescent="0.25">
      <c r="A418" s="25"/>
      <c r="B418" s="4" t="s">
        <v>134</v>
      </c>
      <c r="C418" s="4" t="s">
        <v>130</v>
      </c>
      <c r="D418" s="19">
        <v>14000</v>
      </c>
    </row>
    <row r="419" spans="1:4" x14ac:dyDescent="0.25">
      <c r="A419" s="25"/>
      <c r="B419" s="4" t="s">
        <v>132</v>
      </c>
      <c r="C419" s="4" t="s">
        <v>130</v>
      </c>
      <c r="D419" s="19">
        <v>12000</v>
      </c>
    </row>
    <row r="420" spans="1:4" x14ac:dyDescent="0.25">
      <c r="A420" s="25"/>
      <c r="B420" s="4" t="s">
        <v>133</v>
      </c>
      <c r="C420" s="4" t="s">
        <v>130</v>
      </c>
      <c r="D420" s="19">
        <v>17000</v>
      </c>
    </row>
    <row r="421" spans="1:4" x14ac:dyDescent="0.25">
      <c r="A421" s="23"/>
      <c r="B421" s="2" t="s">
        <v>517</v>
      </c>
      <c r="C421" s="4" t="s">
        <v>516</v>
      </c>
      <c r="D421" s="19">
        <v>26000</v>
      </c>
    </row>
    <row r="422" spans="1:4" x14ac:dyDescent="0.25">
      <c r="A422" s="25"/>
      <c r="B422" s="2" t="s">
        <v>518</v>
      </c>
      <c r="C422" s="4" t="s">
        <v>516</v>
      </c>
      <c r="D422" s="19">
        <v>46000</v>
      </c>
    </row>
    <row r="423" spans="1:4" x14ac:dyDescent="0.25">
      <c r="A423" s="25"/>
      <c r="B423" s="2" t="s">
        <v>519</v>
      </c>
      <c r="C423" s="4" t="s">
        <v>516</v>
      </c>
      <c r="D423" s="19">
        <v>25000</v>
      </c>
    </row>
    <row r="424" spans="1:4" x14ac:dyDescent="0.25">
      <c r="A424" s="25"/>
      <c r="B424" s="4" t="s">
        <v>520</v>
      </c>
      <c r="C424" s="4" t="s">
        <v>516</v>
      </c>
      <c r="D424" s="19">
        <v>43000</v>
      </c>
    </row>
    <row r="425" spans="1:4" x14ac:dyDescent="0.25">
      <c r="A425" s="25"/>
      <c r="B425" s="4" t="s">
        <v>521</v>
      </c>
      <c r="C425" s="4" t="s">
        <v>516</v>
      </c>
      <c r="D425" s="19">
        <v>43000</v>
      </c>
    </row>
    <row r="426" spans="1:4" x14ac:dyDescent="0.25">
      <c r="A426" s="25"/>
      <c r="B426" s="2" t="s">
        <v>522</v>
      </c>
      <c r="C426" s="4" t="s">
        <v>516</v>
      </c>
      <c r="D426" s="19">
        <v>25000</v>
      </c>
    </row>
    <row r="427" spans="1:4" x14ac:dyDescent="0.25">
      <c r="A427" s="25"/>
      <c r="B427" s="4" t="s">
        <v>535</v>
      </c>
      <c r="C427" s="4" t="s">
        <v>516</v>
      </c>
      <c r="D427" s="19">
        <v>43000</v>
      </c>
    </row>
    <row r="428" spans="1:4" x14ac:dyDescent="0.25">
      <c r="A428" s="25"/>
      <c r="B428" s="4" t="s">
        <v>562</v>
      </c>
      <c r="C428" s="4" t="s">
        <v>516</v>
      </c>
      <c r="D428" s="19">
        <v>43000</v>
      </c>
    </row>
    <row r="429" spans="1:4" x14ac:dyDescent="0.25">
      <c r="A429" s="25"/>
      <c r="B429" s="4" t="s">
        <v>523</v>
      </c>
      <c r="C429" s="4" t="s">
        <v>516</v>
      </c>
      <c r="D429" s="19">
        <v>43000</v>
      </c>
    </row>
    <row r="430" spans="1:4" x14ac:dyDescent="0.25">
      <c r="A430" s="25"/>
      <c r="B430" s="4" t="s">
        <v>524</v>
      </c>
      <c r="C430" s="4" t="s">
        <v>516</v>
      </c>
      <c r="D430" s="19">
        <v>29000</v>
      </c>
    </row>
    <row r="431" spans="1:4" x14ac:dyDescent="0.25">
      <c r="A431" s="25"/>
      <c r="B431" s="4" t="s">
        <v>525</v>
      </c>
      <c r="C431" s="4" t="s">
        <v>516</v>
      </c>
      <c r="D431" s="19">
        <v>50000</v>
      </c>
    </row>
    <row r="432" spans="1:4" x14ac:dyDescent="0.25">
      <c r="A432" s="25"/>
      <c r="B432" s="4" t="s">
        <v>480</v>
      </c>
      <c r="C432" s="4" t="s">
        <v>479</v>
      </c>
      <c r="D432" s="19">
        <v>13000</v>
      </c>
    </row>
    <row r="433" spans="1:4" x14ac:dyDescent="0.25">
      <c r="A433" s="25"/>
      <c r="B433" s="4" t="s">
        <v>540</v>
      </c>
      <c r="C433" s="4" t="s">
        <v>479</v>
      </c>
      <c r="D433" s="19">
        <v>13000</v>
      </c>
    </row>
    <row r="434" spans="1:4" x14ac:dyDescent="0.25">
      <c r="A434" s="25"/>
      <c r="B434" s="4" t="s">
        <v>481</v>
      </c>
      <c r="C434" s="4" t="s">
        <v>479</v>
      </c>
      <c r="D434" s="19">
        <v>13000</v>
      </c>
    </row>
    <row r="435" spans="1:4" x14ac:dyDescent="0.25">
      <c r="A435" s="25"/>
      <c r="B435" s="4" t="s">
        <v>482</v>
      </c>
      <c r="C435" s="4" t="s">
        <v>479</v>
      </c>
      <c r="D435" s="19">
        <v>13000</v>
      </c>
    </row>
    <row r="436" spans="1:4" x14ac:dyDescent="0.25">
      <c r="A436" s="25"/>
      <c r="B436" s="4" t="s">
        <v>483</v>
      </c>
      <c r="C436" s="4" t="s">
        <v>479</v>
      </c>
      <c r="D436" s="19">
        <v>13000</v>
      </c>
    </row>
    <row r="437" spans="1:4" x14ac:dyDescent="0.25">
      <c r="A437" s="25"/>
      <c r="B437" s="4" t="s">
        <v>484</v>
      </c>
      <c r="C437" s="4" t="s">
        <v>479</v>
      </c>
      <c r="D437" s="19">
        <v>13000</v>
      </c>
    </row>
    <row r="438" spans="1:4" x14ac:dyDescent="0.25">
      <c r="A438" s="23"/>
      <c r="B438" s="4" t="s">
        <v>486</v>
      </c>
      <c r="C438" s="4" t="s">
        <v>485</v>
      </c>
      <c r="D438" s="19">
        <v>12000</v>
      </c>
    </row>
    <row r="439" spans="1:4" x14ac:dyDescent="0.25">
      <c r="A439" s="25"/>
      <c r="B439" s="4" t="s">
        <v>502</v>
      </c>
      <c r="C439" s="4" t="s">
        <v>485</v>
      </c>
      <c r="D439" s="19">
        <v>12000</v>
      </c>
    </row>
    <row r="440" spans="1:4" x14ac:dyDescent="0.25">
      <c r="A440" s="25"/>
      <c r="B440" s="4" t="s">
        <v>487</v>
      </c>
      <c r="C440" s="4" t="s">
        <v>485</v>
      </c>
      <c r="D440" s="19">
        <v>12000</v>
      </c>
    </row>
    <row r="441" spans="1:4" x14ac:dyDescent="0.25">
      <c r="A441" s="25"/>
      <c r="B441" s="4" t="s">
        <v>488</v>
      </c>
      <c r="C441" s="4" t="s">
        <v>485</v>
      </c>
      <c r="D441" s="19">
        <v>12000</v>
      </c>
    </row>
    <row r="442" spans="1:4" x14ac:dyDescent="0.25">
      <c r="A442" s="25"/>
      <c r="B442" s="4" t="s">
        <v>503</v>
      </c>
      <c r="C442" s="4" t="s">
        <v>485</v>
      </c>
      <c r="D442" s="19">
        <v>27000</v>
      </c>
    </row>
    <row r="443" spans="1:4" x14ac:dyDescent="0.25">
      <c r="A443" s="25"/>
      <c r="B443" s="4" t="s">
        <v>490</v>
      </c>
      <c r="C443" s="4" t="s">
        <v>485</v>
      </c>
      <c r="D443" s="19">
        <v>18000</v>
      </c>
    </row>
    <row r="444" spans="1:4" x14ac:dyDescent="0.25">
      <c r="A444" s="25"/>
      <c r="B444" s="4" t="s">
        <v>489</v>
      </c>
      <c r="C444" s="4" t="s">
        <v>485</v>
      </c>
      <c r="D444" s="19">
        <v>39000</v>
      </c>
    </row>
    <row r="445" spans="1:4" x14ac:dyDescent="0.25">
      <c r="A445" s="25"/>
      <c r="B445" s="4" t="s">
        <v>491</v>
      </c>
      <c r="C445" s="4" t="s">
        <v>485</v>
      </c>
      <c r="D445" s="19">
        <v>18000</v>
      </c>
    </row>
    <row r="446" spans="1:4" x14ac:dyDescent="0.25">
      <c r="A446" s="25"/>
      <c r="B446" s="4" t="s">
        <v>504</v>
      </c>
      <c r="C446" s="4" t="s">
        <v>485</v>
      </c>
      <c r="D446" s="19">
        <v>18000</v>
      </c>
    </row>
    <row r="447" spans="1:4" x14ac:dyDescent="0.25">
      <c r="A447" s="25"/>
      <c r="B447" s="6" t="s">
        <v>492</v>
      </c>
      <c r="C447" s="4" t="s">
        <v>485</v>
      </c>
      <c r="D447" s="19">
        <v>15000</v>
      </c>
    </row>
    <row r="448" spans="1:4" x14ac:dyDescent="0.25">
      <c r="A448" s="25"/>
      <c r="B448" s="4" t="s">
        <v>493</v>
      </c>
      <c r="C448" s="4" t="s">
        <v>485</v>
      </c>
      <c r="D448" s="19">
        <v>27000</v>
      </c>
    </row>
    <row r="449" spans="1:4" x14ac:dyDescent="0.25">
      <c r="A449" s="25"/>
      <c r="B449" s="4" t="s">
        <v>495</v>
      </c>
      <c r="C449" s="4" t="s">
        <v>485</v>
      </c>
      <c r="D449" s="19">
        <v>22000</v>
      </c>
    </row>
    <row r="450" spans="1:4" x14ac:dyDescent="0.25">
      <c r="A450" s="25"/>
      <c r="B450" s="4" t="s">
        <v>494</v>
      </c>
      <c r="C450" s="4" t="s">
        <v>485</v>
      </c>
      <c r="D450" s="19">
        <v>20000</v>
      </c>
    </row>
    <row r="451" spans="1:4" x14ac:dyDescent="0.25">
      <c r="A451" s="25"/>
      <c r="B451" s="6" t="s">
        <v>505</v>
      </c>
      <c r="C451" s="4" t="s">
        <v>485</v>
      </c>
      <c r="D451" s="19">
        <v>36000</v>
      </c>
    </row>
    <row r="452" spans="1:4" x14ac:dyDescent="0.25">
      <c r="A452" s="25"/>
      <c r="B452" s="4" t="s">
        <v>538</v>
      </c>
      <c r="C452" s="4" t="s">
        <v>485</v>
      </c>
      <c r="D452" s="19">
        <v>65000</v>
      </c>
    </row>
    <row r="453" spans="1:4" x14ac:dyDescent="0.25">
      <c r="A453" s="25"/>
      <c r="B453" s="4" t="s">
        <v>496</v>
      </c>
      <c r="C453" s="4" t="s">
        <v>485</v>
      </c>
      <c r="D453" s="19">
        <v>16000</v>
      </c>
    </row>
    <row r="454" spans="1:4" x14ac:dyDescent="0.25">
      <c r="A454" s="25"/>
      <c r="B454" s="2" t="s">
        <v>291</v>
      </c>
      <c r="C454" s="4" t="s">
        <v>281</v>
      </c>
      <c r="D454" s="19">
        <v>12000</v>
      </c>
    </row>
    <row r="455" spans="1:4" x14ac:dyDescent="0.25">
      <c r="A455" s="25"/>
      <c r="B455" s="2" t="s">
        <v>292</v>
      </c>
      <c r="C455" s="4" t="s">
        <v>281</v>
      </c>
      <c r="D455" s="19">
        <v>12000</v>
      </c>
    </row>
    <row r="456" spans="1:4" x14ac:dyDescent="0.25">
      <c r="A456" s="25"/>
      <c r="B456" s="4" t="s">
        <v>282</v>
      </c>
      <c r="C456" s="4" t="s">
        <v>281</v>
      </c>
      <c r="D456" s="19">
        <v>13000</v>
      </c>
    </row>
    <row r="457" spans="1:4" x14ac:dyDescent="0.25">
      <c r="A457" s="25"/>
      <c r="B457" s="4" t="s">
        <v>283</v>
      </c>
      <c r="C457" s="4" t="s">
        <v>281</v>
      </c>
      <c r="D457" s="19">
        <v>19000</v>
      </c>
    </row>
    <row r="458" spans="1:4" x14ac:dyDescent="0.25">
      <c r="A458" s="25"/>
      <c r="B458" s="4" t="s">
        <v>293</v>
      </c>
      <c r="C458" s="4" t="s">
        <v>281</v>
      </c>
      <c r="D458" s="19">
        <v>22000</v>
      </c>
    </row>
    <row r="459" spans="1:4" x14ac:dyDescent="0.25">
      <c r="A459" s="25"/>
      <c r="B459" s="4" t="s">
        <v>380</v>
      </c>
      <c r="C459" s="4" t="s">
        <v>281</v>
      </c>
      <c r="D459" s="19">
        <v>17000</v>
      </c>
    </row>
    <row r="460" spans="1:4" x14ac:dyDescent="0.25">
      <c r="A460" s="25"/>
      <c r="B460" s="4" t="s">
        <v>381</v>
      </c>
      <c r="C460" s="4" t="s">
        <v>281</v>
      </c>
      <c r="D460" s="19">
        <v>17000</v>
      </c>
    </row>
    <row r="461" spans="1:4" x14ac:dyDescent="0.25">
      <c r="A461" s="25"/>
      <c r="B461" s="10" t="s">
        <v>431</v>
      </c>
      <c r="C461" s="4" t="s">
        <v>478</v>
      </c>
      <c r="D461" s="19">
        <v>25000</v>
      </c>
    </row>
    <row r="462" spans="1:4" x14ac:dyDescent="0.25">
      <c r="A462" s="25"/>
      <c r="B462" s="10" t="s">
        <v>469</v>
      </c>
      <c r="C462" s="4" t="s">
        <v>478</v>
      </c>
      <c r="D462" s="19">
        <v>25000</v>
      </c>
    </row>
    <row r="463" spans="1:4" x14ac:dyDescent="0.25">
      <c r="A463" s="25"/>
      <c r="B463" s="4" t="s">
        <v>294</v>
      </c>
      <c r="C463" s="4" t="s">
        <v>478</v>
      </c>
      <c r="D463" s="19">
        <v>27000</v>
      </c>
    </row>
    <row r="464" spans="1:4" x14ac:dyDescent="0.25">
      <c r="A464" s="25"/>
      <c r="B464" s="2" t="s">
        <v>470</v>
      </c>
      <c r="C464" s="4" t="s">
        <v>478</v>
      </c>
      <c r="D464" s="19">
        <v>33000</v>
      </c>
    </row>
    <row r="465" spans="1:4" x14ac:dyDescent="0.25">
      <c r="A465" s="25"/>
      <c r="B465" s="3" t="s">
        <v>471</v>
      </c>
      <c r="C465" s="4" t="s">
        <v>478</v>
      </c>
      <c r="D465" s="19">
        <v>33000</v>
      </c>
    </row>
    <row r="466" spans="1:4" x14ac:dyDescent="0.25">
      <c r="A466" s="23"/>
      <c r="B466" s="2" t="s">
        <v>210</v>
      </c>
      <c r="C466" s="4" t="s">
        <v>1</v>
      </c>
      <c r="D466" s="19">
        <v>26000</v>
      </c>
    </row>
    <row r="467" spans="1:4" x14ac:dyDescent="0.25">
      <c r="A467" s="25"/>
      <c r="B467" s="2" t="s">
        <v>96</v>
      </c>
      <c r="C467" s="4" t="s">
        <v>1</v>
      </c>
      <c r="D467" s="19">
        <v>29000</v>
      </c>
    </row>
    <row r="468" spans="1:4" x14ac:dyDescent="0.25">
      <c r="A468" s="25"/>
      <c r="B468" s="2" t="s">
        <v>97</v>
      </c>
      <c r="C468" s="4" t="s">
        <v>1</v>
      </c>
      <c r="D468" s="19">
        <v>16000</v>
      </c>
    </row>
    <row r="469" spans="1:4" x14ac:dyDescent="0.25">
      <c r="A469" s="25"/>
      <c r="B469" s="2" t="s">
        <v>98</v>
      </c>
      <c r="C469" s="4" t="s">
        <v>1</v>
      </c>
      <c r="D469" s="19">
        <v>16000</v>
      </c>
    </row>
    <row r="470" spans="1:4" x14ac:dyDescent="0.25">
      <c r="A470" s="25"/>
      <c r="B470" s="2" t="s">
        <v>111</v>
      </c>
      <c r="C470" s="4" t="s">
        <v>1</v>
      </c>
      <c r="D470" s="19">
        <v>39000</v>
      </c>
    </row>
    <row r="471" spans="1:4" x14ac:dyDescent="0.25">
      <c r="A471" s="25"/>
      <c r="B471" s="2" t="s">
        <v>338</v>
      </c>
      <c r="C471" s="4" t="s">
        <v>1</v>
      </c>
      <c r="D471" s="19">
        <v>43000</v>
      </c>
    </row>
    <row r="472" spans="1:4" x14ac:dyDescent="0.25">
      <c r="A472" s="25"/>
      <c r="B472" s="2" t="s">
        <v>339</v>
      </c>
      <c r="C472" s="4" t="s">
        <v>1</v>
      </c>
      <c r="D472" s="19">
        <v>43000</v>
      </c>
    </row>
    <row r="473" spans="1:4" x14ac:dyDescent="0.25">
      <c r="A473" s="23"/>
      <c r="B473" s="4" t="s">
        <v>269</v>
      </c>
      <c r="C473" s="4" t="s">
        <v>265</v>
      </c>
      <c r="D473" s="19">
        <v>16000</v>
      </c>
    </row>
    <row r="474" spans="1:4" x14ac:dyDescent="0.25">
      <c r="A474" s="25"/>
      <c r="B474" s="4" t="s">
        <v>400</v>
      </c>
      <c r="C474" s="4" t="s">
        <v>265</v>
      </c>
      <c r="D474" s="19">
        <v>54000</v>
      </c>
    </row>
    <row r="475" spans="1:4" x14ac:dyDescent="0.25">
      <c r="A475" s="25"/>
      <c r="B475" s="4" t="s">
        <v>401</v>
      </c>
      <c r="C475" s="4" t="s">
        <v>265</v>
      </c>
      <c r="D475" s="19">
        <v>63000</v>
      </c>
    </row>
    <row r="476" spans="1:4" x14ac:dyDescent="0.25">
      <c r="A476" s="25"/>
      <c r="B476" s="4" t="s">
        <v>567</v>
      </c>
      <c r="C476" s="4" t="s">
        <v>265</v>
      </c>
      <c r="D476" s="19">
        <v>51000</v>
      </c>
    </row>
    <row r="477" spans="1:4" x14ac:dyDescent="0.25">
      <c r="A477" s="25"/>
      <c r="B477" s="4" t="s">
        <v>566</v>
      </c>
      <c r="C477" s="4" t="s">
        <v>265</v>
      </c>
      <c r="D477" s="19">
        <v>51000</v>
      </c>
    </row>
    <row r="478" spans="1:4" x14ac:dyDescent="0.25">
      <c r="A478" s="25"/>
      <c r="B478" s="4" t="s">
        <v>382</v>
      </c>
      <c r="C478" s="4" t="s">
        <v>265</v>
      </c>
      <c r="D478" s="19">
        <v>54000</v>
      </c>
    </row>
    <row r="479" spans="1:4" x14ac:dyDescent="0.25">
      <c r="A479" s="25"/>
      <c r="B479" s="4" t="s">
        <v>267</v>
      </c>
      <c r="C479" s="4" t="s">
        <v>265</v>
      </c>
      <c r="D479" s="19">
        <v>34000</v>
      </c>
    </row>
    <row r="480" spans="1:4" x14ac:dyDescent="0.25">
      <c r="A480" s="25"/>
      <c r="B480" s="4" t="s">
        <v>307</v>
      </c>
      <c r="C480" s="4" t="s">
        <v>265</v>
      </c>
      <c r="D480" s="19">
        <v>66000</v>
      </c>
    </row>
    <row r="481" spans="1:4" x14ac:dyDescent="0.25">
      <c r="A481" s="25"/>
      <c r="B481" s="4" t="s">
        <v>402</v>
      </c>
      <c r="C481" s="4" t="s">
        <v>265</v>
      </c>
      <c r="D481" s="19">
        <v>56000</v>
      </c>
    </row>
    <row r="482" spans="1:4" x14ac:dyDescent="0.25">
      <c r="A482" s="25"/>
      <c r="B482" s="10" t="s">
        <v>272</v>
      </c>
      <c r="C482" s="4" t="s">
        <v>265</v>
      </c>
      <c r="D482" s="19">
        <v>51000</v>
      </c>
    </row>
    <row r="483" spans="1:4" x14ac:dyDescent="0.25">
      <c r="A483" s="25"/>
      <c r="B483" s="4" t="s">
        <v>568</v>
      </c>
      <c r="C483" s="4" t="s">
        <v>265</v>
      </c>
      <c r="D483" s="19">
        <v>54000</v>
      </c>
    </row>
    <row r="484" spans="1:4" x14ac:dyDescent="0.25">
      <c r="A484" s="25"/>
      <c r="B484" s="4" t="s">
        <v>539</v>
      </c>
      <c r="C484" s="4" t="s">
        <v>265</v>
      </c>
      <c r="D484" s="19">
        <v>55000</v>
      </c>
    </row>
    <row r="485" spans="1:4" x14ac:dyDescent="0.25">
      <c r="A485" s="25"/>
      <c r="B485" s="4" t="s">
        <v>403</v>
      </c>
      <c r="C485" s="4" t="s">
        <v>265</v>
      </c>
      <c r="D485" s="19">
        <v>49000</v>
      </c>
    </row>
    <row r="486" spans="1:4" x14ac:dyDescent="0.25">
      <c r="A486" s="25"/>
      <c r="B486" s="4" t="s">
        <v>404</v>
      </c>
      <c r="C486" s="4" t="s">
        <v>265</v>
      </c>
      <c r="D486" s="19">
        <v>64000</v>
      </c>
    </row>
    <row r="487" spans="1:4" x14ac:dyDescent="0.25">
      <c r="A487" s="25"/>
      <c r="B487" s="4" t="s">
        <v>405</v>
      </c>
      <c r="C487" s="4" t="s">
        <v>265</v>
      </c>
      <c r="D487" s="19">
        <v>42000</v>
      </c>
    </row>
    <row r="488" spans="1:4" x14ac:dyDescent="0.25">
      <c r="A488" s="25"/>
      <c r="B488" s="4" t="s">
        <v>406</v>
      </c>
      <c r="C488" s="4" t="s">
        <v>265</v>
      </c>
      <c r="D488" s="19">
        <v>39000</v>
      </c>
    </row>
    <row r="489" spans="1:4" x14ac:dyDescent="0.25">
      <c r="A489" s="25"/>
      <c r="B489" s="4" t="s">
        <v>232</v>
      </c>
      <c r="C489" s="4" t="s">
        <v>265</v>
      </c>
      <c r="D489" s="19">
        <v>22000</v>
      </c>
    </row>
    <row r="490" spans="1:4" x14ac:dyDescent="0.25">
      <c r="A490" s="25"/>
      <c r="B490" s="4" t="s">
        <v>266</v>
      </c>
      <c r="C490" s="4" t="s">
        <v>265</v>
      </c>
      <c r="D490" s="19">
        <v>54000</v>
      </c>
    </row>
    <row r="491" spans="1:4" x14ac:dyDescent="0.25">
      <c r="A491" s="25"/>
      <c r="B491" s="2" t="s">
        <v>429</v>
      </c>
      <c r="C491" s="4" t="s">
        <v>14</v>
      </c>
      <c r="D491" s="19">
        <v>25000</v>
      </c>
    </row>
    <row r="492" spans="1:4" x14ac:dyDescent="0.25">
      <c r="A492" s="23"/>
      <c r="B492" s="2" t="s">
        <v>559</v>
      </c>
      <c r="C492" s="4" t="s">
        <v>14</v>
      </c>
      <c r="D492" s="19">
        <v>19000</v>
      </c>
    </row>
    <row r="493" spans="1:4" x14ac:dyDescent="0.25">
      <c r="A493" s="25"/>
      <c r="B493" s="2" t="s">
        <v>561</v>
      </c>
      <c r="C493" s="4" t="s">
        <v>14</v>
      </c>
      <c r="D493" s="19">
        <v>9000</v>
      </c>
    </row>
    <row r="494" spans="1:4" x14ac:dyDescent="0.25">
      <c r="A494" s="23"/>
      <c r="B494" s="4" t="s">
        <v>337</v>
      </c>
      <c r="C494" s="4" t="s">
        <v>14</v>
      </c>
      <c r="D494" s="19">
        <v>6000</v>
      </c>
    </row>
    <row r="495" spans="1:4" x14ac:dyDescent="0.25">
      <c r="A495" s="25"/>
      <c r="B495" s="6" t="s">
        <v>452</v>
      </c>
      <c r="C495" s="4" t="s">
        <v>14</v>
      </c>
      <c r="D495" s="19">
        <v>44000</v>
      </c>
    </row>
    <row r="496" spans="1:4" x14ac:dyDescent="0.25">
      <c r="A496" s="25"/>
      <c r="B496" s="6" t="s">
        <v>289</v>
      </c>
      <c r="C496" s="4" t="s">
        <v>14</v>
      </c>
      <c r="D496" s="19">
        <v>32000</v>
      </c>
    </row>
    <row r="497" spans="1:4" x14ac:dyDescent="0.25">
      <c r="A497" s="25"/>
      <c r="B497" s="6" t="s">
        <v>240</v>
      </c>
      <c r="C497" s="4" t="s">
        <v>14</v>
      </c>
      <c r="D497" s="19">
        <v>108000</v>
      </c>
    </row>
    <row r="498" spans="1:4" x14ac:dyDescent="0.25">
      <c r="A498" s="25"/>
      <c r="B498" s="6" t="s">
        <v>241</v>
      </c>
      <c r="C498" s="4" t="s">
        <v>14</v>
      </c>
      <c r="D498" s="19">
        <v>15000</v>
      </c>
    </row>
    <row r="499" spans="1:4" x14ac:dyDescent="0.25">
      <c r="A499" s="25"/>
      <c r="B499" s="6" t="s">
        <v>449</v>
      </c>
      <c r="C499" s="4" t="s">
        <v>14</v>
      </c>
      <c r="D499" s="19">
        <v>42000</v>
      </c>
    </row>
    <row r="500" spans="1:4" x14ac:dyDescent="0.25">
      <c r="A500" s="23"/>
      <c r="B500" s="4" t="s">
        <v>445</v>
      </c>
      <c r="C500" s="4" t="s">
        <v>14</v>
      </c>
      <c r="D500" s="19">
        <v>18000</v>
      </c>
    </row>
    <row r="501" spans="1:4" x14ac:dyDescent="0.25">
      <c r="A501" s="23"/>
      <c r="B501" s="2" t="s">
        <v>211</v>
      </c>
      <c r="C501" s="4" t="s">
        <v>14</v>
      </c>
      <c r="D501" s="19">
        <v>26000</v>
      </c>
    </row>
    <row r="502" spans="1:4" x14ac:dyDescent="0.25">
      <c r="A502" s="25"/>
      <c r="B502" s="6" t="s">
        <v>454</v>
      </c>
      <c r="C502" s="4" t="s">
        <v>14</v>
      </c>
      <c r="D502" s="19">
        <v>36000</v>
      </c>
    </row>
    <row r="503" spans="1:4" x14ac:dyDescent="0.25">
      <c r="A503" s="25"/>
      <c r="B503" s="4" t="s">
        <v>413</v>
      </c>
      <c r="C503" s="4" t="s">
        <v>14</v>
      </c>
      <c r="D503" s="19">
        <v>63000</v>
      </c>
    </row>
    <row r="504" spans="1:4" x14ac:dyDescent="0.25">
      <c r="A504" s="25"/>
      <c r="B504" s="6" t="s">
        <v>443</v>
      </c>
      <c r="C504" s="4" t="s">
        <v>14</v>
      </c>
      <c r="D504" s="19">
        <v>36000</v>
      </c>
    </row>
    <row r="505" spans="1:4" x14ac:dyDescent="0.25">
      <c r="A505" s="25"/>
      <c r="B505" s="4" t="s">
        <v>444</v>
      </c>
      <c r="C505" s="4" t="s">
        <v>14</v>
      </c>
      <c r="D505" s="19">
        <v>52000</v>
      </c>
    </row>
    <row r="506" spans="1:4" x14ac:dyDescent="0.25">
      <c r="A506" s="23"/>
      <c r="B506" s="4" t="s">
        <v>542</v>
      </c>
      <c r="C506" s="4" t="s">
        <v>14</v>
      </c>
      <c r="D506" s="19">
        <v>6000</v>
      </c>
    </row>
    <row r="507" spans="1:4" x14ac:dyDescent="0.25">
      <c r="A507" s="23"/>
      <c r="B507" s="2" t="s">
        <v>174</v>
      </c>
      <c r="C507" s="4" t="s">
        <v>14</v>
      </c>
      <c r="D507" s="19">
        <v>29000</v>
      </c>
    </row>
    <row r="508" spans="1:4" x14ac:dyDescent="0.25">
      <c r="A508" s="25"/>
      <c r="B508" s="10" t="s">
        <v>385</v>
      </c>
      <c r="C508" s="4" t="s">
        <v>14</v>
      </c>
      <c r="D508" s="19">
        <v>19000</v>
      </c>
    </row>
    <row r="509" spans="1:4" x14ac:dyDescent="0.25">
      <c r="A509" s="25"/>
      <c r="B509" s="10" t="s">
        <v>305</v>
      </c>
      <c r="C509" s="4" t="s">
        <v>14</v>
      </c>
      <c r="D509" s="19">
        <v>17000</v>
      </c>
    </row>
    <row r="510" spans="1:4" x14ac:dyDescent="0.25">
      <c r="A510" s="25"/>
      <c r="B510" s="10" t="s">
        <v>304</v>
      </c>
      <c r="C510" s="4" t="s">
        <v>14</v>
      </c>
      <c r="D510" s="19">
        <v>17000</v>
      </c>
    </row>
    <row r="511" spans="1:4" x14ac:dyDescent="0.25">
      <c r="A511" s="23"/>
      <c r="B511" s="4" t="s">
        <v>450</v>
      </c>
      <c r="C511" s="4" t="s">
        <v>14</v>
      </c>
      <c r="D511" s="19">
        <v>25000</v>
      </c>
    </row>
    <row r="512" spans="1:4" x14ac:dyDescent="0.25">
      <c r="A512" s="23"/>
      <c r="B512" s="9" t="s">
        <v>15</v>
      </c>
      <c r="C512" s="4" t="s">
        <v>14</v>
      </c>
      <c r="D512" s="19">
        <v>9000</v>
      </c>
    </row>
    <row r="513" spans="1:5" x14ac:dyDescent="0.25">
      <c r="A513" s="23"/>
      <c r="B513" s="9" t="s">
        <v>16</v>
      </c>
      <c r="C513" s="4" t="s">
        <v>14</v>
      </c>
      <c r="D513" s="19">
        <v>14000</v>
      </c>
    </row>
    <row r="514" spans="1:5" x14ac:dyDescent="0.25">
      <c r="A514" s="25"/>
      <c r="B514" s="9" t="s">
        <v>234</v>
      </c>
      <c r="C514" s="4" t="s">
        <v>14</v>
      </c>
      <c r="D514" s="19">
        <v>229000</v>
      </c>
    </row>
    <row r="515" spans="1:5" x14ac:dyDescent="0.25">
      <c r="A515" s="25"/>
      <c r="B515" s="9" t="s">
        <v>235</v>
      </c>
      <c r="C515" s="4" t="s">
        <v>14</v>
      </c>
      <c r="D515" s="19">
        <v>6000</v>
      </c>
    </row>
    <row r="516" spans="1:5" x14ac:dyDescent="0.25">
      <c r="A516" s="25"/>
      <c r="B516" s="4" t="s">
        <v>290</v>
      </c>
      <c r="C516" s="4" t="s">
        <v>14</v>
      </c>
      <c r="D516" s="19">
        <v>7000</v>
      </c>
    </row>
    <row r="517" spans="1:5" x14ac:dyDescent="0.25">
      <c r="A517" s="25"/>
      <c r="B517" s="9" t="s">
        <v>329</v>
      </c>
      <c r="C517" s="4" t="s">
        <v>14</v>
      </c>
      <c r="D517" s="19">
        <v>142000</v>
      </c>
    </row>
    <row r="518" spans="1:5" x14ac:dyDescent="0.25">
      <c r="A518" s="25"/>
      <c r="B518" s="9" t="s">
        <v>328</v>
      </c>
      <c r="C518" s="4" t="s">
        <v>14</v>
      </c>
      <c r="D518" s="19">
        <v>2000</v>
      </c>
    </row>
    <row r="519" spans="1:5" x14ac:dyDescent="0.25">
      <c r="A519" s="25"/>
      <c r="B519" s="9" t="s">
        <v>330</v>
      </c>
      <c r="C519" s="4" t="s">
        <v>14</v>
      </c>
      <c r="D519" s="19">
        <v>142000</v>
      </c>
      <c r="E519" s="20"/>
    </row>
    <row r="520" spans="1:5" x14ac:dyDescent="0.25">
      <c r="A520" s="25"/>
      <c r="B520" s="9" t="s">
        <v>331</v>
      </c>
      <c r="C520" s="4" t="s">
        <v>14</v>
      </c>
      <c r="D520" s="19">
        <v>2000</v>
      </c>
      <c r="E520" s="20"/>
    </row>
    <row r="521" spans="1:5" x14ac:dyDescent="0.25">
      <c r="A521" s="25"/>
      <c r="B521" s="9" t="s">
        <v>383</v>
      </c>
      <c r="C521" s="4" t="s">
        <v>14</v>
      </c>
      <c r="D521" s="19">
        <v>142000</v>
      </c>
      <c r="E521" s="20"/>
    </row>
    <row r="522" spans="1:5" x14ac:dyDescent="0.25">
      <c r="A522" s="25"/>
      <c r="B522" s="9" t="s">
        <v>384</v>
      </c>
      <c r="C522" s="4" t="s">
        <v>14</v>
      </c>
      <c r="D522" s="19">
        <v>2000</v>
      </c>
      <c r="E522" s="20"/>
    </row>
    <row r="523" spans="1:5" x14ac:dyDescent="0.25">
      <c r="A523" s="25"/>
      <c r="B523" s="4" t="s">
        <v>474</v>
      </c>
      <c r="C523" s="4" t="s">
        <v>14</v>
      </c>
      <c r="D523" s="19">
        <v>20000</v>
      </c>
    </row>
    <row r="524" spans="1:5" x14ac:dyDescent="0.25">
      <c r="A524" s="25"/>
      <c r="B524" s="10" t="s">
        <v>472</v>
      </c>
      <c r="C524" s="4" t="s">
        <v>14</v>
      </c>
      <c r="D524" s="19">
        <v>142000</v>
      </c>
      <c r="E524" s="20"/>
    </row>
    <row r="525" spans="1:5" x14ac:dyDescent="0.25">
      <c r="A525" s="25"/>
      <c r="B525" s="10" t="s">
        <v>473</v>
      </c>
      <c r="C525" s="4" t="s">
        <v>14</v>
      </c>
      <c r="D525" s="19">
        <v>2000</v>
      </c>
      <c r="E525" s="20"/>
    </row>
    <row r="526" spans="1:5" x14ac:dyDescent="0.25">
      <c r="A526" s="25"/>
      <c r="B526" s="4" t="s">
        <v>412</v>
      </c>
      <c r="C526" s="4" t="s">
        <v>14</v>
      </c>
      <c r="D526" s="19">
        <v>63000</v>
      </c>
    </row>
    <row r="527" spans="1:5" x14ac:dyDescent="0.25">
      <c r="A527" s="23"/>
      <c r="B527" s="4" t="s">
        <v>258</v>
      </c>
      <c r="C527" s="4" t="s">
        <v>14</v>
      </c>
      <c r="D527" s="19">
        <v>33000</v>
      </c>
    </row>
    <row r="528" spans="1:5" x14ac:dyDescent="0.25">
      <c r="A528" s="23"/>
      <c r="B528" s="9" t="s">
        <v>17</v>
      </c>
      <c r="C528" s="4" t="s">
        <v>14</v>
      </c>
      <c r="D528" s="19">
        <v>14000</v>
      </c>
    </row>
    <row r="529" spans="1:4" x14ac:dyDescent="0.25">
      <c r="A529" s="25"/>
      <c r="B529" s="4" t="s">
        <v>446</v>
      </c>
      <c r="C529" s="4" t="s">
        <v>14</v>
      </c>
      <c r="D529" s="19">
        <v>10000</v>
      </c>
    </row>
    <row r="530" spans="1:4" x14ac:dyDescent="0.25">
      <c r="A530" s="25"/>
      <c r="B530" s="10" t="s">
        <v>386</v>
      </c>
      <c r="C530" s="4" t="s">
        <v>14</v>
      </c>
      <c r="D530" s="19">
        <v>23000</v>
      </c>
    </row>
    <row r="531" spans="1:4" x14ac:dyDescent="0.25">
      <c r="B531" s="9" t="s">
        <v>327</v>
      </c>
      <c r="C531" s="4" t="s">
        <v>14</v>
      </c>
      <c r="D531" s="19">
        <v>142000</v>
      </c>
    </row>
    <row r="532" spans="1:4" x14ac:dyDescent="0.25">
      <c r="B532" s="9" t="s">
        <v>335</v>
      </c>
      <c r="C532" s="4" t="s">
        <v>14</v>
      </c>
      <c r="D532" s="19">
        <v>2000</v>
      </c>
    </row>
    <row r="533" spans="1:4" x14ac:dyDescent="0.25">
      <c r="A533" s="12"/>
      <c r="B533" s="6" t="s">
        <v>389</v>
      </c>
      <c r="C533" s="4" t="s">
        <v>14</v>
      </c>
      <c r="D533" s="19">
        <v>29000</v>
      </c>
    </row>
    <row r="536" spans="1:4" x14ac:dyDescent="0.25">
      <c r="B536" s="21" t="s">
        <v>475</v>
      </c>
      <c r="C536" s="8"/>
    </row>
    <row r="537" spans="1:4" x14ac:dyDescent="0.25">
      <c r="B537" s="21" t="s">
        <v>476</v>
      </c>
      <c r="C537" s="24"/>
    </row>
  </sheetData>
  <autoFilter ref="A6:J6" xr:uid="{6CDE7DA2-A29E-BC44-90B5-1CD778BA2819}"/>
  <printOptions horizontalCentered="1"/>
  <pageMargins left="0.23622047244094491" right="0.23622047244094491" top="0.55118110236220474" bottom="0.55118110236220474" header="0.31496062992125984" footer="0.31496062992125984"/>
  <pageSetup scale="83" fitToHeight="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Items PRUEBA VTAS</vt:lpstr>
      <vt:lpstr>Analisis Margen</vt:lpstr>
      <vt:lpstr>TOP VENTAS</vt:lpstr>
      <vt:lpstr>Distribuidor</vt:lpstr>
      <vt:lpstr>Full Inventario</vt:lpstr>
      <vt:lpstr>'Analisis Margen'!Área_de_impresión</vt:lpstr>
      <vt:lpstr>'Full Inventario'!Área_de_impresión</vt:lpstr>
      <vt:lpstr>'Analisis Margen'!Títulos_a_imprimir</vt:lpstr>
      <vt:lpstr>'Full Inventario'!Títulos_a_imprimir</vt:lpstr>
    </vt:vector>
  </TitlesOfParts>
  <Company>FAMILIA NIETO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NIETO</dc:creator>
  <cp:lastModifiedBy>LINA MARCELA</cp:lastModifiedBy>
  <cp:lastPrinted>2024-03-06T21:56:28Z</cp:lastPrinted>
  <dcterms:created xsi:type="dcterms:W3CDTF">2014-04-29T16:11:05Z</dcterms:created>
  <dcterms:modified xsi:type="dcterms:W3CDTF">2024-03-26T20:52:38Z</dcterms:modified>
</cp:coreProperties>
</file>