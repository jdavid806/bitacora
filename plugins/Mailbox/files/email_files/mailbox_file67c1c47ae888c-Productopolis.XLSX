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.avendano\Downloads\"/>
    </mc:Choice>
  </mc:AlternateContent>
  <xr:revisionPtr revIDLastSave="0" documentId="8_{9ED50012-34B7-4962-954B-5755EF0E44E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Conciliacion" sheetId="2" r:id="rId2"/>
  </sheets>
  <definedNames>
    <definedName name="_xlnm._FilterDatabase" localSheetId="0" hidden="1">Sheet1!$A$1:$S$23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H2" i="2" l="1"/>
  <c r="G29" i="2"/>
  <c r="G18" i="2"/>
</calcChain>
</file>

<file path=xl/sharedStrings.xml><?xml version="1.0" encoding="utf-8"?>
<sst xmlns="http://schemas.openxmlformats.org/spreadsheetml/2006/main" count="314" uniqueCount="81">
  <si>
    <t/>
  </si>
  <si>
    <t>PRODUCTOPOLIS S.A.S.</t>
  </si>
  <si>
    <t>170007164</t>
  </si>
  <si>
    <t>DZ</t>
  </si>
  <si>
    <t>A</t>
  </si>
  <si>
    <t>ANTICIPO POR VINCULACION 20.02.2025 $ 2.000.000</t>
  </si>
  <si>
    <t>2805050501</t>
  </si>
  <si>
    <t>140007502</t>
  </si>
  <si>
    <t>50000146</t>
  </si>
  <si>
    <t>DR</t>
  </si>
  <si>
    <t>C</t>
  </si>
  <si>
    <t>1305050101</t>
  </si>
  <si>
    <t>170000651</t>
  </si>
  <si>
    <t>ANTICIPO POR VINCULACION 09.01.2025 $5.000.000</t>
  </si>
  <si>
    <t>170000769</t>
  </si>
  <si>
    <t>1150000003</t>
  </si>
  <si>
    <t>ANTICIPO POR VINCULACIÓN 09.01.2025 $ 5.000.000</t>
  </si>
  <si>
    <t>140084911</t>
  </si>
  <si>
    <t>80000116</t>
  </si>
  <si>
    <t>140082565</t>
  </si>
  <si>
    <t>80001800</t>
  </si>
  <si>
    <t>170047457</t>
  </si>
  <si>
    <t>50001628</t>
  </si>
  <si>
    <t>ANTICIPO POR VINCULACIÓN 03.12.2024 $ 4.000.000</t>
  </si>
  <si>
    <t>140077869</t>
  </si>
  <si>
    <t>50001500</t>
  </si>
  <si>
    <t>140071161</t>
  </si>
  <si>
    <t>50001414</t>
  </si>
  <si>
    <t>170039795</t>
  </si>
  <si>
    <t>ANTICIPO POR VINCULACIÓN 07.10.2024 $ 5.000.000</t>
  </si>
  <si>
    <t>140064383</t>
  </si>
  <si>
    <t>50001225</t>
  </si>
  <si>
    <t>140057923</t>
  </si>
  <si>
    <t>50001148</t>
  </si>
  <si>
    <t>170034509</t>
  </si>
  <si>
    <t>Anticipo por vinculacion 03/09/2024 $5.000.000</t>
  </si>
  <si>
    <t>140056687</t>
  </si>
  <si>
    <t>170030837</t>
  </si>
  <si>
    <t>Anticipo por vinculacion 06.08.2024 $ 5.000.000</t>
  </si>
  <si>
    <t>140049737</t>
  </si>
  <si>
    <t>170026220</t>
  </si>
  <si>
    <t>ANTICIPO POR VINCULACION</t>
  </si>
  <si>
    <t>140043101</t>
  </si>
  <si>
    <t>50000858</t>
  </si>
  <si>
    <t>140036231</t>
  </si>
  <si>
    <t>50000709</t>
  </si>
  <si>
    <t>170017602</t>
  </si>
  <si>
    <t>Anticipo por vinculacion 22/04/2024  $10.000.000</t>
  </si>
  <si>
    <t>Icono part.abiertas/comp.</t>
  </si>
  <si>
    <t>Clave referencia 3</t>
  </si>
  <si>
    <t>Clave referencia 1</t>
  </si>
  <si>
    <t>Doc.facturación</t>
  </si>
  <si>
    <t>Referencia a factura</t>
  </si>
  <si>
    <t>Nº documento</t>
  </si>
  <si>
    <t>Base p. plazo pago</t>
  </si>
  <si>
    <t>Fecha de pago</t>
  </si>
  <si>
    <t>Clave referencia 2</t>
  </si>
  <si>
    <t>Importe en moneda local</t>
  </si>
  <si>
    <t>Demora tras vencimiento neto</t>
  </si>
  <si>
    <t>Símbolo vencimiento neto</t>
  </si>
  <si>
    <t>Doc.compensación</t>
  </si>
  <si>
    <t>Clase de documento</t>
  </si>
  <si>
    <t>Fecha de documento</t>
  </si>
  <si>
    <t>Clave de reclamación</t>
  </si>
  <si>
    <t>Indicador CME</t>
  </si>
  <si>
    <t>Texto</t>
  </si>
  <si>
    <t>Cuenta de mayor</t>
  </si>
  <si>
    <t>NOMBRE CLIENTE</t>
  </si>
  <si>
    <t>NIT</t>
  </si>
  <si>
    <t>N° DE FACTURA</t>
  </si>
  <si>
    <t>FECHA BASE</t>
  </si>
  <si>
    <t>VALOR FACTURA</t>
  </si>
  <si>
    <t>DEPOSITO</t>
  </si>
  <si>
    <t>FECHA PAGO</t>
  </si>
  <si>
    <t>VALOR PAGADO</t>
  </si>
  <si>
    <t>DOCUMENTO</t>
  </si>
  <si>
    <t>FACTURAS RADICADAS Y CRUZADAS</t>
  </si>
  <si>
    <t>PAGOS REALIZADOS</t>
  </si>
  <si>
    <t>INDEMNIZACIONES PAGADAS</t>
  </si>
  <si>
    <t>Por generar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</si>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</sst>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0"/>
      <name val="Arial"/>
    </font>
    <font>
      <sz val="10"/>
      <name val="Arial"/>
      <family val="2"/>
    </font>
    <font>
      <sz val="10"/>
      <name val="Calibri Light"/>
      <family val="2"/>
    </font>
    <font>
      <b/>
      <sz val="10"/>
      <color theme="0"/>
      <name val="Calibri Light"/>
      <family val="2"/>
    </font>
    <font>
      <b/>
      <sz val="10"/>
      <name val="Calibri Light"/>
      <family val="2"/>
    </font>
    <font>
      <b/>
      <sz val="12"/>
      <name val="Calibri Light"/>
      <family val="2"/>
    </font>
    <font>
      <b/>
      <sz val="18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3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64" fontId="2" fillId="0" borderId="0" xfId="1" applyNumberFormat="1" applyFont="1" applyAlignment="1">
      <alignment horizontal="center" vertical="top"/>
    </xf>
    <xf numFmtId="164" fontId="2" fillId="0" borderId="0" xfId="1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64" fontId="6" fillId="0" borderId="5" xfId="0" applyNumberFormat="1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164" fontId="2" fillId="0" borderId="0" xfId="1" applyNumberFormat="1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14" fontId="2" fillId="0" borderId="8" xfId="0" applyNumberFormat="1" applyFont="1" applyBorder="1" applyAlignment="1">
      <alignment horizontal="center" vertical="top"/>
    </xf>
    <xf numFmtId="164" fontId="2" fillId="0" borderId="8" xfId="1" applyNumberFormat="1" applyFont="1" applyBorder="1" applyAlignment="1">
      <alignment horizontal="center" vertical="top"/>
    </xf>
    <xf numFmtId="0" fontId="2" fillId="0" borderId="9" xfId="0" applyFont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0" fontId="3" fillId="4" borderId="0" xfId="0" applyFont="1" applyFill="1" applyAlignment="1">
      <alignment horizontal="center" vertical="center" wrapText="1"/>
    </xf>
    <xf numFmtId="164" fontId="3" fillId="4" borderId="0" xfId="1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Continuous" vertical="top"/>
    </xf>
    <xf numFmtId="0" fontId="2" fillId="5" borderId="3" xfId="0" applyFont="1" applyFill="1" applyBorder="1" applyAlignment="1">
      <alignment horizontal="centerContinuous" vertical="top"/>
    </xf>
    <xf numFmtId="164" fontId="2" fillId="5" borderId="3" xfId="1" applyNumberFormat="1" applyFont="1" applyFill="1" applyBorder="1" applyAlignment="1">
      <alignment horizontal="centerContinuous" vertical="top"/>
    </xf>
    <xf numFmtId="0" fontId="2" fillId="5" borderId="4" xfId="0" applyFont="1" applyFill="1" applyBorder="1" applyAlignment="1">
      <alignment horizontal="centerContinuous" vertical="top"/>
    </xf>
  </cellXfs>
  <cellStyles count="4">
    <cellStyle name="Millares" xfId="1" builtinId="3"/>
    <cellStyle name="Normal" xfId="0" builtinId="0"/>
    <cellStyle name="Normal 2" xfId="2" xr:uid="{572E1B62-2C84-4F67-A027-3F75664262B5}"/>
    <cellStyle name="Normal 5" xfId="3" xr:uid="{A13FCF9C-5E33-4358-860A-7ACB3539C857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Pendientes@" descr="@5C\QPendientes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B\Qcompens.@" descr="@5B\Qcompens.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B\Qcompens.@" descr="@5B\Qcompens.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B\Qcompens.@" descr="@5B\Qcompens.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B\Qcompens.@" descr="@5B\Qcompens.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B\Qcompens.@" descr="@5B\Qcompens.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B\Qcompens.@" descr="@5B\Qcompens.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B\Qcompens.@" descr="@5B\Qcompens.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B\Qcompens.@" descr="@5B\Qcompens.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B\Qcompens.@" descr="@5B\Qcompens.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B\Qcompens.@" descr="@5B\Qcompens.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B\Qcompens.@" descr="@5B\Qcompens.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B\Qcompens.@" descr="@5B\Qcompens.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B\Qcompens.@" descr="@5B\Qcompens.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B\Qcompens.@" descr="@5B\Qcompens.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B\Qcompens.@" descr="@5B\Qcompens.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9" name="Picture@5B\Qcompens.@" descr="@5B\Qcompens.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0" name="Picture@5B\Qcompens.@" descr="@5B\Qcompens.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1" name="Picture@5B\Qcompens.@" descr="@5B\Qcompens.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2" name="Picture@5B\Qcompens.@" descr="@5B\Qcompens.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3" name="Picture@5B\Qcompens.@" descr="@5B\Qcompens.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641537</xdr:colOff>
      <xdr:row>8</xdr:row>
      <xdr:rowOff>107102</xdr:rowOff>
    </xdr:from>
    <xdr:to>
      <xdr:col>13</xdr:col>
      <xdr:colOff>429857</xdr:colOff>
      <xdr:row>17</xdr:row>
      <xdr:rowOff>301708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D657C4-4C53-4125-D7EE-E21C060ED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3596" y="1586278"/>
          <a:ext cx="4360320" cy="1673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3"/>
  <sheetViews>
    <sheetView workbookViewId="0">
      <selection activeCell="D32" sqref="D32"/>
    </sheetView>
  </sheetViews>
  <sheetFormatPr baseColWidth="10" defaultColWidth="9.140625" defaultRowHeight="12.75" x14ac:dyDescent="0.2"/>
  <cols>
    <col min="1" max="1" width="16" bestFit="1" customWidth="1"/>
    <col min="2" max="2" width="22" bestFit="1" customWidth="1"/>
    <col min="3" max="3" width="20" bestFit="1" customWidth="1"/>
    <col min="4" max="4" width="17" bestFit="1" customWidth="1"/>
    <col min="5" max="5" width="11" bestFit="1" customWidth="1"/>
    <col min="6" max="6" width="14" bestFit="1" customWidth="1"/>
    <col min="7" max="7" width="20" bestFit="1" customWidth="1"/>
    <col min="8" max="8" width="15" bestFit="1" customWidth="1"/>
    <col min="9" max="9" width="20" bestFit="1" customWidth="1"/>
    <col min="10" max="10" width="11" bestFit="1" customWidth="1"/>
    <col min="11" max="11" width="18" bestFit="1" customWidth="1"/>
    <col min="12" max="12" width="26" bestFit="1" customWidth="1"/>
    <col min="13" max="13" width="18" bestFit="1" customWidth="1"/>
    <col min="14" max="14" width="12" bestFit="1" customWidth="1"/>
    <col min="15" max="15" width="20" bestFit="1" customWidth="1"/>
    <col min="16" max="16" width="13" bestFit="1" customWidth="1"/>
    <col min="17" max="17" width="9" bestFit="1" customWidth="1"/>
    <col min="18" max="18" width="50" bestFit="1" customWidth="1"/>
    <col min="19" max="19" width="17" bestFit="1" customWidth="1"/>
  </cols>
  <sheetData>
    <row r="1" spans="1:19" ht="38.25" x14ac:dyDescent="0.2">
      <c r="A1" s="8" t="s">
        <v>48</v>
      </c>
      <c r="B1" s="1" t="s">
        <v>49</v>
      </c>
      <c r="C1" s="1" t="s">
        <v>50</v>
      </c>
      <c r="D1" s="1" t="s">
        <v>51</v>
      </c>
      <c r="E1" s="8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8" t="s">
        <v>57</v>
      </c>
      <c r="K1" s="8" t="s">
        <v>58</v>
      </c>
      <c r="L1" s="1" t="s">
        <v>59</v>
      </c>
      <c r="M1" s="1" t="s">
        <v>60</v>
      </c>
      <c r="N1" s="8" t="s">
        <v>61</v>
      </c>
      <c r="O1" s="1" t="s">
        <v>62</v>
      </c>
      <c r="P1" s="8" t="s">
        <v>63</v>
      </c>
      <c r="Q1" s="8" t="s">
        <v>64</v>
      </c>
      <c r="R1" s="1" t="s">
        <v>65</v>
      </c>
      <c r="S1" s="1" t="s">
        <v>66</v>
      </c>
    </row>
    <row r="2" spans="1:19" ht="14.1" customHeight="1" x14ac:dyDescent="0.2">
      <c r="A2" s="2" t="s">
        <v>0</v>
      </c>
      <c r="B2" t="s">
        <v>1</v>
      </c>
      <c r="C2">
        <v>9017152108</v>
      </c>
      <c r="D2" t="s">
        <v>0</v>
      </c>
      <c r="E2">
        <v>170007164</v>
      </c>
      <c r="F2" t="s">
        <v>2</v>
      </c>
      <c r="G2" s="3">
        <v>45708</v>
      </c>
      <c r="H2" s="3">
        <v>45708</v>
      </c>
      <c r="I2" t="s">
        <v>0</v>
      </c>
      <c r="J2" s="4">
        <v>-2000000</v>
      </c>
      <c r="K2" s="4">
        <v>0</v>
      </c>
      <c r="L2" t="s">
        <v>0</v>
      </c>
      <c r="M2" t="s">
        <v>0</v>
      </c>
      <c r="N2" t="s">
        <v>3</v>
      </c>
      <c r="O2" s="3">
        <v>45708</v>
      </c>
      <c r="P2" t="s">
        <v>0</v>
      </c>
      <c r="Q2" t="s">
        <v>4</v>
      </c>
      <c r="R2" t="s">
        <v>5</v>
      </c>
      <c r="S2" t="s">
        <v>6</v>
      </c>
    </row>
    <row r="3" spans="1:19" ht="14.1" hidden="1" customHeight="1" x14ac:dyDescent="0.2">
      <c r="A3" s="2" t="s">
        <v>0</v>
      </c>
      <c r="B3" t="s">
        <v>1</v>
      </c>
      <c r="C3">
        <v>9017152108</v>
      </c>
      <c r="D3">
        <v>4938377</v>
      </c>
      <c r="E3">
        <v>140007502</v>
      </c>
      <c r="F3" t="s">
        <v>7</v>
      </c>
      <c r="G3" s="3">
        <v>45687</v>
      </c>
      <c r="H3" s="3">
        <v>45702</v>
      </c>
      <c r="I3" t="s">
        <v>0</v>
      </c>
      <c r="J3" s="4">
        <v>3528976</v>
      </c>
      <c r="K3" s="4">
        <v>-14</v>
      </c>
      <c r="L3" t="s">
        <v>0</v>
      </c>
      <c r="M3" t="s">
        <v>8</v>
      </c>
      <c r="N3" t="s">
        <v>9</v>
      </c>
      <c r="O3" s="3">
        <v>45687</v>
      </c>
      <c r="P3" t="s">
        <v>10</v>
      </c>
      <c r="Q3" t="s">
        <v>0</v>
      </c>
      <c r="R3" t="s">
        <v>0</v>
      </c>
      <c r="S3" t="s">
        <v>11</v>
      </c>
    </row>
    <row r="4" spans="1:19" ht="14.1" customHeight="1" x14ac:dyDescent="0.2">
      <c r="A4" s="2" t="s">
        <v>0</v>
      </c>
      <c r="B4" t="s">
        <v>1</v>
      </c>
      <c r="C4">
        <v>9017152108</v>
      </c>
      <c r="D4" t="s">
        <v>0</v>
      </c>
      <c r="E4">
        <v>170000651</v>
      </c>
      <c r="F4" t="s">
        <v>12</v>
      </c>
      <c r="G4" s="3">
        <v>45666</v>
      </c>
      <c r="H4" s="3">
        <v>45666</v>
      </c>
      <c r="I4" t="s">
        <v>0</v>
      </c>
      <c r="J4" s="4">
        <v>-5000000</v>
      </c>
      <c r="K4" s="4">
        <v>0</v>
      </c>
      <c r="L4" t="s">
        <v>0</v>
      </c>
      <c r="M4" t="s">
        <v>8</v>
      </c>
      <c r="N4" t="s">
        <v>3</v>
      </c>
      <c r="O4" s="3">
        <v>45666</v>
      </c>
      <c r="P4" t="s">
        <v>0</v>
      </c>
      <c r="Q4" t="s">
        <v>4</v>
      </c>
      <c r="R4" t="s">
        <v>13</v>
      </c>
      <c r="S4" t="s">
        <v>6</v>
      </c>
    </row>
    <row r="5" spans="1:19" ht="14.1" hidden="1" customHeight="1" x14ac:dyDescent="0.2">
      <c r="A5" s="2" t="s">
        <v>0</v>
      </c>
      <c r="B5" t="s">
        <v>1</v>
      </c>
      <c r="C5">
        <v>9017152108</v>
      </c>
      <c r="D5" t="s">
        <v>0</v>
      </c>
      <c r="E5">
        <v>170000769</v>
      </c>
      <c r="F5" t="s">
        <v>14</v>
      </c>
      <c r="G5" s="3">
        <v>45666</v>
      </c>
      <c r="H5" s="3">
        <v>45666</v>
      </c>
      <c r="I5" t="s">
        <v>0</v>
      </c>
      <c r="J5" s="4">
        <v>-5000000</v>
      </c>
      <c r="K5" s="4">
        <v>0</v>
      </c>
      <c r="L5" t="s">
        <v>0</v>
      </c>
      <c r="M5" t="s">
        <v>15</v>
      </c>
      <c r="N5" t="s">
        <v>3</v>
      </c>
      <c r="O5" s="3">
        <v>45666</v>
      </c>
      <c r="P5" t="s">
        <v>0</v>
      </c>
      <c r="Q5" t="s">
        <v>4</v>
      </c>
      <c r="R5" t="s">
        <v>16</v>
      </c>
      <c r="S5" t="s">
        <v>6</v>
      </c>
    </row>
    <row r="6" spans="1:19" ht="14.1" hidden="1" customHeight="1" x14ac:dyDescent="0.2">
      <c r="A6" s="2" t="s">
        <v>0</v>
      </c>
      <c r="B6" t="s">
        <v>1</v>
      </c>
      <c r="C6">
        <v>9017152108</v>
      </c>
      <c r="D6">
        <v>4930132</v>
      </c>
      <c r="E6">
        <v>140084911</v>
      </c>
      <c r="F6" t="s">
        <v>17</v>
      </c>
      <c r="G6" s="3">
        <v>45656</v>
      </c>
      <c r="H6" s="3">
        <v>45671</v>
      </c>
      <c r="I6" t="s">
        <v>0</v>
      </c>
      <c r="J6" s="4">
        <v>397687</v>
      </c>
      <c r="K6" s="4">
        <v>0</v>
      </c>
      <c r="L6" t="s">
        <v>0</v>
      </c>
      <c r="M6" t="s">
        <v>18</v>
      </c>
      <c r="N6" t="s">
        <v>9</v>
      </c>
      <c r="O6" s="3">
        <v>45656</v>
      </c>
      <c r="P6" t="s">
        <v>10</v>
      </c>
      <c r="Q6" t="s">
        <v>0</v>
      </c>
      <c r="R6" t="s">
        <v>0</v>
      </c>
      <c r="S6" t="s">
        <v>11</v>
      </c>
    </row>
    <row r="7" spans="1:19" ht="14.1" hidden="1" customHeight="1" x14ac:dyDescent="0.2">
      <c r="A7" s="2" t="s">
        <v>0</v>
      </c>
      <c r="B7" t="s">
        <v>1</v>
      </c>
      <c r="C7">
        <v>9017152108</v>
      </c>
      <c r="D7">
        <v>4927786</v>
      </c>
      <c r="E7">
        <v>140082565</v>
      </c>
      <c r="F7" t="s">
        <v>19</v>
      </c>
      <c r="G7" s="3">
        <v>45646</v>
      </c>
      <c r="H7" s="3">
        <v>45661</v>
      </c>
      <c r="I7" t="s">
        <v>0</v>
      </c>
      <c r="J7" s="4">
        <v>4930025</v>
      </c>
      <c r="K7" s="4">
        <v>-11</v>
      </c>
      <c r="L7" t="s">
        <v>0</v>
      </c>
      <c r="M7" t="s">
        <v>20</v>
      </c>
      <c r="N7" t="s">
        <v>9</v>
      </c>
      <c r="O7" s="3">
        <v>45646</v>
      </c>
      <c r="P7" t="s">
        <v>10</v>
      </c>
      <c r="Q7" t="s">
        <v>0</v>
      </c>
      <c r="R7" t="s">
        <v>0</v>
      </c>
      <c r="S7" t="s">
        <v>11</v>
      </c>
    </row>
    <row r="8" spans="1:19" ht="14.1" customHeight="1" x14ac:dyDescent="0.2">
      <c r="A8" s="2" t="s">
        <v>0</v>
      </c>
      <c r="B8" t="s">
        <v>1</v>
      </c>
      <c r="C8">
        <v>9017152108</v>
      </c>
      <c r="D8" t="s">
        <v>0</v>
      </c>
      <c r="E8">
        <v>170047457</v>
      </c>
      <c r="F8" t="s">
        <v>21</v>
      </c>
      <c r="G8" s="3">
        <v>45629</v>
      </c>
      <c r="H8" s="3">
        <v>45629</v>
      </c>
      <c r="I8" t="s">
        <v>0</v>
      </c>
      <c r="J8" s="4">
        <v>-4000000</v>
      </c>
      <c r="K8" s="4">
        <v>0</v>
      </c>
      <c r="L8" t="s">
        <v>0</v>
      </c>
      <c r="M8" t="s">
        <v>22</v>
      </c>
      <c r="N8" t="s">
        <v>3</v>
      </c>
      <c r="O8" s="3">
        <v>45629</v>
      </c>
      <c r="P8" t="s">
        <v>0</v>
      </c>
      <c r="Q8" t="s">
        <v>4</v>
      </c>
      <c r="R8" t="s">
        <v>23</v>
      </c>
      <c r="S8" t="s">
        <v>6</v>
      </c>
    </row>
    <row r="9" spans="1:19" ht="14.1" hidden="1" customHeight="1" x14ac:dyDescent="0.2">
      <c r="A9" s="2" t="s">
        <v>0</v>
      </c>
      <c r="B9" t="s">
        <v>1</v>
      </c>
      <c r="C9">
        <v>9017152108</v>
      </c>
      <c r="D9">
        <v>4923109</v>
      </c>
      <c r="E9">
        <v>140077869</v>
      </c>
      <c r="F9" t="s">
        <v>24</v>
      </c>
      <c r="G9" s="3">
        <v>45625</v>
      </c>
      <c r="H9" s="3">
        <v>45640</v>
      </c>
      <c r="I9" t="s">
        <v>0</v>
      </c>
      <c r="J9" s="4">
        <v>2870943</v>
      </c>
      <c r="K9" s="4">
        <v>-14</v>
      </c>
      <c r="L9" t="s">
        <v>0</v>
      </c>
      <c r="M9" t="s">
        <v>25</v>
      </c>
      <c r="N9" t="s">
        <v>9</v>
      </c>
      <c r="O9" s="3">
        <v>45625</v>
      </c>
      <c r="P9" t="s">
        <v>10</v>
      </c>
      <c r="Q9" t="s">
        <v>0</v>
      </c>
      <c r="R9" t="s">
        <v>0</v>
      </c>
      <c r="S9" t="s">
        <v>11</v>
      </c>
    </row>
    <row r="10" spans="1:19" ht="14.1" hidden="1" customHeight="1" x14ac:dyDescent="0.2">
      <c r="A10" s="2" t="s">
        <v>0</v>
      </c>
      <c r="B10" t="s">
        <v>1</v>
      </c>
      <c r="C10">
        <v>9017152108</v>
      </c>
      <c r="D10">
        <v>4916437</v>
      </c>
      <c r="E10">
        <v>140071161</v>
      </c>
      <c r="F10" t="s">
        <v>26</v>
      </c>
      <c r="G10" s="3">
        <v>45595</v>
      </c>
      <c r="H10" s="3">
        <v>45610</v>
      </c>
      <c r="I10" t="s">
        <v>0</v>
      </c>
      <c r="J10" s="4">
        <v>2433050</v>
      </c>
      <c r="K10" s="4">
        <v>0</v>
      </c>
      <c r="L10" t="s">
        <v>0</v>
      </c>
      <c r="M10" t="s">
        <v>27</v>
      </c>
      <c r="N10" t="s">
        <v>9</v>
      </c>
      <c r="O10" s="3">
        <v>45595</v>
      </c>
      <c r="P10" t="s">
        <v>10</v>
      </c>
      <c r="Q10" t="s">
        <v>0</v>
      </c>
      <c r="R10" t="s">
        <v>0</v>
      </c>
      <c r="S10" t="s">
        <v>11</v>
      </c>
    </row>
    <row r="11" spans="1:19" ht="14.1" customHeight="1" x14ac:dyDescent="0.2">
      <c r="A11" s="2" t="s">
        <v>0</v>
      </c>
      <c r="B11" t="s">
        <v>1</v>
      </c>
      <c r="C11">
        <v>9017152108</v>
      </c>
      <c r="D11" t="s">
        <v>0</v>
      </c>
      <c r="E11">
        <v>170039795</v>
      </c>
      <c r="F11" t="s">
        <v>28</v>
      </c>
      <c r="G11" s="3">
        <v>45572</v>
      </c>
      <c r="H11" s="3">
        <v>45572</v>
      </c>
      <c r="I11" t="s">
        <v>0</v>
      </c>
      <c r="J11" s="4">
        <v>-5000000</v>
      </c>
      <c r="K11" s="4">
        <v>0</v>
      </c>
      <c r="L11" t="s">
        <v>0</v>
      </c>
      <c r="M11" t="s">
        <v>25</v>
      </c>
      <c r="N11" t="s">
        <v>3</v>
      </c>
      <c r="O11" s="3">
        <v>45572</v>
      </c>
      <c r="P11" t="s">
        <v>0</v>
      </c>
      <c r="Q11" t="s">
        <v>4</v>
      </c>
      <c r="R11" t="s">
        <v>29</v>
      </c>
      <c r="S11" t="s">
        <v>6</v>
      </c>
    </row>
    <row r="12" spans="1:19" ht="14.1" hidden="1" customHeight="1" x14ac:dyDescent="0.2">
      <c r="A12" s="2" t="s">
        <v>0</v>
      </c>
      <c r="B12" t="s">
        <v>1</v>
      </c>
      <c r="C12">
        <v>9017152108</v>
      </c>
      <c r="D12">
        <v>4909689</v>
      </c>
      <c r="E12">
        <v>140064383</v>
      </c>
      <c r="F12" t="s">
        <v>30</v>
      </c>
      <c r="G12" s="3">
        <v>45565</v>
      </c>
      <c r="H12" s="3">
        <v>45580</v>
      </c>
      <c r="I12" t="s">
        <v>0</v>
      </c>
      <c r="J12" s="4">
        <v>3731162</v>
      </c>
      <c r="K12" s="4">
        <v>-15</v>
      </c>
      <c r="L12" t="s">
        <v>0</v>
      </c>
      <c r="M12" t="s">
        <v>31</v>
      </c>
      <c r="N12" t="s">
        <v>9</v>
      </c>
      <c r="O12" s="3">
        <v>45565</v>
      </c>
      <c r="P12" t="s">
        <v>10</v>
      </c>
      <c r="Q12" t="s">
        <v>0</v>
      </c>
      <c r="R12" t="s">
        <v>0</v>
      </c>
      <c r="S12" t="s">
        <v>11</v>
      </c>
    </row>
    <row r="13" spans="1:19" ht="14.1" hidden="1" customHeight="1" x14ac:dyDescent="0.2">
      <c r="A13" s="2" t="s">
        <v>0</v>
      </c>
      <c r="B13" t="s">
        <v>1</v>
      </c>
      <c r="C13">
        <v>9017152108</v>
      </c>
      <c r="D13">
        <v>4903254</v>
      </c>
      <c r="E13">
        <v>140057923</v>
      </c>
      <c r="F13" t="s">
        <v>32</v>
      </c>
      <c r="G13" s="3">
        <v>45540</v>
      </c>
      <c r="H13" s="3">
        <v>45555</v>
      </c>
      <c r="I13" t="s">
        <v>0</v>
      </c>
      <c r="J13" s="4">
        <v>242673</v>
      </c>
      <c r="K13" s="4">
        <v>-4</v>
      </c>
      <c r="L13" t="s">
        <v>0</v>
      </c>
      <c r="M13" t="s">
        <v>33</v>
      </c>
      <c r="N13" t="s">
        <v>9</v>
      </c>
      <c r="O13" s="3">
        <v>45540</v>
      </c>
      <c r="P13" t="s">
        <v>10</v>
      </c>
      <c r="Q13" t="s">
        <v>0</v>
      </c>
      <c r="R13" t="s">
        <v>0</v>
      </c>
      <c r="S13" t="s">
        <v>11</v>
      </c>
    </row>
    <row r="14" spans="1:19" ht="14.1" customHeight="1" x14ac:dyDescent="0.2">
      <c r="A14" s="2" t="s">
        <v>0</v>
      </c>
      <c r="B14" t="s">
        <v>1</v>
      </c>
      <c r="C14">
        <v>9017152108</v>
      </c>
      <c r="D14" t="s">
        <v>0</v>
      </c>
      <c r="E14">
        <v>170034509</v>
      </c>
      <c r="F14" t="s">
        <v>34</v>
      </c>
      <c r="G14" s="3">
        <v>45538</v>
      </c>
      <c r="H14" s="3">
        <v>45538</v>
      </c>
      <c r="I14" t="s">
        <v>0</v>
      </c>
      <c r="J14" s="4">
        <v>-5000000</v>
      </c>
      <c r="K14" s="4">
        <v>0</v>
      </c>
      <c r="L14" t="s">
        <v>0</v>
      </c>
      <c r="M14" t="s">
        <v>31</v>
      </c>
      <c r="N14" t="s">
        <v>3</v>
      </c>
      <c r="O14" s="3">
        <v>45538</v>
      </c>
      <c r="P14" t="s">
        <v>0</v>
      </c>
      <c r="Q14" t="s">
        <v>4</v>
      </c>
      <c r="R14" t="s">
        <v>35</v>
      </c>
      <c r="S14" t="s">
        <v>6</v>
      </c>
    </row>
    <row r="15" spans="1:19" ht="14.1" hidden="1" customHeight="1" x14ac:dyDescent="0.2">
      <c r="A15" s="2" t="s">
        <v>0</v>
      </c>
      <c r="B15" t="s">
        <v>1</v>
      </c>
      <c r="C15">
        <v>9017152108</v>
      </c>
      <c r="D15">
        <v>4902024</v>
      </c>
      <c r="E15">
        <v>140056687</v>
      </c>
      <c r="F15" t="s">
        <v>36</v>
      </c>
      <c r="G15" s="3">
        <v>45534</v>
      </c>
      <c r="H15" s="3">
        <v>45549</v>
      </c>
      <c r="I15" t="s">
        <v>0</v>
      </c>
      <c r="J15" s="4">
        <v>6018277</v>
      </c>
      <c r="K15" s="4">
        <v>2</v>
      </c>
      <c r="L15" t="s">
        <v>0</v>
      </c>
      <c r="M15" t="s">
        <v>33</v>
      </c>
      <c r="N15" t="s">
        <v>9</v>
      </c>
      <c r="O15" s="3">
        <v>45534</v>
      </c>
      <c r="P15" t="s">
        <v>10</v>
      </c>
      <c r="Q15" t="s">
        <v>0</v>
      </c>
      <c r="R15" t="s">
        <v>0</v>
      </c>
      <c r="S15" t="s">
        <v>11</v>
      </c>
    </row>
    <row r="16" spans="1:19" ht="14.1" customHeight="1" x14ac:dyDescent="0.2">
      <c r="A16" s="2" t="s">
        <v>0</v>
      </c>
      <c r="B16" t="s">
        <v>1</v>
      </c>
      <c r="C16">
        <v>9017152108</v>
      </c>
      <c r="D16" t="s">
        <v>0</v>
      </c>
      <c r="E16">
        <v>170030837</v>
      </c>
      <c r="F16" t="s">
        <v>37</v>
      </c>
      <c r="G16" s="3">
        <v>45510</v>
      </c>
      <c r="H16" s="3">
        <v>45510</v>
      </c>
      <c r="I16" t="s">
        <v>0</v>
      </c>
      <c r="J16" s="4">
        <v>-2455031</v>
      </c>
      <c r="K16" s="4">
        <v>0</v>
      </c>
      <c r="L16" t="s">
        <v>0</v>
      </c>
      <c r="M16" t="s">
        <v>33</v>
      </c>
      <c r="N16" t="s">
        <v>3</v>
      </c>
      <c r="O16" s="3">
        <v>45510</v>
      </c>
      <c r="P16" t="s">
        <v>0</v>
      </c>
      <c r="Q16" t="s">
        <v>4</v>
      </c>
      <c r="R16" t="s">
        <v>38</v>
      </c>
      <c r="S16" t="s">
        <v>6</v>
      </c>
    </row>
    <row r="17" spans="1:19" ht="14.1" customHeight="1" x14ac:dyDescent="0.2">
      <c r="A17" s="2" t="s">
        <v>0</v>
      </c>
      <c r="B17" t="s">
        <v>1</v>
      </c>
      <c r="C17">
        <v>9017152108</v>
      </c>
      <c r="D17" t="s">
        <v>0</v>
      </c>
      <c r="E17">
        <v>170030837</v>
      </c>
      <c r="F17" t="s">
        <v>37</v>
      </c>
      <c r="G17" s="3">
        <v>45510</v>
      </c>
      <c r="H17" s="3">
        <v>45510</v>
      </c>
      <c r="I17" t="s">
        <v>0</v>
      </c>
      <c r="J17" s="4">
        <v>-3762290</v>
      </c>
      <c r="K17" s="4">
        <v>3</v>
      </c>
      <c r="L17" t="s">
        <v>0</v>
      </c>
      <c r="M17" t="s">
        <v>37</v>
      </c>
      <c r="N17" t="s">
        <v>3</v>
      </c>
      <c r="O17" s="3">
        <v>45510</v>
      </c>
      <c r="P17" t="s">
        <v>0</v>
      </c>
      <c r="Q17" t="s">
        <v>0</v>
      </c>
      <c r="R17" t="s">
        <v>0</v>
      </c>
      <c r="S17" t="s">
        <v>11</v>
      </c>
    </row>
    <row r="18" spans="1:19" ht="14.1" hidden="1" customHeight="1" x14ac:dyDescent="0.2">
      <c r="A18" s="2" t="s">
        <v>0</v>
      </c>
      <c r="B18" t="s">
        <v>1</v>
      </c>
      <c r="C18">
        <v>9017152108</v>
      </c>
      <c r="D18">
        <v>4895115</v>
      </c>
      <c r="E18">
        <v>140049737</v>
      </c>
      <c r="F18" t="s">
        <v>39</v>
      </c>
      <c r="G18" s="3">
        <v>45503</v>
      </c>
      <c r="H18" s="3">
        <v>45518</v>
      </c>
      <c r="I18" t="s">
        <v>0</v>
      </c>
      <c r="J18" s="4">
        <v>3762290</v>
      </c>
      <c r="K18" s="4">
        <v>-5</v>
      </c>
      <c r="L18" t="s">
        <v>0</v>
      </c>
      <c r="M18" t="s">
        <v>37</v>
      </c>
      <c r="N18" t="s">
        <v>9</v>
      </c>
      <c r="O18" s="3">
        <v>45503</v>
      </c>
      <c r="P18" t="s">
        <v>10</v>
      </c>
      <c r="Q18" t="s">
        <v>0</v>
      </c>
      <c r="R18" t="s">
        <v>0</v>
      </c>
      <c r="S18" t="s">
        <v>11</v>
      </c>
    </row>
    <row r="19" spans="1:19" ht="14.1" customHeight="1" x14ac:dyDescent="0.2">
      <c r="A19" s="2" t="s">
        <v>0</v>
      </c>
      <c r="B19" t="s">
        <v>1</v>
      </c>
      <c r="C19">
        <v>9017152108</v>
      </c>
      <c r="D19" t="s">
        <v>0</v>
      </c>
      <c r="E19">
        <v>170026220</v>
      </c>
      <c r="F19" t="s">
        <v>40</v>
      </c>
      <c r="G19" s="3">
        <v>45476</v>
      </c>
      <c r="H19" s="3">
        <v>45476</v>
      </c>
      <c r="I19" t="s">
        <v>0</v>
      </c>
      <c r="J19" s="4">
        <v>-5000000</v>
      </c>
      <c r="K19" s="4">
        <v>0</v>
      </c>
      <c r="L19" t="s">
        <v>0</v>
      </c>
      <c r="M19" t="s">
        <v>33</v>
      </c>
      <c r="N19" t="s">
        <v>3</v>
      </c>
      <c r="O19" s="3">
        <v>45476</v>
      </c>
      <c r="P19" t="s">
        <v>0</v>
      </c>
      <c r="Q19" t="s">
        <v>4</v>
      </c>
      <c r="R19" t="s">
        <v>41</v>
      </c>
      <c r="S19" t="s">
        <v>6</v>
      </c>
    </row>
    <row r="20" spans="1:19" ht="14.1" hidden="1" customHeight="1" x14ac:dyDescent="0.2">
      <c r="A20" s="2" t="s">
        <v>0</v>
      </c>
      <c r="B20" t="s">
        <v>1</v>
      </c>
      <c r="C20">
        <v>9017152108</v>
      </c>
      <c r="D20">
        <v>4888505</v>
      </c>
      <c r="E20">
        <v>140043101</v>
      </c>
      <c r="F20" t="s">
        <v>42</v>
      </c>
      <c r="G20" s="3">
        <v>45471</v>
      </c>
      <c r="H20" s="3">
        <v>45486</v>
      </c>
      <c r="I20" t="s">
        <v>0</v>
      </c>
      <c r="J20" s="4">
        <v>4437562</v>
      </c>
      <c r="K20" s="4">
        <v>-13</v>
      </c>
      <c r="L20" t="s">
        <v>0</v>
      </c>
      <c r="M20" t="s">
        <v>43</v>
      </c>
      <c r="N20" t="s">
        <v>9</v>
      </c>
      <c r="O20" s="3">
        <v>45471</v>
      </c>
      <c r="P20" t="s">
        <v>10</v>
      </c>
      <c r="Q20" t="s">
        <v>0</v>
      </c>
      <c r="R20" t="s">
        <v>0</v>
      </c>
      <c r="S20" t="s">
        <v>11</v>
      </c>
    </row>
    <row r="21" spans="1:19" ht="14.1" hidden="1" customHeight="1" x14ac:dyDescent="0.2">
      <c r="A21" s="2" t="s">
        <v>0</v>
      </c>
      <c r="B21" t="s">
        <v>1</v>
      </c>
      <c r="C21">
        <v>9017152108</v>
      </c>
      <c r="D21">
        <v>4881661</v>
      </c>
      <c r="E21">
        <v>140036231</v>
      </c>
      <c r="F21" t="s">
        <v>44</v>
      </c>
      <c r="G21" s="3">
        <v>45442</v>
      </c>
      <c r="H21" s="3">
        <v>45457</v>
      </c>
      <c r="I21" t="s">
        <v>0</v>
      </c>
      <c r="J21" s="4">
        <v>4345117</v>
      </c>
      <c r="K21" s="4">
        <v>-14</v>
      </c>
      <c r="L21" t="s">
        <v>0</v>
      </c>
      <c r="M21" t="s">
        <v>45</v>
      </c>
      <c r="N21" t="s">
        <v>9</v>
      </c>
      <c r="O21" s="3">
        <v>45442</v>
      </c>
      <c r="P21" t="s">
        <v>10</v>
      </c>
      <c r="Q21" t="s">
        <v>0</v>
      </c>
      <c r="R21" t="s">
        <v>0</v>
      </c>
      <c r="S21" t="s">
        <v>11</v>
      </c>
    </row>
    <row r="22" spans="1:19" ht="14.1" customHeight="1" x14ac:dyDescent="0.2">
      <c r="A22" s="2" t="s">
        <v>0</v>
      </c>
      <c r="B22" t="s">
        <v>1</v>
      </c>
      <c r="C22">
        <v>9017152108</v>
      </c>
      <c r="D22" t="s">
        <v>0</v>
      </c>
      <c r="E22">
        <v>170017602</v>
      </c>
      <c r="F22" t="s">
        <v>46</v>
      </c>
      <c r="G22" s="3">
        <v>45404</v>
      </c>
      <c r="H22" s="3">
        <v>45404</v>
      </c>
      <c r="I22" t="s">
        <v>0</v>
      </c>
      <c r="J22" s="4">
        <v>-10000000</v>
      </c>
      <c r="K22" s="4">
        <v>0</v>
      </c>
      <c r="L22" t="s">
        <v>0</v>
      </c>
      <c r="M22" t="s">
        <v>45</v>
      </c>
      <c r="N22" t="s">
        <v>3</v>
      </c>
      <c r="O22" s="3">
        <v>45404</v>
      </c>
      <c r="P22" t="s">
        <v>0</v>
      </c>
      <c r="Q22" t="s">
        <v>4</v>
      </c>
      <c r="R22" t="s">
        <v>47</v>
      </c>
      <c r="S22" t="s">
        <v>6</v>
      </c>
    </row>
    <row r="23" spans="1:19" x14ac:dyDescent="0.2">
      <c r="A23" s="5" t="s">
        <v>0</v>
      </c>
      <c r="B23" s="5" t="s">
        <v>0</v>
      </c>
      <c r="C23" s="5"/>
      <c r="D23" s="5" t="s">
        <v>0</v>
      </c>
      <c r="E23" s="5"/>
      <c r="F23" s="5" t="s">
        <v>0</v>
      </c>
      <c r="G23" s="6"/>
      <c r="H23" s="6"/>
      <c r="I23" s="5" t="s">
        <v>0</v>
      </c>
      <c r="J23" s="7">
        <v>-9302238</v>
      </c>
      <c r="K23" s="7"/>
      <c r="L23" s="5" t="s">
        <v>0</v>
      </c>
      <c r="M23" s="5" t="s">
        <v>0</v>
      </c>
      <c r="N23" s="5" t="s">
        <v>0</v>
      </c>
      <c r="O23" s="6"/>
      <c r="P23" s="5" t="s">
        <v>0</v>
      </c>
      <c r="Q23" s="5" t="s">
        <v>0</v>
      </c>
      <c r="R23" s="5" t="s">
        <v>0</v>
      </c>
      <c r="S23" s="5" t="s">
        <v>0</v>
      </c>
    </row>
  </sheetData>
  <autoFilter ref="A1:S23" xr:uid="{00000000-0001-0000-0000-000000000000}">
    <filterColumn colId="9">
      <filters>
        <filter val="-10.000.000"/>
        <filter val="-2.000.000"/>
        <filter val="-2.455.031"/>
        <filter val="-3.762.290"/>
        <filter val="-4.000.000"/>
        <filter val="-5.000.000"/>
        <filter val="-9.302.238"/>
      </filters>
    </filterColumn>
    <filterColumn colId="12">
      <filters blank="1">
        <filter val="170030837"/>
        <filter val="50000146"/>
        <filter val="50000709"/>
        <filter val="50001148"/>
        <filter val="50001225"/>
        <filter val="50001500"/>
        <filter val="50001628"/>
      </filters>
    </filterColumn>
  </autoFilter>
  <phoneticPr fontId="0" type="noConversion"/>
  <conditionalFormatting sqref="D20:D21 D3 D6:D7 D9:D10 D12:D13 D15 D18">
    <cfRule type="duplicateValues" dxfId="6" priority="2"/>
  </conditionalFormatting>
  <conditionalFormatting sqref="E2 E4 E8 E11 E14 E16:E17 E19 E22">
    <cfRule type="duplicateValues" dxfId="5" priority="1"/>
  </conditionalFormatting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C399-22CB-41CC-A896-CE2F66D73E13}">
  <dimension ref="B1:H48"/>
  <sheetViews>
    <sheetView showGridLines="0" tabSelected="1" zoomScale="85" zoomScaleNormal="85" workbookViewId="0">
      <selection activeCell="L28" sqref="L28"/>
    </sheetView>
  </sheetViews>
  <sheetFormatPr baseColWidth="10" defaultRowHeight="12.75" x14ac:dyDescent="0.2"/>
  <cols>
    <col min="1" max="1" width="11.42578125" style="9"/>
    <col min="2" max="2" width="23.140625" style="9" bestFit="1" customWidth="1"/>
    <col min="3" max="3" width="15.5703125" style="9" bestFit="1" customWidth="1"/>
    <col min="4" max="4" width="13.85546875" style="9" bestFit="1" customWidth="1"/>
    <col min="5" max="5" width="17.140625" style="9" bestFit="1" customWidth="1"/>
    <col min="6" max="6" width="12.42578125" style="13" bestFit="1" customWidth="1"/>
    <col min="7" max="7" width="22.42578125" style="9" customWidth="1"/>
    <col min="8" max="16384" width="11.42578125" style="9"/>
  </cols>
  <sheetData>
    <row r="1" spans="2:8" ht="13.5" thickBot="1" x14ac:dyDescent="0.25"/>
    <row r="2" spans="2:8" ht="15.75" x14ac:dyDescent="0.2">
      <c r="B2" s="31" t="s">
        <v>76</v>
      </c>
      <c r="C2" s="32"/>
      <c r="D2" s="32"/>
      <c r="E2" s="32"/>
      <c r="F2" s="33"/>
      <c r="G2" s="34"/>
      <c r="H2" s="14">
        <f>G3+G18+G29</f>
        <v>-146083</v>
      </c>
    </row>
    <row r="3" spans="2:8" ht="25.5" x14ac:dyDescent="0.2">
      <c r="B3" s="30" t="s">
        <v>67</v>
      </c>
      <c r="C3" s="28" t="s">
        <v>68</v>
      </c>
      <c r="D3" s="28" t="s">
        <v>69</v>
      </c>
      <c r="E3" s="28" t="s">
        <v>70</v>
      </c>
      <c r="F3" s="29" t="s">
        <v>71</v>
      </c>
      <c r="G3" s="15">
        <f>SUM(F4:F15)</f>
        <v>42041351</v>
      </c>
    </row>
    <row r="4" spans="2:8" x14ac:dyDescent="0.2">
      <c r="B4" s="24" t="s">
        <v>1</v>
      </c>
      <c r="C4" s="25">
        <v>9017152108</v>
      </c>
      <c r="D4" s="25" t="s">
        <v>79</v>
      </c>
      <c r="E4" s="26" t="s">
        <v>80</v>
      </c>
      <c r="F4" s="27">
        <v>5343589</v>
      </c>
      <c r="G4" s="18"/>
    </row>
    <row r="5" spans="2:8" x14ac:dyDescent="0.2">
      <c r="B5" s="16" t="s">
        <v>1</v>
      </c>
      <c r="C5" s="10">
        <v>9017152108</v>
      </c>
      <c r="D5" s="10">
        <v>4938377</v>
      </c>
      <c r="E5" s="11">
        <v>45687</v>
      </c>
      <c r="F5" s="17">
        <v>3528976</v>
      </c>
      <c r="G5" s="18"/>
    </row>
    <row r="6" spans="2:8" x14ac:dyDescent="0.2">
      <c r="B6" s="16" t="s">
        <v>1</v>
      </c>
      <c r="C6" s="10">
        <v>9017152108</v>
      </c>
      <c r="D6" s="10">
        <v>4930132</v>
      </c>
      <c r="E6" s="11">
        <v>45656</v>
      </c>
      <c r="F6" s="17">
        <v>397687</v>
      </c>
      <c r="G6" s="18"/>
    </row>
    <row r="7" spans="2:8" x14ac:dyDescent="0.2">
      <c r="B7" s="16" t="s">
        <v>1</v>
      </c>
      <c r="C7" s="10">
        <v>9017152108</v>
      </c>
      <c r="D7" s="10">
        <v>4927786</v>
      </c>
      <c r="E7" s="11">
        <v>45646</v>
      </c>
      <c r="F7" s="17">
        <v>4930025</v>
      </c>
      <c r="G7" s="18"/>
    </row>
    <row r="8" spans="2:8" x14ac:dyDescent="0.2">
      <c r="B8" s="16" t="s">
        <v>1</v>
      </c>
      <c r="C8" s="10">
        <v>9017152108</v>
      </c>
      <c r="D8" s="10">
        <v>4923109</v>
      </c>
      <c r="E8" s="11">
        <v>45625</v>
      </c>
      <c r="F8" s="17">
        <v>2870943</v>
      </c>
      <c r="G8" s="18"/>
    </row>
    <row r="9" spans="2:8" x14ac:dyDescent="0.2">
      <c r="B9" s="16" t="s">
        <v>1</v>
      </c>
      <c r="C9" s="10">
        <v>9017152108</v>
      </c>
      <c r="D9" s="10">
        <v>4916437</v>
      </c>
      <c r="E9" s="11">
        <v>45595</v>
      </c>
      <c r="F9" s="17">
        <v>2433050</v>
      </c>
      <c r="G9" s="18"/>
    </row>
    <row r="10" spans="2:8" x14ac:dyDescent="0.2">
      <c r="B10" s="16" t="s">
        <v>1</v>
      </c>
      <c r="C10" s="10">
        <v>9017152108</v>
      </c>
      <c r="D10" s="10">
        <v>4909689</v>
      </c>
      <c r="E10" s="11">
        <v>45565</v>
      </c>
      <c r="F10" s="17">
        <v>3731162</v>
      </c>
      <c r="G10" s="18"/>
    </row>
    <row r="11" spans="2:8" x14ac:dyDescent="0.2">
      <c r="B11" s="16" t="s">
        <v>1</v>
      </c>
      <c r="C11" s="10">
        <v>9017152108</v>
      </c>
      <c r="D11" s="10">
        <v>4903254</v>
      </c>
      <c r="E11" s="11">
        <v>45540</v>
      </c>
      <c r="F11" s="17">
        <v>242673</v>
      </c>
      <c r="G11" s="18"/>
    </row>
    <row r="12" spans="2:8" x14ac:dyDescent="0.2">
      <c r="B12" s="16" t="s">
        <v>1</v>
      </c>
      <c r="C12" s="10">
        <v>9017152108</v>
      </c>
      <c r="D12" s="10">
        <v>4902024</v>
      </c>
      <c r="E12" s="11">
        <v>45534</v>
      </c>
      <c r="F12" s="17">
        <v>6018277</v>
      </c>
      <c r="G12" s="18"/>
    </row>
    <row r="13" spans="2:8" x14ac:dyDescent="0.2">
      <c r="B13" s="16" t="s">
        <v>1</v>
      </c>
      <c r="C13" s="10">
        <v>9017152108</v>
      </c>
      <c r="D13" s="10">
        <v>4895115</v>
      </c>
      <c r="E13" s="11">
        <v>45503</v>
      </c>
      <c r="F13" s="17">
        <v>3762290</v>
      </c>
      <c r="G13" s="18"/>
    </row>
    <row r="14" spans="2:8" x14ac:dyDescent="0.2">
      <c r="B14" s="16" t="s">
        <v>1</v>
      </c>
      <c r="C14" s="10">
        <v>9017152108</v>
      </c>
      <c r="D14" s="10">
        <v>4888505</v>
      </c>
      <c r="E14" s="11">
        <v>45471</v>
      </c>
      <c r="F14" s="17">
        <v>4437562</v>
      </c>
      <c r="G14" s="18"/>
    </row>
    <row r="15" spans="2:8" ht="13.5" thickBot="1" x14ac:dyDescent="0.25">
      <c r="B15" s="19" t="s">
        <v>1</v>
      </c>
      <c r="C15" s="20">
        <v>9017152108</v>
      </c>
      <c r="D15" s="20">
        <v>4881661</v>
      </c>
      <c r="E15" s="21">
        <v>45442</v>
      </c>
      <c r="F15" s="22">
        <v>4345117</v>
      </c>
      <c r="G15" s="23"/>
    </row>
    <row r="16" spans="2:8" ht="13.5" thickBot="1" x14ac:dyDescent="0.25"/>
    <row r="17" spans="2:7" ht="15.75" x14ac:dyDescent="0.2">
      <c r="B17" s="31" t="s">
        <v>77</v>
      </c>
      <c r="C17" s="32"/>
      <c r="D17" s="32"/>
      <c r="E17" s="32"/>
      <c r="F17" s="33"/>
      <c r="G17" s="34"/>
    </row>
    <row r="18" spans="2:7" ht="25.5" x14ac:dyDescent="0.2">
      <c r="B18" s="30" t="s">
        <v>67</v>
      </c>
      <c r="C18" s="28" t="s">
        <v>68</v>
      </c>
      <c r="D18" s="28" t="s">
        <v>72</v>
      </c>
      <c r="E18" s="28" t="s">
        <v>73</v>
      </c>
      <c r="F18" s="29" t="s">
        <v>74</v>
      </c>
      <c r="G18" s="15">
        <f>SUM(F19:F26)</f>
        <v>-41000000</v>
      </c>
    </row>
    <row r="19" spans="2:7" x14ac:dyDescent="0.2">
      <c r="B19" s="16" t="s">
        <v>1</v>
      </c>
      <c r="C19" s="10">
        <v>9017152108</v>
      </c>
      <c r="D19" s="10">
        <v>170007164</v>
      </c>
      <c r="E19" s="11">
        <v>45708</v>
      </c>
      <c r="F19" s="17">
        <v>-2000000</v>
      </c>
      <c r="G19" s="18"/>
    </row>
    <row r="20" spans="2:7" x14ac:dyDescent="0.2">
      <c r="B20" s="16" t="s">
        <v>1</v>
      </c>
      <c r="C20" s="10">
        <v>9017152108</v>
      </c>
      <c r="D20" s="10">
        <v>170000651</v>
      </c>
      <c r="E20" s="11">
        <v>45666</v>
      </c>
      <c r="F20" s="17">
        <v>-5000000</v>
      </c>
      <c r="G20" s="18"/>
    </row>
    <row r="21" spans="2:7" x14ac:dyDescent="0.2">
      <c r="B21" s="16" t="s">
        <v>1</v>
      </c>
      <c r="C21" s="10">
        <v>9017152108</v>
      </c>
      <c r="D21" s="10">
        <v>170047457</v>
      </c>
      <c r="E21" s="11">
        <v>45629</v>
      </c>
      <c r="F21" s="17">
        <v>-4000000</v>
      </c>
      <c r="G21" s="18"/>
    </row>
    <row r="22" spans="2:7" x14ac:dyDescent="0.2">
      <c r="B22" s="16" t="s">
        <v>1</v>
      </c>
      <c r="C22" s="10">
        <v>9017152108</v>
      </c>
      <c r="D22" s="10">
        <v>170039795</v>
      </c>
      <c r="E22" s="11">
        <v>45572</v>
      </c>
      <c r="F22" s="17">
        <v>-5000000</v>
      </c>
      <c r="G22" s="18"/>
    </row>
    <row r="23" spans="2:7" x14ac:dyDescent="0.2">
      <c r="B23" s="16" t="s">
        <v>1</v>
      </c>
      <c r="C23" s="10">
        <v>9017152108</v>
      </c>
      <c r="D23" s="10">
        <v>170034509</v>
      </c>
      <c r="E23" s="11">
        <v>45538</v>
      </c>
      <c r="F23" s="17">
        <v>-5000000</v>
      </c>
      <c r="G23" s="18"/>
    </row>
    <row r="24" spans="2:7" x14ac:dyDescent="0.2">
      <c r="B24" s="16" t="s">
        <v>1</v>
      </c>
      <c r="C24" s="10">
        <v>9017152108</v>
      </c>
      <c r="D24" s="10">
        <v>170030837</v>
      </c>
      <c r="E24" s="11">
        <v>45510</v>
      </c>
      <c r="F24" s="17">
        <v>-5000000</v>
      </c>
      <c r="G24" s="18"/>
    </row>
    <row r="25" spans="2:7" x14ac:dyDescent="0.2">
      <c r="B25" s="16" t="s">
        <v>1</v>
      </c>
      <c r="C25" s="10">
        <v>9017152108</v>
      </c>
      <c r="D25" s="10">
        <v>170026220</v>
      </c>
      <c r="E25" s="11">
        <v>45476</v>
      </c>
      <c r="F25" s="17">
        <v>-5000000</v>
      </c>
      <c r="G25" s="18"/>
    </row>
    <row r="26" spans="2:7" ht="13.5" thickBot="1" x14ac:dyDescent="0.25">
      <c r="B26" s="19" t="s">
        <v>1</v>
      </c>
      <c r="C26" s="20">
        <v>9017152108</v>
      </c>
      <c r="D26" s="20">
        <v>170017602</v>
      </c>
      <c r="E26" s="21">
        <v>45404</v>
      </c>
      <c r="F26" s="22">
        <v>-10000000</v>
      </c>
      <c r="G26" s="23"/>
    </row>
    <row r="27" spans="2:7" ht="13.5" thickBot="1" x14ac:dyDescent="0.25">
      <c r="B27" s="10"/>
      <c r="C27" s="10"/>
      <c r="D27" s="10"/>
      <c r="E27" s="11"/>
      <c r="F27" s="12"/>
    </row>
    <row r="28" spans="2:7" ht="15.75" x14ac:dyDescent="0.2">
      <c r="B28" s="31" t="s">
        <v>78</v>
      </c>
      <c r="C28" s="32"/>
      <c r="D28" s="32"/>
      <c r="E28" s="32"/>
      <c r="F28" s="33"/>
      <c r="G28" s="34"/>
    </row>
    <row r="29" spans="2:7" ht="25.5" x14ac:dyDescent="0.2">
      <c r="B29" s="30" t="s">
        <v>67</v>
      </c>
      <c r="C29" s="28" t="s">
        <v>68</v>
      </c>
      <c r="D29" s="28" t="s">
        <v>75</v>
      </c>
      <c r="E29" s="28" t="s">
        <v>73</v>
      </c>
      <c r="F29" s="29" t="s">
        <v>74</v>
      </c>
      <c r="G29" s="15">
        <f>SUM(F30:F31)</f>
        <v>-1187434</v>
      </c>
    </row>
    <row r="30" spans="2:7" x14ac:dyDescent="0.2">
      <c r="B30" s="16" t="s">
        <v>1</v>
      </c>
      <c r="C30" s="10">
        <v>9017152108</v>
      </c>
      <c r="D30" s="10">
        <v>80001800</v>
      </c>
      <c r="E30" s="11">
        <v>45650</v>
      </c>
      <c r="F30" s="17">
        <v>-1127684</v>
      </c>
      <c r="G30" s="18"/>
    </row>
    <row r="31" spans="2:7" ht="13.5" thickBot="1" x14ac:dyDescent="0.25">
      <c r="B31" s="19" t="s">
        <v>1</v>
      </c>
      <c r="C31" s="20">
        <v>9017152108</v>
      </c>
      <c r="D31" s="20">
        <v>80000116</v>
      </c>
      <c r="E31" s="21">
        <v>45671</v>
      </c>
      <c r="F31" s="22">
        <v>-59750</v>
      </c>
      <c r="G31" s="23"/>
    </row>
    <row r="32" spans="2:7" x14ac:dyDescent="0.2">
      <c r="D32" s="11"/>
    </row>
    <row r="33" spans="4:4" x14ac:dyDescent="0.2">
      <c r="D33" s="11"/>
    </row>
    <row r="34" spans="4:4" x14ac:dyDescent="0.2">
      <c r="D34" s="11"/>
    </row>
    <row r="35" spans="4:4" x14ac:dyDescent="0.2">
      <c r="D35" s="11"/>
    </row>
    <row r="36" spans="4:4" x14ac:dyDescent="0.2">
      <c r="D36" s="11"/>
    </row>
    <row r="37" spans="4:4" x14ac:dyDescent="0.2">
      <c r="D37" s="11"/>
    </row>
    <row r="38" spans="4:4" x14ac:dyDescent="0.2">
      <c r="D38" s="11"/>
    </row>
    <row r="39" spans="4:4" x14ac:dyDescent="0.2">
      <c r="D39" s="11"/>
    </row>
    <row r="40" spans="4:4" x14ac:dyDescent="0.2">
      <c r="D40" s="11"/>
    </row>
    <row r="41" spans="4:4" x14ac:dyDescent="0.2">
      <c r="D41"/>
    </row>
    <row r="42" spans="4:4" x14ac:dyDescent="0.2">
      <c r="D42"/>
    </row>
    <row r="43" spans="4:4" x14ac:dyDescent="0.2">
      <c r="D43"/>
    </row>
    <row r="44" spans="4:4" x14ac:dyDescent="0.2">
      <c r="D44"/>
    </row>
    <row r="45" spans="4:4" x14ac:dyDescent="0.2">
      <c r="D45"/>
    </row>
    <row r="46" spans="4:4" x14ac:dyDescent="0.2">
      <c r="D46"/>
    </row>
    <row r="47" spans="4:4" x14ac:dyDescent="0.2">
      <c r="D47"/>
    </row>
    <row r="48" spans="4:4" x14ac:dyDescent="0.2">
      <c r="D48"/>
    </row>
  </sheetData>
  <conditionalFormatting sqref="D4:D15">
    <cfRule type="duplicateValues" dxfId="4" priority="7"/>
  </conditionalFormatting>
  <conditionalFormatting sqref="D19:D27">
    <cfRule type="duplicateValues" dxfId="3" priority="3"/>
    <cfRule type="duplicateValues" dxfId="2" priority="5"/>
  </conditionalFormatting>
  <conditionalFormatting sqref="D30:D3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Conciliacion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Luisa Fernanda Avendaño Sabogal</cp:lastModifiedBy>
  <cp:revision>1</cp:revision>
  <dcterms:modified xsi:type="dcterms:W3CDTF">2025-02-27T21:08:37Z</dcterms:modified>
  <cp:category/>
</cp:coreProperties>
</file>